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
    </mc:Choice>
  </mc:AlternateContent>
  <xr:revisionPtr revIDLastSave="425" documentId="8_{19396932-EE24-3149-B79F-3668B6A0AA7D}" xr6:coauthVersionLast="47" xr6:coauthVersionMax="47" xr10:uidLastSave="{5DECC6DD-081B-A048-969C-0ADDE91E58EE}"/>
  <bookViews>
    <workbookView xWindow="0" yWindow="900" windowWidth="34200" windowHeight="20320" activeTab="4" xr2:uid="{00000000-000D-0000-FFFF-FFFF00000000}"/>
  </bookViews>
  <sheets>
    <sheet name="INSTRUCTIONS" sheetId="1" r:id="rId1"/>
    <sheet name="ESRS_MASTER" sheetId="2" r:id="rId2"/>
    <sheet name="Mapping_ALLStacked" sheetId="3" r:id="rId3"/>
    <sheet name="DP_Mapping" sheetId="5" state="hidden" r:id="rId4"/>
    <sheet name="MAPPING" sheetId="13" r:id="rId5"/>
    <sheet name="Mowi_Mapping" sheetId="25" r:id="rId6"/>
    <sheet name="MOWI_Mapping_Datapoints" sheetId="14" r:id="rId7"/>
    <sheet name="Espersen_Mapping" sheetId="16" r:id="rId8"/>
    <sheet name="Bolton_Mapping" sheetId="18" r:id="rId9"/>
    <sheet name="Profand_Mapping" sheetId="24" r:id="rId10"/>
    <sheet name="Nomad_Mapping" sheetId="22" r:id="rId11"/>
  </sheets>
  <externalReferences>
    <externalReference r:id="rId12"/>
    <externalReference r:id="rId13"/>
  </externalReference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5" i="2" l="1"/>
  <c r="B437" i="2"/>
  <c r="B459" i="2"/>
  <c r="E77" i="24"/>
  <c r="D77" i="24"/>
  <c r="C77" i="24"/>
  <c r="B77" i="24" s="1"/>
  <c r="E76" i="24"/>
  <c r="D76" i="24"/>
  <c r="C76" i="24"/>
  <c r="B76" i="24" s="1"/>
  <c r="E75" i="24"/>
  <c r="D75" i="24"/>
  <c r="C75" i="24"/>
  <c r="B75" i="24" s="1"/>
  <c r="E74" i="24"/>
  <c r="D74" i="24"/>
  <c r="C74" i="24"/>
  <c r="B74" i="24" s="1"/>
  <c r="E73" i="24"/>
  <c r="D73" i="24"/>
  <c r="C73" i="24"/>
  <c r="B73" i="24" s="1"/>
  <c r="E72" i="24"/>
  <c r="D72" i="24"/>
  <c r="C72" i="24"/>
  <c r="B72" i="24" s="1"/>
  <c r="E71" i="24"/>
  <c r="D71" i="24"/>
  <c r="C71" i="24"/>
  <c r="B71" i="24" s="1"/>
  <c r="E70" i="24"/>
  <c r="D70" i="24"/>
  <c r="C70" i="24"/>
  <c r="B70" i="24" s="1"/>
  <c r="E69" i="24"/>
  <c r="D69" i="24"/>
  <c r="C69" i="24"/>
  <c r="B69" i="24" s="1"/>
  <c r="E68" i="24"/>
  <c r="D68" i="24"/>
  <c r="C68" i="24"/>
  <c r="B68" i="24" s="1"/>
  <c r="E67" i="24"/>
  <c r="D67" i="24"/>
  <c r="C67" i="24"/>
  <c r="B67" i="24" s="1"/>
  <c r="E66" i="24"/>
  <c r="D66" i="24"/>
  <c r="C66" i="24"/>
  <c r="B66" i="24" s="1"/>
  <c r="E65" i="24"/>
  <c r="D65" i="24"/>
  <c r="C65" i="24"/>
  <c r="B65" i="24" s="1"/>
  <c r="E64" i="24"/>
  <c r="D64" i="24"/>
  <c r="C64" i="24"/>
  <c r="B64" i="24" s="1"/>
  <c r="E63" i="24"/>
  <c r="D63" i="24"/>
  <c r="C63" i="24"/>
  <c r="B63" i="24" s="1"/>
  <c r="E62" i="24"/>
  <c r="D62" i="24"/>
  <c r="C62" i="24"/>
  <c r="B62" i="24" s="1"/>
  <c r="E61" i="24"/>
  <c r="D61" i="24"/>
  <c r="C61" i="24"/>
  <c r="B61" i="24" s="1"/>
  <c r="E60" i="24"/>
  <c r="D60" i="24"/>
  <c r="C60" i="24"/>
  <c r="B60" i="24" s="1"/>
  <c r="E59" i="24"/>
  <c r="D59" i="24"/>
  <c r="C59" i="24"/>
  <c r="B59" i="24" s="1"/>
  <c r="E58" i="24"/>
  <c r="D58" i="24"/>
  <c r="C58" i="24"/>
  <c r="B58" i="24" s="1"/>
  <c r="E57" i="24"/>
  <c r="D57" i="24"/>
  <c r="C57" i="24"/>
  <c r="B57" i="24" s="1"/>
  <c r="E56" i="24"/>
  <c r="D56" i="24"/>
  <c r="C56" i="24"/>
  <c r="B56" i="24" s="1"/>
  <c r="E55" i="24"/>
  <c r="D55" i="24"/>
  <c r="C55" i="24"/>
  <c r="B55" i="24" s="1"/>
  <c r="E54" i="24"/>
  <c r="D54" i="24"/>
  <c r="C54" i="24"/>
  <c r="B54" i="24" s="1"/>
  <c r="E53" i="24"/>
  <c r="D53" i="24"/>
  <c r="C53" i="24"/>
  <c r="B53" i="24" s="1"/>
  <c r="E52" i="24"/>
  <c r="D52" i="24"/>
  <c r="C52" i="24"/>
  <c r="B52" i="24" s="1"/>
  <c r="E51" i="24"/>
  <c r="D51" i="24"/>
  <c r="C51" i="24"/>
  <c r="B51" i="24" s="1"/>
  <c r="E50" i="24"/>
  <c r="D50" i="24"/>
  <c r="C50" i="24"/>
  <c r="B50" i="24" s="1"/>
  <c r="E49" i="24"/>
  <c r="D49" i="24"/>
  <c r="C49" i="24"/>
  <c r="B49" i="24" s="1"/>
  <c r="E48" i="24"/>
  <c r="D48" i="24"/>
  <c r="C48" i="24"/>
  <c r="B48" i="24" s="1"/>
  <c r="E47" i="24"/>
  <c r="D47" i="24"/>
  <c r="C47" i="24"/>
  <c r="B47" i="24" s="1"/>
  <c r="E46" i="24"/>
  <c r="D46" i="24"/>
  <c r="C46" i="24"/>
  <c r="B46" i="24" s="1"/>
  <c r="E45" i="24"/>
  <c r="D45" i="24"/>
  <c r="C45" i="24"/>
  <c r="B45" i="24" s="1"/>
  <c r="E44" i="24"/>
  <c r="D44" i="24"/>
  <c r="C44" i="24"/>
  <c r="B44" i="24" s="1"/>
  <c r="E43" i="24"/>
  <c r="D43" i="24"/>
  <c r="C43" i="24"/>
  <c r="B43" i="24" s="1"/>
  <c r="E42" i="24"/>
  <c r="D42" i="24"/>
  <c r="C42" i="24"/>
  <c r="B42" i="24" s="1"/>
  <c r="E41" i="24"/>
  <c r="D41" i="24"/>
  <c r="C41" i="24"/>
  <c r="B41" i="24" s="1"/>
  <c r="E40" i="24"/>
  <c r="D40" i="24"/>
  <c r="C40" i="24"/>
  <c r="B40" i="24" s="1"/>
  <c r="E39" i="24"/>
  <c r="D39" i="24"/>
  <c r="C39" i="24"/>
  <c r="B39" i="24" s="1"/>
  <c r="E38" i="24"/>
  <c r="D38" i="24"/>
  <c r="C38" i="24"/>
  <c r="B38" i="24" s="1"/>
  <c r="E37" i="24"/>
  <c r="D37" i="24"/>
  <c r="C37" i="24"/>
  <c r="B37" i="24" s="1"/>
  <c r="E36" i="24"/>
  <c r="D36" i="24"/>
  <c r="C36" i="24"/>
  <c r="B36" i="24" s="1"/>
  <c r="E35" i="24"/>
  <c r="D35" i="24"/>
  <c r="C35" i="24"/>
  <c r="B35" i="24" s="1"/>
  <c r="E34" i="24"/>
  <c r="D34" i="24"/>
  <c r="C34" i="24"/>
  <c r="B34" i="24" s="1"/>
  <c r="E33" i="24"/>
  <c r="D33" i="24"/>
  <c r="C33" i="24"/>
  <c r="B33" i="24" s="1"/>
  <c r="E32" i="24"/>
  <c r="D32" i="24"/>
  <c r="C32" i="24"/>
  <c r="B32" i="24" s="1"/>
  <c r="E31" i="24"/>
  <c r="D31" i="24"/>
  <c r="C31" i="24"/>
  <c r="B31" i="24" s="1"/>
  <c r="E30" i="24"/>
  <c r="D30" i="24"/>
  <c r="C30" i="24"/>
  <c r="B30" i="24" s="1"/>
  <c r="E29" i="24"/>
  <c r="D29" i="24"/>
  <c r="C29" i="24"/>
  <c r="B29" i="24" s="1"/>
  <c r="E28" i="24"/>
  <c r="D28" i="24"/>
  <c r="C28" i="24"/>
  <c r="B28" i="24" s="1"/>
  <c r="E27" i="24"/>
  <c r="D27" i="24"/>
  <c r="C27" i="24"/>
  <c r="B27" i="24" s="1"/>
  <c r="E26" i="24"/>
  <c r="D26" i="24"/>
  <c r="C26" i="24"/>
  <c r="B26" i="24" s="1"/>
  <c r="E25" i="24"/>
  <c r="D25" i="24"/>
  <c r="C25" i="24"/>
  <c r="B25" i="24" s="1"/>
  <c r="E24" i="24"/>
  <c r="D24" i="24"/>
  <c r="C24" i="24"/>
  <c r="B24" i="24" s="1"/>
  <c r="E23" i="24"/>
  <c r="D23" i="24"/>
  <c r="C23" i="24"/>
  <c r="B23" i="24" s="1"/>
  <c r="E22" i="24"/>
  <c r="D22" i="24"/>
  <c r="C22" i="24"/>
  <c r="B22" i="24" s="1"/>
  <c r="E21" i="24"/>
  <c r="D21" i="24"/>
  <c r="C21" i="24"/>
  <c r="B21" i="24" s="1"/>
  <c r="E20" i="24"/>
  <c r="D20" i="24"/>
  <c r="C20" i="24"/>
  <c r="B20" i="24" s="1"/>
  <c r="E19" i="24"/>
  <c r="D19" i="24"/>
  <c r="C19" i="24"/>
  <c r="B19" i="24" s="1"/>
  <c r="E18" i="24"/>
  <c r="D18" i="24"/>
  <c r="C18" i="24"/>
  <c r="B18" i="24" s="1"/>
  <c r="E17" i="24"/>
  <c r="D17" i="24"/>
  <c r="C17" i="24"/>
  <c r="B17" i="24" s="1"/>
  <c r="E16" i="24"/>
  <c r="D16" i="24"/>
  <c r="C16" i="24"/>
  <c r="B16" i="24" s="1"/>
  <c r="E15" i="24"/>
  <c r="D15" i="24"/>
  <c r="C15" i="24"/>
  <c r="B15" i="24" s="1"/>
  <c r="E14" i="24"/>
  <c r="D14" i="24"/>
  <c r="C14" i="24"/>
  <c r="B14" i="24" s="1"/>
  <c r="E13" i="24"/>
  <c r="D13" i="24"/>
  <c r="C13" i="24"/>
  <c r="B13" i="24" s="1"/>
  <c r="E12" i="24"/>
  <c r="D12" i="24"/>
  <c r="C12" i="24"/>
  <c r="B12" i="24" s="1"/>
  <c r="E11" i="24"/>
  <c r="D11" i="24"/>
  <c r="C11" i="24"/>
  <c r="B11" i="24" s="1"/>
  <c r="E10" i="24"/>
  <c r="D10" i="24"/>
  <c r="C10" i="24"/>
  <c r="B10" i="24" s="1"/>
  <c r="E9" i="24"/>
  <c r="D9" i="24"/>
  <c r="C9" i="24"/>
  <c r="B9" i="24" s="1"/>
  <c r="E8" i="24"/>
  <c r="D8" i="24"/>
  <c r="C8" i="24"/>
  <c r="B8" i="24" s="1"/>
  <c r="E7" i="24"/>
  <c r="D7" i="24"/>
  <c r="C7" i="24"/>
  <c r="B7" i="24" s="1"/>
  <c r="E6" i="24"/>
  <c r="D6" i="24"/>
  <c r="C6" i="24"/>
  <c r="B6" i="24" s="1"/>
  <c r="E5" i="24"/>
  <c r="D5" i="24"/>
  <c r="C5" i="24"/>
  <c r="B5" i="24" s="1"/>
  <c r="E4" i="24"/>
  <c r="D4" i="24"/>
  <c r="C4" i="24"/>
  <c r="B4" i="24" s="1"/>
  <c r="E3" i="24"/>
  <c r="D3" i="24"/>
  <c r="C3" i="24"/>
  <c r="B3" i="24" s="1"/>
  <c r="E2" i="24"/>
  <c r="D2" i="24"/>
  <c r="C2" i="24"/>
  <c r="B2" i="24" s="1"/>
  <c r="E97" i="22"/>
  <c r="D97" i="22"/>
  <c r="C97" i="22"/>
  <c r="B97" i="22" s="1"/>
  <c r="E96" i="22"/>
  <c r="D96" i="22"/>
  <c r="C96" i="22"/>
  <c r="B96" i="22" s="1"/>
  <c r="E95" i="22"/>
  <c r="D95" i="22"/>
  <c r="C95" i="22"/>
  <c r="B95" i="22" s="1"/>
  <c r="E94" i="22"/>
  <c r="D94" i="22"/>
  <c r="C94" i="22"/>
  <c r="B94" i="22" s="1"/>
  <c r="E93" i="22"/>
  <c r="D93" i="22"/>
  <c r="C93" i="22"/>
  <c r="B93" i="22" s="1"/>
  <c r="E92" i="22"/>
  <c r="D92" i="22"/>
  <c r="C92" i="22"/>
  <c r="B92" i="22" s="1"/>
  <c r="E91" i="22"/>
  <c r="D91" i="22"/>
  <c r="C91" i="22"/>
  <c r="B91" i="22" s="1"/>
  <c r="E90" i="22"/>
  <c r="D90" i="22"/>
  <c r="C90" i="22"/>
  <c r="B90" i="22" s="1"/>
  <c r="E89" i="22"/>
  <c r="D89" i="22"/>
  <c r="C89" i="22"/>
  <c r="B89" i="22" s="1"/>
  <c r="E88" i="22"/>
  <c r="D88" i="22"/>
  <c r="C88" i="22"/>
  <c r="B88" i="22" s="1"/>
  <c r="E87" i="22"/>
  <c r="D87" i="22"/>
  <c r="C87" i="22"/>
  <c r="B87" i="22" s="1"/>
  <c r="E86" i="22"/>
  <c r="D86" i="22"/>
  <c r="C86" i="22"/>
  <c r="B86" i="22" s="1"/>
  <c r="E85" i="22"/>
  <c r="D85" i="22"/>
  <c r="C85" i="22"/>
  <c r="B85" i="22" s="1"/>
  <c r="E84" i="22"/>
  <c r="D84" i="22"/>
  <c r="C84" i="22"/>
  <c r="B84" i="22" s="1"/>
  <c r="E83" i="22"/>
  <c r="D83" i="22"/>
  <c r="C83" i="22"/>
  <c r="B83" i="22" s="1"/>
  <c r="E82" i="22"/>
  <c r="D82" i="22"/>
  <c r="C82" i="22"/>
  <c r="B82" i="22" s="1"/>
  <c r="E81" i="22"/>
  <c r="D81" i="22"/>
  <c r="C81" i="22"/>
  <c r="B81" i="22" s="1"/>
  <c r="E80" i="22"/>
  <c r="D80" i="22"/>
  <c r="C80" i="22"/>
  <c r="B80" i="22" s="1"/>
  <c r="E79" i="22"/>
  <c r="D79" i="22"/>
  <c r="C79" i="22"/>
  <c r="B79" i="22" s="1"/>
  <c r="E78" i="22"/>
  <c r="D78" i="22"/>
  <c r="C78" i="22"/>
  <c r="B78" i="22" s="1"/>
  <c r="E77" i="22"/>
  <c r="D77" i="22"/>
  <c r="C77" i="22"/>
  <c r="B77" i="22" s="1"/>
  <c r="E76" i="22"/>
  <c r="D76" i="22"/>
  <c r="C76" i="22"/>
  <c r="B76" i="22" s="1"/>
  <c r="E75" i="22"/>
  <c r="D75" i="22"/>
  <c r="C75" i="22"/>
  <c r="B75" i="22" s="1"/>
  <c r="E74" i="22"/>
  <c r="D74" i="22"/>
  <c r="C74" i="22"/>
  <c r="B74" i="22" s="1"/>
  <c r="E73" i="22"/>
  <c r="D73" i="22"/>
  <c r="C73" i="22"/>
  <c r="B73" i="22" s="1"/>
  <c r="E72" i="22"/>
  <c r="D72" i="22"/>
  <c r="C72" i="22"/>
  <c r="B72" i="22" s="1"/>
  <c r="E71" i="22"/>
  <c r="D71" i="22"/>
  <c r="C71" i="22"/>
  <c r="B71" i="22" s="1"/>
  <c r="E70" i="22"/>
  <c r="D70" i="22"/>
  <c r="C70" i="22"/>
  <c r="B70" i="22" s="1"/>
  <c r="E69" i="22"/>
  <c r="D69" i="22"/>
  <c r="C69" i="22"/>
  <c r="B69" i="22" s="1"/>
  <c r="E68" i="22"/>
  <c r="D68" i="22"/>
  <c r="C68" i="22"/>
  <c r="B68" i="22" s="1"/>
  <c r="E67" i="22"/>
  <c r="D67" i="22"/>
  <c r="C67" i="22"/>
  <c r="B67" i="22" s="1"/>
  <c r="E66" i="22"/>
  <c r="D66" i="22"/>
  <c r="C66" i="22"/>
  <c r="B66" i="22" s="1"/>
  <c r="E65" i="22"/>
  <c r="D65" i="22"/>
  <c r="C65" i="22"/>
  <c r="B65" i="22" s="1"/>
  <c r="E64" i="22"/>
  <c r="D64" i="22"/>
  <c r="C64" i="22"/>
  <c r="B64" i="22" s="1"/>
  <c r="E63" i="22"/>
  <c r="D63" i="22"/>
  <c r="C63" i="22"/>
  <c r="B63" i="22" s="1"/>
  <c r="E62" i="22"/>
  <c r="D62" i="22"/>
  <c r="C62" i="22"/>
  <c r="B62" i="22" s="1"/>
  <c r="E61" i="22"/>
  <c r="D61" i="22"/>
  <c r="C61" i="22"/>
  <c r="B61" i="22" s="1"/>
  <c r="E60" i="22"/>
  <c r="D60" i="22"/>
  <c r="C60" i="22"/>
  <c r="B60" i="22" s="1"/>
  <c r="E59" i="22"/>
  <c r="D59" i="22"/>
  <c r="C59" i="22"/>
  <c r="B59" i="22" s="1"/>
  <c r="E58" i="22"/>
  <c r="D58" i="22"/>
  <c r="C58" i="22"/>
  <c r="B58" i="22" s="1"/>
  <c r="E57" i="22"/>
  <c r="D57" i="22"/>
  <c r="C57" i="22"/>
  <c r="B57" i="22" s="1"/>
  <c r="E56" i="22"/>
  <c r="D56" i="22"/>
  <c r="C56" i="22"/>
  <c r="B56" i="22" s="1"/>
  <c r="E55" i="22"/>
  <c r="D55" i="22"/>
  <c r="C55" i="22"/>
  <c r="B55" i="22" s="1"/>
  <c r="E54" i="22"/>
  <c r="D54" i="22"/>
  <c r="C54" i="22"/>
  <c r="B54" i="22" s="1"/>
  <c r="E53" i="22"/>
  <c r="D53" i="22"/>
  <c r="C53" i="22"/>
  <c r="B53" i="22" s="1"/>
  <c r="E52" i="22"/>
  <c r="D52" i="22"/>
  <c r="C52" i="22"/>
  <c r="B52" i="22" s="1"/>
  <c r="E51" i="22"/>
  <c r="D51" i="22"/>
  <c r="C51" i="22"/>
  <c r="B51" i="22" s="1"/>
  <c r="E50" i="22"/>
  <c r="D50" i="22"/>
  <c r="C50" i="22"/>
  <c r="B50" i="22" s="1"/>
  <c r="E49" i="22"/>
  <c r="D49" i="22"/>
  <c r="C49" i="22"/>
  <c r="B49" i="22" s="1"/>
  <c r="E48" i="22"/>
  <c r="D48" i="22"/>
  <c r="C48" i="22"/>
  <c r="B48" i="22" s="1"/>
  <c r="E47" i="22"/>
  <c r="D47" i="22"/>
  <c r="C47" i="22"/>
  <c r="B47" i="22" s="1"/>
  <c r="E46" i="22"/>
  <c r="D46" i="22"/>
  <c r="C46" i="22"/>
  <c r="B46" i="22" s="1"/>
  <c r="E45" i="22"/>
  <c r="D45" i="22"/>
  <c r="C45" i="22"/>
  <c r="B45" i="22" s="1"/>
  <c r="E44" i="22"/>
  <c r="D44" i="22"/>
  <c r="C44" i="22"/>
  <c r="B44" i="22" s="1"/>
  <c r="E43" i="22"/>
  <c r="D43" i="22"/>
  <c r="C43" i="22"/>
  <c r="B43" i="22" s="1"/>
  <c r="E42" i="22"/>
  <c r="D42" i="22"/>
  <c r="C42" i="22"/>
  <c r="B42" i="22" s="1"/>
  <c r="E41" i="22"/>
  <c r="D41" i="22"/>
  <c r="C41" i="22"/>
  <c r="B41" i="22" s="1"/>
  <c r="E40" i="22"/>
  <c r="D40" i="22"/>
  <c r="C40" i="22"/>
  <c r="B40" i="22" s="1"/>
  <c r="E39" i="22"/>
  <c r="D39" i="22"/>
  <c r="C39" i="22"/>
  <c r="B39" i="22" s="1"/>
  <c r="E38" i="22"/>
  <c r="D38" i="22"/>
  <c r="C38" i="22"/>
  <c r="B38" i="22" s="1"/>
  <c r="E37" i="22"/>
  <c r="D37" i="22"/>
  <c r="C37" i="22"/>
  <c r="B37" i="22" s="1"/>
  <c r="E36" i="22"/>
  <c r="D36" i="22"/>
  <c r="C36" i="22"/>
  <c r="B36" i="22" s="1"/>
  <c r="E35" i="22"/>
  <c r="D35" i="22"/>
  <c r="C35" i="22"/>
  <c r="B35" i="22" s="1"/>
  <c r="E34" i="22"/>
  <c r="D34" i="22"/>
  <c r="C34" i="22"/>
  <c r="B34" i="22" s="1"/>
  <c r="E33" i="22"/>
  <c r="D33" i="22"/>
  <c r="C33" i="22"/>
  <c r="B33" i="22" s="1"/>
  <c r="E32" i="22"/>
  <c r="D32" i="22"/>
  <c r="C32" i="22"/>
  <c r="B32" i="22" s="1"/>
  <c r="E31" i="22"/>
  <c r="D31" i="22"/>
  <c r="C31" i="22"/>
  <c r="B31" i="22" s="1"/>
  <c r="E30" i="22"/>
  <c r="D30" i="22"/>
  <c r="C30" i="22"/>
  <c r="B30" i="22" s="1"/>
  <c r="E29" i="22"/>
  <c r="D29" i="22"/>
  <c r="C29" i="22"/>
  <c r="B29" i="22" s="1"/>
  <c r="E28" i="22"/>
  <c r="D28" i="22"/>
  <c r="C28" i="22"/>
  <c r="B28" i="22" s="1"/>
  <c r="E27" i="22"/>
  <c r="D27" i="22"/>
  <c r="C27" i="22"/>
  <c r="B27" i="22" s="1"/>
  <c r="E26" i="22"/>
  <c r="D26" i="22"/>
  <c r="C26" i="22"/>
  <c r="B26" i="22" s="1"/>
  <c r="E25" i="22"/>
  <c r="D25" i="22"/>
  <c r="C25" i="22"/>
  <c r="B25" i="22" s="1"/>
  <c r="E24" i="22"/>
  <c r="D24" i="22"/>
  <c r="C24" i="22"/>
  <c r="B24" i="22" s="1"/>
  <c r="E23" i="22"/>
  <c r="D23" i="22"/>
  <c r="C23" i="22"/>
  <c r="B23" i="22" s="1"/>
  <c r="E22" i="22"/>
  <c r="D22" i="22"/>
  <c r="C22" i="22"/>
  <c r="B22" i="22" s="1"/>
  <c r="E21" i="22"/>
  <c r="D21" i="22"/>
  <c r="C21" i="22"/>
  <c r="B21" i="22" s="1"/>
  <c r="E20" i="22"/>
  <c r="D20" i="22"/>
  <c r="C20" i="22"/>
  <c r="B20" i="22" s="1"/>
  <c r="E19" i="22"/>
  <c r="D19" i="22"/>
  <c r="C19" i="22"/>
  <c r="B19" i="22" s="1"/>
  <c r="E18" i="22"/>
  <c r="D18" i="22"/>
  <c r="C18" i="22"/>
  <c r="B18" i="22" s="1"/>
  <c r="E17" i="22"/>
  <c r="D17" i="22"/>
  <c r="C17" i="22"/>
  <c r="B17" i="22" s="1"/>
  <c r="E16" i="22"/>
  <c r="D16" i="22"/>
  <c r="C16" i="22"/>
  <c r="B16" i="22" s="1"/>
  <c r="E15" i="22"/>
  <c r="D15" i="22"/>
  <c r="C15" i="22"/>
  <c r="B15" i="22" s="1"/>
  <c r="E14" i="22"/>
  <c r="D14" i="22"/>
  <c r="C14" i="22"/>
  <c r="B14" i="22" s="1"/>
  <c r="E13" i="22"/>
  <c r="D13" i="22"/>
  <c r="C13" i="22"/>
  <c r="B13" i="22" s="1"/>
  <c r="E12" i="22"/>
  <c r="D12" i="22"/>
  <c r="C12" i="22"/>
  <c r="B12" i="22" s="1"/>
  <c r="E11" i="22"/>
  <c r="D11" i="22"/>
  <c r="C11" i="22"/>
  <c r="B11" i="22" s="1"/>
  <c r="E10" i="22"/>
  <c r="D10" i="22"/>
  <c r="C10" i="22"/>
  <c r="B10" i="22" s="1"/>
  <c r="E9" i="22"/>
  <c r="D9" i="22"/>
  <c r="C9" i="22"/>
  <c r="B9" i="22" s="1"/>
  <c r="E8" i="22"/>
  <c r="D8" i="22"/>
  <c r="C8" i="22"/>
  <c r="B8" i="22" s="1"/>
  <c r="E7" i="22"/>
  <c r="D7" i="22"/>
  <c r="C7" i="22"/>
  <c r="B7" i="22" s="1"/>
  <c r="E6" i="22"/>
  <c r="D6" i="22"/>
  <c r="C6" i="22"/>
  <c r="B6" i="22" s="1"/>
  <c r="E5" i="22"/>
  <c r="D5" i="22"/>
  <c r="C5" i="22"/>
  <c r="B5" i="22" s="1"/>
  <c r="E4" i="22"/>
  <c r="D4" i="22"/>
  <c r="C4" i="22"/>
  <c r="B4" i="22" s="1"/>
  <c r="E3" i="22"/>
  <c r="D3" i="22"/>
  <c r="C3" i="22"/>
  <c r="B3" i="22" s="1"/>
  <c r="E2" i="22"/>
  <c r="D2" i="22"/>
  <c r="C2" i="22"/>
  <c r="B2" i="22" s="1"/>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8" i="2"/>
  <c r="B457" i="2"/>
  <c r="B456" i="2"/>
  <c r="B455" i="2"/>
  <c r="B454" i="2"/>
  <c r="B453" i="2"/>
  <c r="B452" i="2"/>
  <c r="B451" i="2"/>
  <c r="B450" i="2"/>
  <c r="B449" i="2"/>
  <c r="B448" i="2"/>
  <c r="B447" i="2"/>
  <c r="B446" i="2"/>
  <c r="B445" i="2"/>
  <c r="B444" i="2"/>
  <c r="B443" i="2"/>
  <c r="B442" i="2"/>
  <c r="B441" i="2"/>
  <c r="B440" i="2"/>
  <c r="B439" i="2"/>
  <c r="B438" i="2"/>
  <c r="B436"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A2" i="3" l="1" a="1"/>
  <c r="A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<sst xmlns="http://schemas.openxmlformats.org/spreadsheetml/2006/main" count="15809" uniqueCount="4975">
  <si>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</si>
  <si>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</si>
  <si>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</si>
  <si>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</si>
  <si>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</si>
  <si>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</si>
  <si>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</si>
  <si>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</si>
  <si>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</si>
  <si>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</si>
  <si>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</si>
  <si>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</si>
  <si>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</si>
  <si>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</si>
  <si>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</si>
  <si>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</si>
  <si>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</si>
  <si>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</si>
  <si>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</si>
  <si>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</si>
  <si>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</si>
  <si>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</si>
  <si>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</si>
  <si>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</si>
  <si>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</si>
  <si>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</si>
  <si>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</si>
  <si>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</si>
  <si>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</si>
  <si>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</si>
  <si>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</si>
  <si>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</si>
  <si>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</si>
  <si>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</si>
  <si>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</si>
  <si>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</si>
  <si>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</si>
  <si>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</si>
  <si>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</si>
  <si>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</si>
  <si>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</si>
  <si>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</si>
  <si>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</si>
  <si>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</si>
  <si>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</si>
  <si>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</si>
  <si>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</si>
  <si>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</si>
  <si>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</si>
  <si>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</si>
  <si>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</si>
  <si>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</si>
  <si>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</si>
  <si>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</si>
  <si>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</si>
  <si>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</si>
  <si>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</si>
  <si>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</si>
  <si>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</si>
  <si>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</si>
  <si>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</si>
  <si>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</si>
  <si>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</si>
  <si>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</si>
  <si>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</si>
  <si>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</si>
  <si>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</si>
  <si>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</si>
  <si>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</si>
  <si>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</si>
  <si>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</si>
  <si>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</si>
  <si>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</si>
  <si>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</si>
  <si>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</si>
  <si>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</si>
  <si>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</si>
  <si>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</si>
  <si>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</si>
  <si>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</si>
  <si>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</si>
  <si>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</si>
  <si>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</si>
  <si>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</si>
  <si>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</si>
  <si>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</si>
  <si>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</si>
  <si>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</si>
  <si>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</si>
  <si>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</si>
  <si>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</si>
  <si>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</si>
  <si>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</si>
  <si>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</si>
  <si>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</si>
  <si>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</si>
  <si>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</si>
  <si>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</si>
  <si>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</si>
  <si>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</si>
  <si>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</si>
  <si>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</si>
  <si>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</si>
  <si>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</si>
  <si>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</si>
  <si>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</si>
  <si>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</si>
  <si>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</si>
  <si>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</si>
  <si>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</si>
  <si>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</si>
  <si>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</si>
  <si>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</si>
  <si>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</si>
  <si>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</si>
  <si>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</si>
  <si>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</si>
  <si>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</si>
  <si>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</si>
  <si>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</si>
  <si>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</si>
  <si>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</si>
  <si>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</si>
  <si>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</si>
  <si>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</si>
  <si>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</si>
  <si>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</si>
  <si>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</si>
  <si>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</si>
  <si>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</si>
  <si>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</si>
  <si>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</si>
  <si>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</si>
  <si>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</si>
  <si>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</si>
  <si>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</si>
  <si>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</si>
  <si>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</si>
  <si>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</si>
  <si>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</si>
  <si>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</si>
  <si>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</si>
  <si>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</si>
  <si>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</si>
  <si>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</si>
  <si>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</si>
  <si>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</si>
  <si>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</si>
  <si>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</si>
  <si>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</si>
  <si>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</si>
  <si>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</si>
  <si>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</si>
  <si>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</si>
  <si>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</si>
  <si>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</si>
  <si>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</si>
  <si>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</si>
  <si>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</si>
  <si>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</si>
  <si>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</si>
  <si>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</si>
  <si>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</si>
  <si>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</si>
  <si>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</si>
  <si>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</si>
  <si>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</si>
  <si>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</si>
  <si>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</si>
  <si>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</si>
  <si>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</si>
  <si>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</si>
  <si>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</si>
  <si>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</si>
  <si>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</si>
  <si>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</si>
  <si>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</si>
  <si>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</si>
  <si>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</si>
  <si>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</si>
  <si>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</si>
  <si>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</si>
  <si>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</si>
  <si>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</si>
  <si>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</si>
  <si>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</si>
  <si>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</si>
  <si>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</si>
  <si>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</si>
  <si>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</si>
  <si>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</si>
  <si>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</si>
  <si>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</si>
  <si>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</si>
  <si>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</si>
  <si>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</si>
  <si>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</si>
  <si>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</si>
  <si>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</si>
  <si>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</si>
  <si>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</si>
  <si>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</si>
  <si>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</si>
  <si>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</si>
  <si>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</si>
  <si>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</si>
  <si>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</si>
  <si>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</si>
  <si>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</si>
  <si>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</si>
  <si>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</si>
  <si>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</si>
  <si>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</si>
  <si>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</si>
  <si>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</si>
  <si>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</si>
  <si>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</si>
  <si>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</si>
  <si>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</si>
  <si>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</si>
  <si>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</si>
  <si>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</si>
  <si>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</si>
  <si>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</si>
  <si>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</si>
  <si>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</si>
  <si>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</si>
  <si>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</si>
  <si>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</si>
  <si>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</si>
  <si>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</si>
  <si>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</si>
  <si>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</si>
  <si>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</si>
  <si>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</si>
  <si>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</si>
  <si>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</si>
  <si>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</si>
  <si>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</si>
  <si>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</si>
  <si>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</si>
  <si>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</si>
  <si>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</si>
  <si>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</si>
  <si>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</si>
  <si>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</si>
  <si>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</si>
  <si>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</si>
  <si>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</si>
  <si>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</si>
  <si>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</si>
  <si>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</si>
  <si>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</si>
  <si>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</si>
  <si>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</si>
  <si>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</si>
  <si>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</si>
  <si>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</si>
  <si>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</si>
  <si>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</si>
  <si>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</si>
  <si>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</si>
  <si>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</si>
  <si>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</si>
  <si>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</si>
  <si>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</si>
  <si>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</si>
  <si>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</si>
  <si>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</si>
  <si>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</si>
  <si>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</si>
  <si>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</si>
  <si>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</si>
  <si>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</si>
  <si>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</si>
  <si>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</si>
  <si>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</si>
  <si>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</si>
  <si>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</si>
  <si>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</si>
  <si>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</si>
  <si>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</si>
  <si>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</si>
  <si>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</si>
  <si>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</si>
  <si>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</si>
  <si>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</si>
  <si>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</si>
  <si>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</si>
  <si>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</si>
  <si>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</si>
  <si>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</si>
  <si>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</si>
  <si>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</si>
  <si>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</si>
  <si>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</si>
  <si>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</si>
  <si>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</si>
  <si>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</si>
  <si>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</si>
  <si>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</si>
  <si>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</si>
  <si>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</si>
  <si>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</si>
  <si>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</si>
  <si>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</si>
  <si>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</si>
  <si>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</si>
  <si>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</si>
  <si>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</si>
  <si>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</si>
  <si>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</si>
  <si>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</si>
  <si>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</si>
  <si>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</si>
  <si>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</si>
  <si>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</si>
  <si>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</si>
  <si>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</si>
  <si>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</si>
  <si>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</si>
  <si>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</si>
  <si>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</si>
  <si>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</si>
  <si>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</si>
  <si>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</si>
  <si>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</si>
  <si>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</si>
  <si>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</si>
  <si>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</si>
  <si>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</si>
  <si>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</si>
  <si>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</si>
  <si>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</si>
  <si>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</si>
  <si>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</si>
  <si>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</si>
  <si>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</si>
  <si>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</si>
  <si>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</si>
  <si>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</si>
  <si>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</si>
  <si>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</si>
  <si>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</si>
  <si>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</si>
  <si>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</si>
  <si>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</si>
  <si>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</si>
  <si>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</si>
  <si>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</si>
  <si>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</si>
  <si>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</si>
  <si>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</si>
  <si>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</si>
  <si>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</si>
  <si>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</si>
  <si>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</si>
  <si>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</si>
  <si>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</si>
  <si>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</si>
  <si>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</si>
  <si>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</si>
  <si>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</si>
  <si>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</si>
  <si>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</si>
  <si>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</si>
  <si>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</si>
  <si>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</si>
  <si>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</si>
  <si>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</si>
  <si>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</si>
  <si>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</si>
  <si>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</si>
  <si>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</si>
  <si>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</si>
  <si>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</si>
  <si>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</si>
  <si>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</si>
  <si>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</si>
  <si>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</si>
  <si>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</si>
  <si>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</si>
  <si>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</si>
  <si>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</si>
  <si>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</si>
  <si>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</si>
  <si>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</si>
  <si>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</si>
  <si>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</si>
  <si>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</si>
  <si>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</si>
  <si>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</si>
  <si>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</si>
  <si>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</si>
  <si>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</si>
  <si>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</si>
  <si>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</si>
  <si>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</si>
  <si>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</si>
  <si>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</si>
  <si>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</si>
  <si>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</si>
  <si>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</si>
  <si>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</si>
  <si>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</si>
  <si>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</si>
  <si>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</si>
  <si>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</si>
  <si>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</si>
  <si>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</si>
  <si>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</si>
  <si>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</si>
  <si>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</si>
  <si>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</si>
  <si>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</si>
  <si>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</si>
  <si>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</si>
  <si>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</si>
  <si>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</si>
  <si>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</si>
  <si>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</si>
  <si>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</si>
  <si>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</si>
  <si>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</si>
  <si>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</si>
  <si>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</si>
  <si>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</si>
  <si>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</si>
  <si>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</si>
  <si>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</si>
  <si>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</si>
  <si>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</si>
  <si>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</si>
  <si>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</si>
  <si>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</si>
  <si>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</si>
  <si>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</si>
  <si>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</si>
  <si>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</si>
  <si>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</si>
  <si>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</si>
  <si>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</si>
  <si>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</si>
  <si>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</si>
  <si>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</si>
  <si>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</si>
  <si>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</si>
  <si>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</si>
  <si>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</si>
  <si>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</si>
  <si>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</si>
  <si>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</si>
  <si>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</si>
  <si>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</si>
  <si>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</si>
  <si>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</si>
  <si>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</si>
  <si>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</si>
  <si>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</si>
  <si>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</si>
  <si>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</si>
  <si>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</si>
  <si>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</si>
  <si>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</si>
  <si>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</si>
  <si>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</si>
  <si>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</si>
  <si>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</si>
  <si>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</si>
  <si>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</si>
  <si>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</si>
  <si>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</si>
  <si>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</si>
  <si>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</si>
  <si>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</si>
  <si>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</si>
  <si>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</si>
  <si>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</si>
  <si>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</si>
  <si>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</si>
  <si>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</si>
  <si>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</si>
  <si>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</si>
  <si>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</si>
  <si>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</si>
  <si>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</si>
  <si>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</si>
  <si>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</si>
  <si>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</si>
  <si>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</si>
  <si>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</si>
  <si>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</si>
  <si>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</si>
  <si>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</si>
  <si>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</si>
  <si>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</si>
  <si>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</si>
  <si>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</si>
  <si>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</si>
  <si>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</si>
  <si>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</si>
  <si>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</si>
  <si>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</si>
  <si>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</si>
  <si>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</si>
  <si>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</si>
  <si>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</si>
  <si>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</si>
  <si>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</si>
  <si>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</si>
  <si>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</si>
  <si>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</si>
  <si>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</si>
  <si>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</si>
  <si>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</si>
  <si>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</si>
  <si>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</si>
  <si>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</si>
  <si>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</si>
  <si>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</si>
  <si>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</si>
  <si>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</si>
  <si>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</si>
  <si>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</si>
  <si>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</si>
  <si>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</si>
  <si>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</si>
  <si>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</si>
  <si>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</si>
  <si>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</si>
  <si>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</si>
  <si>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</si>
  <si>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</si>
  <si>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</si>
  <si>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</si>
  <si>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</si>
  <si>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</si>
  <si>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</si>
  <si>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</si>
  <si>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</si>
  <si>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</si>
  <si>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</si>
  <si>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</si>
  <si>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</si>
  <si>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</si>
  <si>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</si>
  <si>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</si>
  <si>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</si>
  <si>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</si>
  <si>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</si>
  <si>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</si>
  <si>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</si>
  <si>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</si>
  <si>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</si>
  <si>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</si>
  <si>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</si>
  <si>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</si>
  <si>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</si>
  <si>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</si>
  <si>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</si>
  <si>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</si>
  <si>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</si>
  <si>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</si>
  <si>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</si>
  <si>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</si>
  <si>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</si>
  <si>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</si>
  <si>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</si>
  <si>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</si>
  <si>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</si>
  <si>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</si>
  <si>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</si>
  <si>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</si>
  <si>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</si>
  <si>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</si>
  <si>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</si>
  <si>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</si>
  <si>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</si>
  <si>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</si>
  <si>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</si>
  <si>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</si>
  <si>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</si>
  <si>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</si>
  <si>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</si>
  <si>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</si>
  <si>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</si>
  <si>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</si>
  <si>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</si>
  <si>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</si>
  <si>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</si>
  <si>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</si>
  <si>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</si>
  <si>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</si>
  <si>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</si>
  <si>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</si>
  <si>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</si>
  <si>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</si>
  <si>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</si>
  <si>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</si>
  <si>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</si>
  <si>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</si>
  <si>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</si>
  <si>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</si>
  <si>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</si>
  <si>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</si>
  <si>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</si>
  <si>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</si>
  <si>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</si>
  <si>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</si>
  <si>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</si>
  <si>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</si>
  <si>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</si>
  <si>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</si>
  <si>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</si>
  <si>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</si>
  <si>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</si>
  <si>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</si>
  <si>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</si>
  <si>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</si>
  <si>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</si>
  <si>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</si>
  <si>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</si>
  <si>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</si>
  <si>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</si>
  <si>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</si>
  <si>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</si>
  <si>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</si>
  <si>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</si>
  <si>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</si>
  <si>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</si>
  <si>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</si>
  <si>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</si>
  <si>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</si>
  <si>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</si>
  <si>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</si>
  <si>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</si>
  <si>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</si>
  <si>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</si>
  <si>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</si>
  <si>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</si>
  <si>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</si>
  <si>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</si>
  <si>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</si>
  <si>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</si>
  <si>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</si>
  <si>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</si>
  <si>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</si>
  <si>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</si>
  <si>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</si>
  <si>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</si>
  <si>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</si>
  <si>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</si>
  <si>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</si>
  <si>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</si>
  <si>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</si>
  <si>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</si>
  <si>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</si>
  <si>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</si>
  <si>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</si>
  <si>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</si>
  <si>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</si>
  <si>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</si>
  <si>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</si>
  <si>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</si>
  <si>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</si>
  <si>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</si>
  <si>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</si>
  <si>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</si>
  <si>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</si>
  <si>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</si>
  <si>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</si>
  <si>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</si>
  <si>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</si>
  <si>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</si>
  <si>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</si>
  <si>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</si>
  <si>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</si>
  <si>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</si>
  <si>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</si>
  <si>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</si>
  <si>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</si>
  <si>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</si>
  <si>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</si>
  <si>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</si>
  <si>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</si>
  <si>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</si>
  <si>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</si>
  <si>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</si>
  <si>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</si>
  <si>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</si>
  <si>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</si>
  <si>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</si>
  <si>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</si>
  <si>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</si>
  <si>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</si>
  <si>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</si>
  <si>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</si>
  <si>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</si>
  <si>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</si>
  <si>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</si>
  <si>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</si>
  <si>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</si>
  <si>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</si>
  <si>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</si>
  <si>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</si>
  <si>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</si>
  <si>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</si>
  <si>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</si>
  <si>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</si>
  <si>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</si>
  <si>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</si>
  <si>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</si>
  <si>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</si>
  <si>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</si>
  <si>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</si>
  <si>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</si>
  <si>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</si>
  <si>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</si>
  <si>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</si>
  <si>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</si>
  <si>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</si>
  <si>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</si>
  <si>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</si>
  <si>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</si>
  <si>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</si>
  <si>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</si>
  <si>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</si>
  <si>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</si>
  <si>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</si>
  <si>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</si>
  <si>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</si>
  <si>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</si>
  <si>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</si>
  <si>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</si>
  <si>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</si>
  <si>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</si>
  <si>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</si>
  <si>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</si>
  <si>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</si>
  <si>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</si>
  <si>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</si>
  <si>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</si>
  <si>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</si>
  <si>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</si>
  <si>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</si>
  <si>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</si>
  <si>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</si>
  <si>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</si>
  <si>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</si>
  <si>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</si>
  <si>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</si>
  <si>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</si>
  <si>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</si>
  <si>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</si>
  <si>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</si>
  <si>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</si>
  <si>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</si>
  <si>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</si>
  <si>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</si>
  <si>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</si>
  <si>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</si>
  <si>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</si>
  <si>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</si>
  <si>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</si>
  <si>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</si>
  <si>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</si>
  <si>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</si>
  <si>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</si>
  <si>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</si>
  <si>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</si>
  <si>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</si>
  <si>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</si>
  <si>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</si>
  <si>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</si>
  <si>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</si>
  <si>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</si>
  <si>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</si>
  <si>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</si>
  <si>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</si>
  <si>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</si>
  <si>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</si>
  <si>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</si>
  <si>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</si>
  <si>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</si>
  <si>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</si>
  <si>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</si>
  <si>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</si>
  <si>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</si>
  <si>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</si>
  <si>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</si>
  <si>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</si>
  <si>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</si>
  <si>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</si>
  <si>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</si>
  <si>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</si>
  <si>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</si>
  <si>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</si>
  <si>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</si>
  <si>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</si>
  <si>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</si>
  <si>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</si>
  <si>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</si>
  <si>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</si>
  <si>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</si>
  <si>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</si>
  <si>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</si>
  <si>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</si>
  <si>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</si>
  <si>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</si>
  <si>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</si>
  <si>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</si>
  <si>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</si>
  <si>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</si>
  <si>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</si>
  <si>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</si>
  <si>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</si>
  <si>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</si>
  <si>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</si>
  <si>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</si>
  <si>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</si>
  <si>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</si>
  <si>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</si>
  <si>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</si>
  <si>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</si>
  <si>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</si>
  <si>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</si>
  <si>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</si>
  <si>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</si>
  <si>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</si>
  <si>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</si>
  <si>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</si>
  <si>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</si>
  <si>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</si>
  <si>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</si>
  <si>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</si>
  <si>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</si>
  <si>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</si>
  <si>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</si>
  <si>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</si>
  <si>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</si>
  <si>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</si>
  <si>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</si>
  <si>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</si>
  <si>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</si>
  <si>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</si>
  <si>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</si>
  <si>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</si>
  <si>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</si>
  <si>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</si>
  <si>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</si>
  <si>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</si>
  <si>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</si>
  <si>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</si>
  <si>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</si>
  <si>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</si>
  <si>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</si>
  <si>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</si>
  <si>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</si>
  <si>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</si>
  <si>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</si>
  <si>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</si>
  <si>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</si>
  <si>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</si>
  <si>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</si>
  <si>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</si>
  <si>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</si>
  <si>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</si>
  <si>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</si>
  <si>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</si>
  <si>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</si>
  <si>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</si>
  <si>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</si>
  <si>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</si>
  <si>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</si>
  <si>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</si>
  <si>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</si>
  <si>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</si>
  <si>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</si>
  <si>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</si>
  <si>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</si>
  <si>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</si>
  <si>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</si>
  <si>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</si>
  <si>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</si>
  <si>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</si>
  <si>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</si>
  <si>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</si>
  <si>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</si>
  <si>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</si>
  <si>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</si>
  <si>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</si>
  <si>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</si>
  <si>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</si>
  <si>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</si>
  <si>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</si>
  <si>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</si>
  <si>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</si>
  <si>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</si>
  <si>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</si>
  <si>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</si>
  <si>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</si>
  <si>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</si>
  <si>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</si>
  <si>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</si>
  <si>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</si>
  <si>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</si>
  <si>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</si>
  <si>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</si>
  <si>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</si>
  <si>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</si>
  <si>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</si>
  <si>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</si>
  <si>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</si>
  <si>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</si>
  <si>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</si>
  <si>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</si>
  <si>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</si>
  <si>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</si>
  <si>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</si>
  <si>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</si>
  <si>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</si>
  <si>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</si>
  <si>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</si>
  <si>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</si>
  <si>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</si>
  <si>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</si>
  <si>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</si>
  <si>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</si>
  <si>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</si>
  <si>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</si>
  <si>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</si>
  <si>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</si>
  <si>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</si>
  <si>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</si>
  <si>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</si>
  <si>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</si>
  <si>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</si>
  <si>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</si>
  <si>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</si>
  <si>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</si>
  <si>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</si>
  <si>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</si>
  <si>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</si>
  <si>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</si>
  <si>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</si>
  <si>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</si>
  <si>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</si>
  <si>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</si>
  <si>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</si>
  <si>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</si>
  <si>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</si>
  <si>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</si>
  <si>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</si>
  <si>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</si>
  <si>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</si>
  <si>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</si>
  <si>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</si>
  <si>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</si>
  <si>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</si>
  <si>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</si>
  <si>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</si>
  <si>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</si>
  <si>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</si>
  <si>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</si>
  <si>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</si>
  <si>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</si>
  <si>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</si>
  <si>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</si>
  <si>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</si>
  <si>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</si>
  <si>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</si>
  <si>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</si>
  <si>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</si>
  <si>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</si>
  <si>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</si>
  <si>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</si>
  <si>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</si>
  <si>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</si>
  <si>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</si>
  <si>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</si>
  <si>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</si>
  <si>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</si>
  <si>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</si>
  <si>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</si>
  <si>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</si>
  <si>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</si>
  <si>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</si>
  <si>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</si>
  <si>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</si>
  <si>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</si>
  <si>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</si>
  <si>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</si>
  <si>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</si>
  <si>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</si>
  <si>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</si>
  <si>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</si>
  <si>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</si>
  <si>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</si>
  <si>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</si>
  <si>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</si>
  <si>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</si>
  <si>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</si>
  <si>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</si>
  <si>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</si>
  <si>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</si>
  <si>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</si>
  <si>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</si>
  <si>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</si>
  <si>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</si>
  <si>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</si>
  <si>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</si>
  <si>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</si>
  <si>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</si>
  <si>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</si>
  <si>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</si>
  <si>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</si>
  <si>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</si>
  <si>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</si>
  <si>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</si>
  <si>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</si>
  <si>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</si>
  <si>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</si>
  <si>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</si>
  <si>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</si>
  <si>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</si>
  <si>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</si>
  <si>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</si>
  <si>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</si>
  <si>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</si>
  <si>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</si>
  <si>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</si>
  <si>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</si>
  <si>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</si>
  <si>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</si>
  <si>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</si>
  <si>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</si>
  <si>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</si>
  <si>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</si>
  <si>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</si>
  <si>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</si>
  <si>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</si>
  <si>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</si>
  <si>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</si>
  <si>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</si>
  <si>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</si>
  <si>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</si>
  <si>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</si>
  <si>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</si>
  <si>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</si>
  <si>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</si>
  <si>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</si>
  <si>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</si>
  <si>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</si>
  <si>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</si>
  <si>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</si>
  <si>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</si>
  <si>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</si>
  <si>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</si>
  <si>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</si>
  <si>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</si>
  <si>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</si>
  <si>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</si>
  <si>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</si>
  <si>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</si>
  <si>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</si>
  <si>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</si>
  <si>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</si>
  <si>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</si>
  <si>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</si>
  <si>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</si>
  <si>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</si>
  <si>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</si>
  <si>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</si>
  <si>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</si>
  <si>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</si>
  <si>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</si>
  <si>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</si>
  <si>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</si>
  <si>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</si>
  <si>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</si>
  <si>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</si>
  <si>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</si>
  <si>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</si>
  <si>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</si>
  <si>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</si>
  <si>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</si>
  <si>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</si>
  <si>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</si>
  <si>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</si>
  <si>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</si>
  <si>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</si>
  <si>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</si>
  <si>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</si>
  <si>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</si>
  <si>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</si>
  <si>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</si>
  <si>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</si>
  <si>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</si>
  <si>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</si>
  <si>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</si>
  <si>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</si>
  <si>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</si>
  <si>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</si>
  <si>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</si>
  <si>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</si>
  <si>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</si>
  <si>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</si>
  <si>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</si>
  <si>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</si>
  <si>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</si>
  <si>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</si>
  <si>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</si>
  <si>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</si>
  <si>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</si>
  <si>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</si>
  <si>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</si>
  <si>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</si>
  <si>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</si>
  <si>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</si>
  <si>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</si>
  <si>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</si>
  <si>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</si>
  <si>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</si>
  <si>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</si>
  <si>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</si>
  <si>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</si>
  <si>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</si>
  <si>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</si>
  <si>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</si>
  <si>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</si>
  <si>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</si>
  <si>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</si>
  <si>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</si>
  <si>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</si>
  <si>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</si>
  <si>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</si>
  <si>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</si>
  <si>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</si>
  <si>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</si>
  <si>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</si>
  <si>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</si>
  <si>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</si>
  <si>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</si>
  <si>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</si>
  <si>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</si>
  <si>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</si>
  <si>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</si>
  <si>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</si>
  <si>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</si>
  <si>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</si>
  <si>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</si>
  <si>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</si>
  <si>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</si>
  <si>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</si>
  <si>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</si>
  <si>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</si>
  <si>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</si>
  <si>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</si>
  <si>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</si>
  <si>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</si>
  <si>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</si>
  <si>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</si>
  <si>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</si>
  <si>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</si>
  <si>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</si>
  <si>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</si>
  <si>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</si>
  <si>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</si>
  <si>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</si>
  <si>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</si>
  <si>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</si>
  <si>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</si>
  <si>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</si>
  <si>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</si>
  <si>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</si>
  <si>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</si>
  <si>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</si>
  <si>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</si>
  <si>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</si>
  <si>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</si>
  <si>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</si>
  <si>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</si>
  <si>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</si>
  <si>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</si>
  <si>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</si>
  <si>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</si>
  <si>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</si>
  <si>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</si>
  <si>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</si>
  <si>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</si>
  <si>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</si>
  <si>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</si>
  <si>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</si>
  <si>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</si>
  <si>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</si>
  <si>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</si>
  <si>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</si>
  <si>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</si>
  <si>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</si>
  <si>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</si>
  <si>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</si>
  <si>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</si>
  <si>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</si>
  <si>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</si>
  <si>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</si>
  <si>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</si>
  <si>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</si>
  <si>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</si>
  <si>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</si>
  <si>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</si>
  <si>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</si>
  <si>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</si>
  <si>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</si>
  <si>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</si>
  <si>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</si>
  <si>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</si>
  <si>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</si>
  <si>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</si>
  <si>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</si>
  <si>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</si>
  <si>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</si>
  <si>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</si>
  <si>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</si>
  <si>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</si>
  <si>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</si>
  <si>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</si>
  <si>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</si>
  <si>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</si>
  <si>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</si>
  <si>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</si>
  <si>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</si>
  <si>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</si>
  <si>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</si>
  <si>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</si>
  <si>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</si>
  <si>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</si>
  <si>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</si>
  <si>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</si>
  <si>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</si>
  <si>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</si>
  <si>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</si>
  <si>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</si>
  <si>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</si>
  <si>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</si>
  <si>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</si>
  <si>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</si>
  <si>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</si>
  <si>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</si>
  <si>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</si>
  <si>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</si>
  <si>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</si>
  <si>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</si>
  <si>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</si>
  <si>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</si>
  <si>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</si>
  <si>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</si>
  <si>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</si>
  <si>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</si>
  <si>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</si>
  <si>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</si>
  <si>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</si>
  <si>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</si>
  <si>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</si>
  <si>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</si>
  <si>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</si>
  <si>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</si>
  <si>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</si>
  <si>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</si>
  <si>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</si>
  <si>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</si>
  <si>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</si>
  <si>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</si>
  <si>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</si>
  <si>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</si>
  <si>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</si>
  <si>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</si>
  <si>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</si>
  <si>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</si>
  <si>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</si>
  <si>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</si>
  <si>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</si>
  <si>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</si>
  <si>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</si>
  <si>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</si>
  <si>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</si>
  <si>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</si>
  <si>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</si>
  <si>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</si>
  <si>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</si>
  <si>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</si>
  <si>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</si>
  <si>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</si>
  <si>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</si>
  <si>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</si>
  <si>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</si>
  <si>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</si>
  <si>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</si>
  <si>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</si>
  <si>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</si>
  <si>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</si>
  <si>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</si>
  <si>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</si>
  <si>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</si>
  <si>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</si>
  <si>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</si>
  <si>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</si>
  <si>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</si>
  <si>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</si>
  <si>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</si>
  <si>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</si>
  <si>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</si>
  <si>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</si>
  <si>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</si>
  <si>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</si>
  <si>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</si>
  <si>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</si>
  <si>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</si>
  <si>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</si>
  <si>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</si>
  <si>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</si>
  <si>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</si>
  <si>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</si>
  <si>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</si>
  <si>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</si>
  <si>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</si>
  <si>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</si>
  <si>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</si>
  <si>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</si>
  <si>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</si>
  <si>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</si>
  <si>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</si>
  <si>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</si>
  <si>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</si>
  <si>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</si>
  <si>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</si>
  <si>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</si>
  <si>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</si>
  <si>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</si>
  <si>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</si>
  <si>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</si>
  <si>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</si>
  <si>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</si>
  <si>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</si>
  <si>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</si>
  <si>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</si>
  <si>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</si>
  <si>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</si>
  <si>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</si>
  <si>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</si>
  <si>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</si>
  <si>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</si>
  <si>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</si>
  <si>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</si>
  <si>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</si>
  <si>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</si>
  <si>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</si>
  <si>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</si>
  <si>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</si>
  <si>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</si>
  <si>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</si>
  <si>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</si>
  <si>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</si>
  <si>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</si>
  <si>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</si>
  <si>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</si>
  <si>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</si>
  <si>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</si>
  <si>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</si>
  <si>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</si>
  <si>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</si>
  <si>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</si>
  <si>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</si>
  <si>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</si>
  <si>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</si>
  <si>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</si>
  <si>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</si>
  <si>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</si>
  <si>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</si>
  <si>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</si>
  <si>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</si>
  <si>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</si>
  <si>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</si>
  <si>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</si>
  <si>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</si>
  <si>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</si>
  <si>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</si>
  <si>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</si>
  <si>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</si>
  <si>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</si>
  <si>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</si>
  <si>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</si>
  <si>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</si>
  <si>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</si>
  <si>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</si>
  <si>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</si>
  <si>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</si>
  <si>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</si>
  <si>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</si>
  <si>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</si>
  <si>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</si>
  <si>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</si>
  <si>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</si>
  <si>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</si>
  <si>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</si>
  <si>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</si>
  <si>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</si>
  <si>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</si>
  <si>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</si>
  <si>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</si>
  <si>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</si>
  <si>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</si>
  <si>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</si>
  <si>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</si>
  <si>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</si>
  <si>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</si>
  <si>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</si>
  <si>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</si>
  <si>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</si>
  <si>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</si>
  <si>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</si>
  <si>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</si>
  <si>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</si>
  <si>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</si>
  <si>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</si>
  <si>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</si>
  <si>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</si>
  <si>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</si>
  <si>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</si>
  <si>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</si>
  <si>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</si>
  <si>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</si>
  <si>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</si>
  <si>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</si>
  <si>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</si>
  <si>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</si>
  <si>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</si>
  <si>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</si>
  <si>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</si>
  <si>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</si>
  <si>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</si>
  <si>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</si>
  <si>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</si>
  <si>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</si>
  <si>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</si>
  <si>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</si>
  <si>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</si>
  <si>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</si>
  <si>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</si>
  <si>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</si>
  <si>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</si>
  <si>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</si>
  <si>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</si>
  <si>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</si>
  <si>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</si>
  <si>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</si>
  <si>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</si>
  <si>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</si>
  <si>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</si>
  <si>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</si>
  <si>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</si>
  <si>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</si>
  <si>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</si>
  <si>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</si>
  <si>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</si>
  <si>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</si>
  <si>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</si>
  <si>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</si>
  <si>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</si>
  <si>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</si>
  <si>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</si>
  <si>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</si>
  <si>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</si>
  <si>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</si>
  <si>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</si>
  <si>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</si>
  <si>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</si>
  <si>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</si>
  <si>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</si>
  <si>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</si>
  <si>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</si>
  <si>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</si>
  <si>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</si>
  <si>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</si>
  <si>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</si>
  <si>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</si>
  <si>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</si>
  <si>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</si>
  <si>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</si>
  <si>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</si>
  <si>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</si>
  <si>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</si>
  <si>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</si>
  <si>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</si>
  <si>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</si>
  <si>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</si>
  <si>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</si>
  <si>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</si>
  <si>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</si>
  <si>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</si>
  <si>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</si>
  <si>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</si>
  <si>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</si>
  <si>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</si>
  <si>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</si>
  <si>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</si>
  <si>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</si>
  <si>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</si>
  <si>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</si>
  <si>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</si>
  <si>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</si>
  <si>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</si>
  <si>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</si>
  <si>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</si>
  <si>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</si>
  <si>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</si>
  <si>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</si>
  <si>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</si>
  <si>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</si>
  <si>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</si>
  <si>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</si>
  <si>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</si>
  <si>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</si>
  <si>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</si>
  <si>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</si>
  <si>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</si>
  <si>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</si>
  <si>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</si>
  <si>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</si>
  <si>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</si>
  <si>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</si>
  <si>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</si>
  <si>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</si>
  <si>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</si>
  <si>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</si>
  <si>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</si>
  <si>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</si>
  <si>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</si>
  <si>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</si>
  <si>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</si>
  <si>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</si>
  <si>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</si>
  <si>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</si>
  <si>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</si>
  <si>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</si>
  <si>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</si>
  <si>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</si>
  <si>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</si>
  <si>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</si>
  <si>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</si>
  <si>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</si>
  <si>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</si>
  <si>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</si>
  <si>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</si>
  <si>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</si>
  <si>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</si>
  <si>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</si>
  <si>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</si>
  <si>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</si>
  <si>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</si>
  <si>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</si>
  <si>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</si>
  <si>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</si>
  <si>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</si>
  <si>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</si>
  <si>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</si>
  <si>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</si>
  <si>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</si>
  <si>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</si>
  <si>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</si>
  <si>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</si>
  <si>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</si>
  <si>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</si>
  <si>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</si>
  <si>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</si>
  <si>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</si>
  <si>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</si>
  <si>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</si>
  <si>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</si>
  <si>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</si>
  <si>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</si>
  <si>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</si>
  <si>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</si>
  <si>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</si>
  <si>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</si>
  <si>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</si>
  <si>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</si>
  <si>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</si>
  <si>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</si>
  <si>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</si>
  <si>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</si>
  <si>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</si>
  <si>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</si>
  <si>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</si>
  <si>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</si>
  <si>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</si>
  <si>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</si>
  <si>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</si>
  <si>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</si>
  <si>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</si>
  <si>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</si>
  <si>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</si>
  <si>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</si>
  <si>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</si>
  <si>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</si>
  <si>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</si>
  <si>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</si>
  <si>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</si>
  <si>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</si>
  <si>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</si>
  <si>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</si>
  <si>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</si>
  <si>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</si>
  <si>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</si>
  <si>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</si>
  <si>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</si>
  <si>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</si>
  <si>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</si>
  <si>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</si>
  <si>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</si>
  <si>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</si>
  <si>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</si>
  <si>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</si>
  <si>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</si>
  <si>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</si>
  <si>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</si>
  <si>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</si>
  <si>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</si>
  <si>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</si>
  <si>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</si>
  <si>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</si>
  <si>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</si>
  <si>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</si>
  <si>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</si>
  <si>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</si>
  <si>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</si>
  <si>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</si>
  <si>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</si>
  <si>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</si>
  <si>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</si>
  <si>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</si>
  <si>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</si>
  <si>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</si>
  <si>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</si>
  <si>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</si>
  <si>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</si>
  <si>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</si>
  <si>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</si>
  <si>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</si>
  <si>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</si>
  <si>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</si>
  <si>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</si>
  <si>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</si>
  <si>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</si>
  <si>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</si>
  <si>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</si>
  <si>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</si>
  <si>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</si>
  <si>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</si>
  <si>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</si>
  <si>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</si>
  <si>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</si>
  <si>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</si>
  <si>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</si>
  <si>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</si>
  <si>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</si>
  <si>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</si>
  <si>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</si>
  <si>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</si>
  <si>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</si>
  <si>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</si>
  <si>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</si>
  <si>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</si>
  <si>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</si>
  <si>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</si>
  <si>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</si>
  <si>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</si>
  <si>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</si>
  <si>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</si>
  <si>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</si>
  <si>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</si>
  <si>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</si>
  <si>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</si>
  <si>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</si>
  <si>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</si>
  <si>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</si>
  <si>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</si>
  <si>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</si>
  <si>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</si>
  <si>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</si>
  <si>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</si>
  <si>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</si>
  <si>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</si>
  <si>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</si>
  <si>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</si>
  <si>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</si>
  <si>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</si>
  <si>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</si>
  <si>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</si>
  <si>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</si>
  <si>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</si>
  <si>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</si>
  <si>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</si>
  <si>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</si>
  <si>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</si>
  <si>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</si>
  <si>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</si>
  <si>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</si>
  <si>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</si>
  <si>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</si>
  <si>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</si>
  <si>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</si>
  <si>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</si>
  <si>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</si>
  <si>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</si>
  <si>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</si>
  <si>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</si>
  <si>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</si>
  <si>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</si>
  <si>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</si>
  <si>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</si>
  <si>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</si>
  <si>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</si>
  <si>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</si>
  <si>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</si>
  <si>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</si>
  <si>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</si>
  <si>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</si>
  <si>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</si>
  <si>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</si>
  <si>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</si>
  <si>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</si>
  <si>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</si>
  <si>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</si>
  <si>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</si>
  <si>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</si>
  <si>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</si>
  <si>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</si>
  <si>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</si>
  <si>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</si>
  <si>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</si>
  <si>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</si>
  <si>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</si>
  <si>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</si>
  <si>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</si>
  <si>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</si>
  <si>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</si>
  <si>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</si>
  <si>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</si>
  <si>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</si>
  <si>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</si>
  <si>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</si>
  <si>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</si>
  <si>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</si>
  <si>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</si>
  <si>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</si>
  <si>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</si>
  <si>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</si>
  <si>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</si>
  <si>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</si>
  <si>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</si>
  <si>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</si>
  <si>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</si>
  <si>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</si>
  <si>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</si>
  <si>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</si>
  <si>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</si>
  <si>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</si>
  <si>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</si>
  <si>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</si>
  <si>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</si>
  <si>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</si>
  <si>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</si>
  <si>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</si>
  <si>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</si>
  <si>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</si>
  <si>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</si>
  <si>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</si>
  <si>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</si>
  <si>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</si>
  <si>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</si>
  <si>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</si>
  <si>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</si>
  <si>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</si>
  <si>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</si>
  <si>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</si>
  <si>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</si>
  <si>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</si>
  <si>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</si>
  <si>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</si>
  <si>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</si>
  <si>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</si>
  <si>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</si>
  <si>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</si>
  <si>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</si>
  <si>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</si>
  <si>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</si>
  <si>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</si>
  <si>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</si>
  <si>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</si>
  <si>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</si>
  <si>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</si>
  <si>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</si>
  <si>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</si>
  <si>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</si>
  <si>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</si>
  <si>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</si>
  <si>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</si>
  <si>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</si>
  <si>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</si>
  <si>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</si>
  <si>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</si>
  <si>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</si>
  <si>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</si>
  <si>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</si>
  <si>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</si>
  <si>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</si>
  <si>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</si>
  <si>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</si>
  <si>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</si>
  <si>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</si>
  <si>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</si>
  <si>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</si>
  <si>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</si>
  <si>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</si>
  <si>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</si>
  <si>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</si>
  <si>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</si>
  <si>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</si>
  <si>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</si>
  <si>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</si>
  <si>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</si>
  <si>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</si>
  <si>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</si>
  <si>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</si>
  <si>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</si>
  <si>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</si>
  <si>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</si>
  <si>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</si>
  <si>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</si>
  <si>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</si>
  <si>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</si>
  <si>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</si>
  <si>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</si>
  <si>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</si>
  <si>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</si>
  <si>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</si>
  <si>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</si>
  <si>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</si>
  <si>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</si>
  <si>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</si>
  <si>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</si>
  <si>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</si>
  <si>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</si>
  <si>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</si>
  <si>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</si>
  <si>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</si>
  <si>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</si>
  <si>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</si>
  <si>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</si>
  <si>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</si>
  <si>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</si>
  <si>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</si>
  <si>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</si>
  <si>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</si>
  <si>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</si>
  <si>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</si>
  <si>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</si>
  <si>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</si>
  <si>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</si>
  <si>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</si>
  <si>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</si>
  <si>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</si>
  <si>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</si>
  <si>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</si>
  <si>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</si>
  <si>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</si>
  <si>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</si>
  <si>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</si>
  <si>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</si>
  <si>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</si>
  <si>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</si>
  <si>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</si>
  <si>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</si>
  <si>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</si>
  <si>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</si>
  <si>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</si>
  <si>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</si>
  <si>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</si>
  <si>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</si>
  <si>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</si>
  <si>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</si>
  <si>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</si>
  <si>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</si>
  <si>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</si>
  <si>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</si>
  <si>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</si>
  <si>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</si>
  <si>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</si>
  <si>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</si>
  <si>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</si>
  <si>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</si>
  <si>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</si>
  <si>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</si>
  <si>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</si>
  <si>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</si>
  <si>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</si>
  <si>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</si>
  <si>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</si>
  <si>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</si>
  <si>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</si>
  <si>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</si>
  <si>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</si>
  <si>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</si>
  <si>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</si>
  <si>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</si>
  <si>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</si>
  <si>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</si>
  <si>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</si>
  <si>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</si>
  <si>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</si>
  <si>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</si>
  <si>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</si>
  <si>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</si>
  <si>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</si>
  <si>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</si>
  <si>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</si>
  <si>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</si>
  <si>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</si>
  <si>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</si>
  <si>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</si>
  <si>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</si>
  <si>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</si>
  <si>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</si>
  <si>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</si>
  <si>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</si>
  <si>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</si>
  <si>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</si>
  <si>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</si>
  <si>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</si>
  <si>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</si>
  <si>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</si>
  <si>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</si>
  <si>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</si>
  <si>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</si>
  <si>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</si>
  <si>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</si>
  <si>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</si>
  <si>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</si>
  <si>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</si>
  <si>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</si>
  <si>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</si>
  <si>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</si>
  <si>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</si>
  <si>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</si>
  <si>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</si>
  <si>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</si>
  <si>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</si>
  <si>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</si>
  <si>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</si>
  <si>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</si>
  <si>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</si>
  <si>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</si>
  <si>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</si>
  <si>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</si>
  <si>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</si>
  <si>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</si>
  <si>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</si>
  <si>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</si>
  <si>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</si>
  <si>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</si>
  <si>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</si>
  <si>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</si>
  <si>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</si>
  <si>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</si>
  <si>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</si>
  <si>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</si>
  <si>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</si>
  <si>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</si>
  <si>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</si>
  <si>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</si>
  <si>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</si>
  <si>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</si>
  <si>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</si>
  <si>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</si>
  <si>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</si>
  <si>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</si>
  <si>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</si>
  <si>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</si>
  <si>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</si>
  <si>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</si>
  <si>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</si>
  <si>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</si>
  <si>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</si>
  <si>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</si>
  <si>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</si>
  <si>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</si>
  <si>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</si>
  <si>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</si>
  <si>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</si>
  <si>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</si>
  <si>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</si>
  <si>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</si>
  <si>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</si>
  <si>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</si>
  <si>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</si>
  <si>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</si>
  <si>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</si>
  <si>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</si>
  <si>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</si>
  <si>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</si>
  <si>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</si>
  <si>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</si>
  <si>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</si>
  <si>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</si>
  <si>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</si>
  <si>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</si>
  <si>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</si>
  <si>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</si>
  <si>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</si>
  <si>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</si>
  <si>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</si>
  <si>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</si>
  <si>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</si>
  <si>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</si>
  <si>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</si>
  <si>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</si>
  <si>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</si>
  <si>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</si>
  <si>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</si>
  <si>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</si>
  <si>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</si>
  <si>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</si>
  <si>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</si>
  <si>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</si>
  <si>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</si>
  <si>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</si>
  <si>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</si>
  <si>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</si>
  <si>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</si>
  <si>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</si>
  <si>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</si>
  <si>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</si>
  <si>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</si>
  <si>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</si>
  <si>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</si>
  <si>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</si>
  <si>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</si>
  <si>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</si>
  <si>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</si>
  <si>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</si>
  <si>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</si>
  <si>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</si>
  <si>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</si>
  <si>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</si>
  <si>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</si>
  <si>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</si>
  <si>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</si>
  <si>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</si>
  <si>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</si>
  <si>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</si>
  <si>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</si>
  <si>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</si>
  <si>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</si>
  <si>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</si>
  <si>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</si>
  <si>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</si>
  <si>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</si>
  <si>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</si>
  <si>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</si>
  <si>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</si>
  <si>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</si>
  <si>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</si>
  <si>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</si>
  <si>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</si>
  <si>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</si>
  <si>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</si>
  <si>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</si>
  <si>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</si>
  <si>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</si>
  <si>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</si>
  <si>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</si>
  <si>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</si>
  <si>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</si>
  <si>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</si>
  <si>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</si>
  <si>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</si>
  <si>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</si>
  <si>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</si>
  <si>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</si>
  <si>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</si>
  <si>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</si>
  <si>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</si>
  <si>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</si>
  <si>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</si>
  <si>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</si>
  <si>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</si>
  <si>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</si>
  <si>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</si>
  <si>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</si>
  <si>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</si>
  <si>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</si>
  <si>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</si>
  <si>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</si>
  <si>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</si>
  <si>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</si>
  <si>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</si>
  <si>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</si>
  <si>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</si>
  <si>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</si>
  <si>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</si>
  <si>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</si>
  <si>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</si>
  <si>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</si>
  <si>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</si>
  <si>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</si>
  <si>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</si>
  <si>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</si>
  <si>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</si>
  <si>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</si>
  <si>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</si>
  <si>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</si>
  <si>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</si>
  <si>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</si>
  <si>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</si>
  <si>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</si>
  <si>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</si>
  <si>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</si>
  <si>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</si>
  <si>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</si>
  <si>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</si>
  <si>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</si>
  <si>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</si>
  <si>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</si>
  <si>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</si>
  <si>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</si>
  <si>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</si>
  <si>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</si>
  <si>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</si>
  <si>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</si>
  <si>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</si>
  <si>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</si>
  <si>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</si>
  <si>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</si>
  <si>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</si>
  <si>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</si>
  <si>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</si>
  <si>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</si>
  <si>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</si>
  <si>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</si>
  <si>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</si>
  <si>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</si>
  <si>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</si>
  <si>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</si>
  <si>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</si>
  <si>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</si>
  <si>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</si>
  <si>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</si>
  <si>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</si>
  <si>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</si>
  <si>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</si>
  <si>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</si>
  <si>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</si>
  <si>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</si>
  <si>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</si>
  <si>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</si>
  <si>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</si>
  <si>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</si>
  <si>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</si>
  <si>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</si>
  <si>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</si>
  <si>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</si>
  <si>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</si>
  <si>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</si>
  <si>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</si>
  <si>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</si>
  <si>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</si>
  <si>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</si>
  <si>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</si>
  <si>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</si>
  <si>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</si>
  <si>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</si>
  <si>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</si>
  <si>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</si>
  <si>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</si>
  <si>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</si>
  <si>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</si>
  <si>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</si>
  <si>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</si>
  <si>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</si>
  <si>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</si>
  <si>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</si>
  <si>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</si>
  <si>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</si>
  <si>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</si>
  <si>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</si>
  <si>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</si>
  <si>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</si>
  <si>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</si>
  <si>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</si>
  <si>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</si>
  <si>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</si>
  <si>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</si>
  <si>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</si>
  <si>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</si>
  <si>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</si>
  <si>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</si>
  <si>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</si>
  <si>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</si>
  <si>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</si>
  <si>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</si>
  <si>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</si>
  <si>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</si>
  <si>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</si>
  <si>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</si>
  <si>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</si>
  <si>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</si>
  <si>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</si>
  <si>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</si>
  <si>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</si>
  <si>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</si>
  <si>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</si>
  <si>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</si>
  <si>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</si>
  <si>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</si>
  <si>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</si>
  <si>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</si>
  <si>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</si>
  <si>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</si>
  <si>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</si>
  <si>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</si>
  <si>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</si>
  <si>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</si>
  <si>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</si>
  <si>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</si>
  <si>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</si>
  <si>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</si>
  <si>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</si>
  <si>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</si>
  <si>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</si>
  <si>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</si>
  <si>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</si>
  <si>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</si>
  <si>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</si>
  <si>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</si>
  <si>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</si>
  <si>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</si>
  <si>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</si>
  <si>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</si>
  <si>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</si>
  <si>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</si>
  <si>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</si>
  <si>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</si>
  <si>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</si>
  <si>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</si>
  <si>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</si>
  <si>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</si>
  <si>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</si>
  <si>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</si>
  <si>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</si>
  <si>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</si>
  <si>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</si>
  <si>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</si>
  <si>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</si>
  <si>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</si>
  <si>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</si>
  <si>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</si>
  <si>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</si>
  <si>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</si>
  <si>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</si>
  <si>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</si>
  <si>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</si>
  <si>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</si>
  <si>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</si>
  <si>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</si>
  <si>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</si>
  <si>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</si>
  <si>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</si>
  <si>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</si>
  <si>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</si>
  <si>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</si>
  <si>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</si>
  <si>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</si>
  <si>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</si>
  <si>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</si>
  <si>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</si>
  <si>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</si>
  <si>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</si>
  <si>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</si>
  <si>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</si>
  <si>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</si>
  <si>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</si>
  <si>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</si>
  <si>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</si>
  <si>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</si>
  <si>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</si>
  <si>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</si>
  <si>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</si>
  <si>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</si>
  <si>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</si>
  <si>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</si>
  <si>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</si>
  <si>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</si>
  <si>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</si>
  <si>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</si>
  <si>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</si>
  <si>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</si>
  <si>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</si>
  <si>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</si>
  <si>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</si>
  <si>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</si>
  <si>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</si>
  <si>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</si>
  <si>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</si>
  <si>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</si>
  <si>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</si>
  <si>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</si>
  <si>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</si>
  <si>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</si>
  <si>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</si>
  <si>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</si>
  <si>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</si>
  <si>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</si>
  <si>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</si>
  <si>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</si>
  <si>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</si>
  <si>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</si>
  <si>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</si>
  <si>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</si>
  <si>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</si>
  <si>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</si>
  <si>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</si>
  <si>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</si>
  <si>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</si>
  <si>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</si>
  <si>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</si>
  <si>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</si>
  <si>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</si>
  <si>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</si>
  <si>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</si>
  <si>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</si>
  <si>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</si>
  <si>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</si>
  <si>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</si>
  <si>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</si>
  <si>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</si>
  <si>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</si>
  <si>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</si>
  <si>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</si>
  <si>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</si>
  <si>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</si>
  <si>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</si>
  <si>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</si>
  <si>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</si>
  <si>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</si>
  <si>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</si>
  <si>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</si>
  <si>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</si>
  <si>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</si>
  <si>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</si>
  <si>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</si>
  <si>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</si>
  <si>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</si>
  <si>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</si>
  <si>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</si>
  <si>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</si>
  <si>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</si>
  <si>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</si>
  <si>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</si>
  <si>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</si>
  <si>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</si>
  <si>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</si>
  <si>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</si>
  <si>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</si>
  <si>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</si>
  <si>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</si>
  <si>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</si>
  <si>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</si>
  <si>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</si>
  <si>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</si>
  <si>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</si>
  <si>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</si>
  <si>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</si>
  <si>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</si>
  <si>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</si>
  <si>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</si>
  <si>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</si>
  <si>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</si>
  <si>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</si>
  <si>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</si>
  <si>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</si>
  <si>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</si>
  <si>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</si>
  <si>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</si>
  <si>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</si>
  <si>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</si>
  <si>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</si>
  <si>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</si>
  <si>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</si>
  <si>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</si>
  <si>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</si>
  <si>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</si>
  <si>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</si>
  <si>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</si>
  <si>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</si>
  <si>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</si>
  <si>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</si>
  <si>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</si>
  <si>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</si>
  <si>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</si>
  <si>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</si>
  <si>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</si>
  <si>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</si>
  <si>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</si>
  <si>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</si>
  <si>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</si>
  <si>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</si>
  <si>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</si>
  <si>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</si>
  <si>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</si>
  <si>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</si>
  <si>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</si>
  <si>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</si>
  <si>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</si>
  <si>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</si>
  <si>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</si>
  <si>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</si>
  <si>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</si>
  <si>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</si>
  <si>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</si>
  <si>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</si>
  <si>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</si>
  <si>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</si>
  <si>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</si>
  <si>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</si>
  <si>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</si>
  <si>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</si>
  <si>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</si>
  <si>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</si>
  <si>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</si>
  <si>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</si>
  <si>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</si>
  <si>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</si>
  <si>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</si>
  <si>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</si>
  <si>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</si>
  <si>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</si>
  <si>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</si>
  <si>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</si>
  <si>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</si>
  <si>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</si>
  <si>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</si>
  <si>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</si>
  <si>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</si>
  <si>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</si>
  <si>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</si>
  <si>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</si>
  <si>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</si>
  <si>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</si>
  <si>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</si>
  <si>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</si>
  <si>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</si>
  <si>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</si>
  <si>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</si>
  <si>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</si>
  <si>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</si>
  <si>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</si>
  <si>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</si>
  <si>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</si>
  <si>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</si>
  <si>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</si>
  <si>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</si>
  <si>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</si>
  <si>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</si>
  <si>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</si>
  <si>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</si>
  <si>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</si>
  <si>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</si>
  <si>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</si>
  <si>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</si>
  <si>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</si>
  <si>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</si>
  <si>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</si>
  <si>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</si>
  <si>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</si>
  <si>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</si>
  <si>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</si>
  <si>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</si>
  <si>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</si>
  <si>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</si>
  <si>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</si>
  <si>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</si>
  <si>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</si>
  <si>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</si>
  <si>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</si>
  <si>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</si>
  <si>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</si>
  <si>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</si>
  <si>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</si>
  <si>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</si>
  <si>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</si>
  <si>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</si>
  <si>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</si>
  <si>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</si>
  <si>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</si>
  <si>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</si>
  <si>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</si>
  <si>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</si>
  <si>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</si>
  <si>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</si>
  <si>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</si>
  <si>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</si>
  <si>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</si>
  <si>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</si>
  <si>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</si>
  <si>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</si>
  <si>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</si>
  <si>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</si>
  <si>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</si>
  <si>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</si>
  <si>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</si>
  <si>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</si>
  <si>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</si>
  <si>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</si>
  <si>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</si>
  <si>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</si>
  <si>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</si>
  <si>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</si>
  <si>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</si>
  <si>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</si>
  <si>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</si>
  <si>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</si>
  <si>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</si>
  <si>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</si>
  <si>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</si>
  <si>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</si>
  <si>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</si>
  <si>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</si>
  <si>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</si>
  <si>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</si>
  <si>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</si>
  <si>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</si>
  <si>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</si>
  <si>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</si>
  <si>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</si>
  <si>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</si>
  <si>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</si>
  <si>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</si>
  <si>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</si>
  <si>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</si>
  <si>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</si>
  <si>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</si>
  <si>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</si>
  <si>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</si>
  <si>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</si>
  <si>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</si>
  <si>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</si>
  <si>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</si>
  <si>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</si>
  <si>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</si>
  <si>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</si>
  <si>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</si>
  <si>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</si>
  <si>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</si>
  <si>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</si>
  <si>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</si>
  <si>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</si>
  <si>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</si>
  <si>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</si>
  <si>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</si>
  <si>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</si>
  <si>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</si>
  <si>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</si>
  <si>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</si>
  <si>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</si>
  <si>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</si>
  <si>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</si>
  <si>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</si>
  <si>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</si>
  <si>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</si>
  <si>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</si>
  <si>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</si>
  <si>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</si>
  <si>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</si>
  <si>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</si>
  <si>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</si>
  <si>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</si>
  <si>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</si>
  <si>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</si>
  <si>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</si>
  <si>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</si>
  <si>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</si>
  <si>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</si>
  <si>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</si>
  <si>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</si>
  <si>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</si>
  <si>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</si>
  <si>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</si>
  <si>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</si>
  <si>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</si>
  <si>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</si>
  <si>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</si>
  <si>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</si>
  <si>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</si>
  <si>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</si>
  <si>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</si>
  <si>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</si>
  <si>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</si>
  <si>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</si>
  <si>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</si>
  <si>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</si>
  <si>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</si>
  <si>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</si>
  <si>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</si>
  <si>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</si>
  <si>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</si>
  <si>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</si>
  <si>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</si>
  <si>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</si>
  <si>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</si>
  <si>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</si>
  <si>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</si>
  <si>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</si>
  <si>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</si>
  <si>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</si>
  <si>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</si>
  <si>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</si>
  <si>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</si>
  <si>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</si>
  <si>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</si>
  <si>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</si>
  <si>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</si>
  <si>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</si>
  <si>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</si>
  <si>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</si>
  <si>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</si>
  <si>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</si>
  <si>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</si>
  <si>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</si>
  <si>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</si>
  <si>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</si>
  <si>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</si>
  <si>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</si>
  <si>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</si>
  <si>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</si>
  <si>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</si>
  <si>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</si>
  <si>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</si>
  <si>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</si>
  <si>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</si>
  <si>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</si>
  <si>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</si>
  <si>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</si>
  <si>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</si>
  <si>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</si>
  <si>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</si>
  <si>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</si>
  <si>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</si>
  <si>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</si>
  <si>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</si>
  <si>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</si>
  <si>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</si>
  <si>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</si>
  <si>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</si>
  <si>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</si>
  <si>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</si>
  <si>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</si>
  <si>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</si>
  <si>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</si>
  <si>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</si>
  <si>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</si>
  <si>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</si>
  <si>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</si>
  <si>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</si>
  <si>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</si>
  <si>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</si>
  <si>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</si>
  <si>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</si>
  <si>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</si>
  <si>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</si>
  <si>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</si>
  <si>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</si>
  <si>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</si>
  <si>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</si>
  <si>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</si>
  <si>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</si>
  <si>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</si>
  <si>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</si>
  <si>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</si>
  <si>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</si>
  <si>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</si>
  <si>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</si>
  <si>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</si>
  <si>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</si>
  <si>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</si>
  <si>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</si>
  <si>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</si>
  <si>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</si>
  <si>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</si>
  <si>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</si>
  <si>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</si>
  <si>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</si>
  <si>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</si>
  <si>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</si>
  <si>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</si>
  <si>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</si>
  <si>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</si>
  <si>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</si>
  <si>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</si>
  <si>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</si>
  <si>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</si>
  <si>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</si>
  <si>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</si>
  <si>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</si>
  <si>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</si>
  <si>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</si>
  <si>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</si>
  <si>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</si>
  <si>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</si>
  <si>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</si>
  <si>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</si>
  <si>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</si>
  <si>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</si>
  <si>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</si>
  <si>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</si>
  <si>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</si>
  <si>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</si>
  <si>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</si>
  <si>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</si>
  <si>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</si>
  <si>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</si>
  <si>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</si>
  <si>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</si>
  <si>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</si>
  <si>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</si>
  <si>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</si>
  <si>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</si>
  <si>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</si>
  <si>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</si>
  <si>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</si>
  <si>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</si>
  <si>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</si>
  <si>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</si>
  <si>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</si>
  <si>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</si>
  <si>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</si>
  <si>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</si>
  <si>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</si>
  <si>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</si>
  <si>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</si>
  <si>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</si>
  <si>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</si>
  <si>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</si>
  <si>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</si>
  <si>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</si>
  <si>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</si>
  <si>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</si>
  <si>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</si>
  <si>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</si>
  <si>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</si>
  <si>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</si>
  <si>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</si>
  <si>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</si>
  <si>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</si>
  <si>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</si>
  <si>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</si>
  <si>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</si>
  <si>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</si>
  <si>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</si>
  <si>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</si>
  <si>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</si>
  <si>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</si>
  <si>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</si>
  <si>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</si>
  <si>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</si>
  <si>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</si>
  <si>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</si>
  <si>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</si>
  <si>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</si>
  <si>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</si>
  <si>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</si>
  <si>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</si>
  <si>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</si>
  <si>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</si>
  <si>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</si>
  <si>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</si>
  <si>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</si>
  <si>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</si>
  <si>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</si>
  <si>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</si>
  <si>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</si>
  <si>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</si>
  <si>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</si>
  <si>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</si>
  <si>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</si>
  <si>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</si>
  <si>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</si>
  <si>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</si>
  <si>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</si>
  <si>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</si>
  <si>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</si>
  <si>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</si>
  <si>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</si>
  <si>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</si>
  <si>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</si>
  <si>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</si>
  <si>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</si>
  <si>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</si>
  <si>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</si>
  <si>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</si>
  <si>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</si>
  <si>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</si>
  <si>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</si>
  <si>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</si>
  <si>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</si>
  <si>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</si>
  <si>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</si>
  <si>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</si>
  <si>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</si>
  <si>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</si>
  <si>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</si>
  <si>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</si>
  <si>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</si>
  <si>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</si>
  <si>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</si>
  <si>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</si>
  <si>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</si>
  <si>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</si>
  <si>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</si>
  <si>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</si>
  <si>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</si>
  <si>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</si>
  <si>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</si>
  <si>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</si>
  <si>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</si>
  <si>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</si>
  <si>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</si>
  <si>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</si>
  <si>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</si>
  <si>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</si>
  <si>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</si>
  <si>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</si>
  <si>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</si>
  <si>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</si>
  <si>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</si>
  <si>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</si>
  <si>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</si>
  <si>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</si>
  <si>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</si>
  <si>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</si>
  <si>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</si>
  <si>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</si>
  <si>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</si>
  <si>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</si>
  <si>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</si>
  <si>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</si>
  <si>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</si>
  <si>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</si>
  <si>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</si>
  <si>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</si>
  <si>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</si>
  <si>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</si>
  <si>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</si>
  <si>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</si>
  <si>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</si>
  <si>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</si>
  <si>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</si>
  <si>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</si>
  <si>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</si>
  <si>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</si>
  <si>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</si>
  <si>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</si>
  <si>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</si>
  <si>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</si>
  <si>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</si>
  <si>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</si>
  <si>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</si>
  <si>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</si>
  <si>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</si>
  <si>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</si>
  <si>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</si>
  <si>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</si>
  <si>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</si>
  <si>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</si>
  <si>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</si>
  <si>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</si>
  <si>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</si>
  <si>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</si>
  <si>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</si>
  <si>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</si>
  <si>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</si>
  <si>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</si>
  <si>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</si>
  <si>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</si>
  <si>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</si>
  <si>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</si>
  <si>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</si>
  <si>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</si>
  <si>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</si>
  <si>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</si>
  <si>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</si>
  <si>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</si>
  <si>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</si>
  <si>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</si>
  <si>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</si>
  <si>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</si>
  <si>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</si>
  <si>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</si>
  <si>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</si>
  <si>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</si>
  <si>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</si>
  <si>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</si>
  <si>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</si>
  <si>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</si>
  <si>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</si>
  <si>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</si>
  <si>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</si>
  <si>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</si>
  <si>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</si>
  <si>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</si>
  <si>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</si>
  <si>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</si>
  <si>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</si>
  <si>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</si>
  <si>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</si>
  <si>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</si>
  <si>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</si>
  <si>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</si>
  <si>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</si>
  <si>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</si>
  <si>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</si>
  <si>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</si>
  <si>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</si>
  <si>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</si>
  <si>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</si>
  <si>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</si>
  <si>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</si>
  <si>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</si>
  <si>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</si>
  <si>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</si>
  <si>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</si>
  <si>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</si>
  <si>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</si>
  <si>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</si>
  <si>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</si>
  <si>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</si>
  <si>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</si>
  <si>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</si>
  <si>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</si>
  <si>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</si>
  <si>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</si>
  <si>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</si>
  <si>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</si>
  <si>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</si>
  <si>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</si>
  <si>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</si>
  <si>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</si>
  <si>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</si>
  <si>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</si>
  <si>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</si>
  <si>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</si>
  <si>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</si>
  <si>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</si>
  <si>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</si>
  <si>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</si>
  <si>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</si>
  <si>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</si>
  <si>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</si>
  <si>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</si>
  <si>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</si>
  <si>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</si>
  <si>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</si>
  <si>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</si>
  <si>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</si>
  <si>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</si>
  <si>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</si>
  <si>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</si>
  <si>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</si>
  <si>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</si>
  <si>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</si>
  <si>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</si>
  <si>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</si>
  <si>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</si>
  <si>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</si>
  <si>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</si>
  <si>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</si>
  <si>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</si>
  <si>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</si>
  <si>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</si>
  <si>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</si>
  <si>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</si>
  <si>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</si>
  <si>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</si>
  <si>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</si>
  <si>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</si>
  <si>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</si>
  <si>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</si>
  <si>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</si>
  <si>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</si>
  <si>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</si>
  <si>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</si>
  <si>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</si>
  <si>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</si>
  <si>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</si>
  <si>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</si>
  <si>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</si>
  <si>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</si>
  <si>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</si>
  <si>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</si>
  <si>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</si>
  <si>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</si>
  <si>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</si>
  <si>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</si>
  <si>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</si>
  <si>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</si>
  <si>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</si>
  <si>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</si>
  <si>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</si>
  <si>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</si>
  <si>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</si>
  <si>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</si>
  <si>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</si>
  <si>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</si>
  <si>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</si>
  <si>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</si>
  <si>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</si>
  <si>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</si>
  <si>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</si>
  <si>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</si>
  <si>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</si>
  <si>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</si>
  <si>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</si>
  <si>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</si>
  <si>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</si>
  <si>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</si>
  <si>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</si>
  <si>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</si>
  <si>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</si>
  <si>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</si>
  <si>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</si>
  <si>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</si>
  <si>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</si>
  <si>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</si>
  <si>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</si>
  <si>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</si>
  <si>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</si>
  <si>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</si>
  <si>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</si>
  <si>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</si>
  <si>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</si>
  <si>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</si>
  <si>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</si>
  <si>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</si>
  <si>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</si>
  <si>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</si>
  <si>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</si>
  <si>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</si>
  <si>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</si>
  <si>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</si>
  <si>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</si>
  <si>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</si>
  <si>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</si>
  <si>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</si>
  <si>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</si>
  <si>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</si>
  <si>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</si>
  <si>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</si>
  <si>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</si>
  <si>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</si>
  <si>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</si>
  <si>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</si>
  <si>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</si>
  <si>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</si>
  <si>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</si>
  <si>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</si>
  <si>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</si>
  <si>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</si>
  <si>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</si>
  <si>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</si>
  <si>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</si>
  <si>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</si>
  <si>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</si>
  <si>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</si>
  <si>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</si>
  <si>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</si>
  <si>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</si>
  <si>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</si>
  <si>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</si>
  <si>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</si>
  <si>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</si>
  <si>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</si>
  <si>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</si>
  <si>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</si>
  <si>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</si>
  <si>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</si>
  <si>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</si>
  <si>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</si>
  <si>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</si>
  <si>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</si>
  <si>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</si>
  <si>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</si>
  <si>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</si>
  <si>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</si>
  <si>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</si>
  <si>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</si>
  <si>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</si>
  <si>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</si>
  <si>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</si>
  <si>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</si>
  <si>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</si>
  <si>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</si>
  <si>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</si>
  <si>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</si>
  <si>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</si>
  <si>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</si>
  <si>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</si>
  <si>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</si>
  <si>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</si>
  <si>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</si>
  <si>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</si>
  <si>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</si>
  <si>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</si>
  <si>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</si>
  <si>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</si>
  <si>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</si>
  <si>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</si>
  <si>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</si>
  <si>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</si>
  <si>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</si>
  <si>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</si>
  <si>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</si>
  <si>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</si>
  <si>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</si>
  <si>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</si>
  <si>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</si>
  <si>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</si>
  <si>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</si>
  <si>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</si>
  <si>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</si>
  <si>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</si>
  <si>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</si>
  <si>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</si>
  <si>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</si>
  <si>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</si>
  <si>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</si>
  <si>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</si>
  <si>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</si>
  <si>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</si>
  <si>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</si>
  <si>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</si>
  <si>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</si>
  <si>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</si>
  <si>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</si>
  <si>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</si>
  <si>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</si>
  <si>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</si>
  <si>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</si>
  <si>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</si>
  <si>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</si>
  <si>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</si>
  <si>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</si>
  <si>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</si>
  <si>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</si>
  <si>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</si>
  <si>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</si>
  <si>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</si>
  <si>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</si>
  <si>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</si>
  <si>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</si>
  <si>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</si>
  <si>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</si>
  <si>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</si>
  <si>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</si>
  <si>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</si>
  <si>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</si>
  <si>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</si>
  <si>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</si>
  <si>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</si>
  <si>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</si>
  <si>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</si>
  <si>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</si>
  <si>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</si>
  <si>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</si>
  <si>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</si>
  <si>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</si>
  <si>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</si>
  <si>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</si>
  <si>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</si>
  <si>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</si>
  <si>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</si>
  <si>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</si>
  <si>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</si>
  <si>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</si>
  <si>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</si>
  <si>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</si>
  <si>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</si>
  <si>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</si>
  <si>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</si>
  <si>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</si>
  <si>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</si>
  <si>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</si>
  <si>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</si>
  <si>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</si>
  <si>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</si>
  <si>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</si>
  <si>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</si>
  <si>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</si>
  <si>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</si>
  <si>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</si>
  <si>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</si>
  <si>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</si>
  <si>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</si>
  <si>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</si>
  <si>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</si>
  <si>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</si>
  <si>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</si>
  <si>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</si>
  <si>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</si>
  <si>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</si>
  <si>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</si>
  <si>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</si>
  <si>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</si>
  <si>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</si>
  <si>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</si>
  <si>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</si>
  <si>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</si>
  <si>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</si>
  <si>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</si>
  <si>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</si>
  <si>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</si>
  <si>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</si>
  <si>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</si>
  <si>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</si>
  <si>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</si>
  <si>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</si>
  <si>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</si>
  <si>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</si>
  <si>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</si>
  <si>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</si>
  <si>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</si>
  <si>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</si>
  <si>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</si>
  <si>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</si>
  <si>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</si>
  <si>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</si>
  <si>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</si>
  <si>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</si>
  <si>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</si>
  <si>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</si>
  <si>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</si>
  <si>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</si>
  <si>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</si>
  <si>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</si>
  <si>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</si>
  <si>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</si>
  <si>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</si>
  <si>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</si>
  <si>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</si>
  <si>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</si>
  <si>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</si>
  <si>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</si>
  <si>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</si>
  <si>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</si>
  <si>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</si>
  <si>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</si>
  <si>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</si>
  <si>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</si>
  <si>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</si>
  <si>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</si>
  <si>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</si>
  <si>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</si>
  <si>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</si>
  <si>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</si>
  <si>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</si>
  <si>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</si>
  <si>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</si>
  <si>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</si>
  <si>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</si>
  <si>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</si>
  <si>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</si>
  <si>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</si>
  <si>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</si>
  <si>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</si>
  <si>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</si>
  <si>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</si>
  <si>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</si>
  <si>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</si>
  <si>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</si>
  <si>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</si>
  <si>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</si>
  <si>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</si>
  <si>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</si>
  <si>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</si>
  <si>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</si>
  <si>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</si>
  <si>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</si>
  <si>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</si>
  <si>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</si>
  <si>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</si>
  <si>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</si>
  <si>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</si>
  <si>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</si>
  <si>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</si>
  <si>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</si>
  <si>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</si>
  <si>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</si>
  <si>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</si>
  <si>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</si>
  <si>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</si>
  <si>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</si>
  <si>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</si>
  <si>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</si>
  <si>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</si>
  <si>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</si>
  <si>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</si>
  <si>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</si>
  <si>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</si>
  <si>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</si>
  <si>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</si>
  <si>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</si>
  <si>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</si>
  <si>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</si>
  <si>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</si>
  <si>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</si>
  <si>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</si>
  <si>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</si>
  <si>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</si>
  <si>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</si>
  <si>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</si>
  <si>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</si>
  <si>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</si>
  <si>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</si>
  <si>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</si>
  <si>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</si>
  <si>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</si>
  <si>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</si>
  <si>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</si>
  <si>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</si>
  <si>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</si>
  <si>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</si>
  <si>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</si>
  <si>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</si>
  <si>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</si>
  <si>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</si>
  <si>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</si>
  <si>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</si>
  <si>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</si>
  <si>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</si>
  <si>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</si>
  <si>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</si>
  <si>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</si>
  <si>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</si>
  <si>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</si>
  <si>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</si>
  <si>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</si>
  <si>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</si>
  <si>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</si>
  <si>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</si>
  <si>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</si>
  <si>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</si>
  <si>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</si>
  <si>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</si>
  <si>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</si>
  <si>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</si>
  <si>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</si>
  <si>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</si>
  <si>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</si>
  <si>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</si>
  <si>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</si>
  <si>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</si>
  <si>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</si>
  <si>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</si>
  <si>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</si>
  <si>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</si>
  <si>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</si>
  <si>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</si>
  <si>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</si>
  <si>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</si>
  <si>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</si>
  <si>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</si>
  <si>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</si>
  <si>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</si>
  <si>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</si>
  <si>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</si>
  <si>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</si>
  <si>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</si>
  <si>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</si>
  <si>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</si>
  <si>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</si>
  <si>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</si>
  <si>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</si>
  <si>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</si>
  <si>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</si>
  <si>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</si>
  <si>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</si>
  <si>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</si>
  <si>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</si>
  <si>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</si>
  <si>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</si>
  <si>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</si>
  <si>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</si>
  <si>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</si>
  <si>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</si>
  <si>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</si>
  <si>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</si>
  <si>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</si>
  <si>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</si>
  <si>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</si>
  <si>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</si>
  <si>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</si>
  <si>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</si>
  <si>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</si>
  <si>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</si>
  <si>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</si>
  <si>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</si>
  <si>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</si>
  <si>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</si>
  <si>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</si>
  <si>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</si>
  <si>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</si>
  <si>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</si>
  <si>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</si>
  <si>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</si>
  <si>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</si>
  <si>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</si>
  <si>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</si>
  <si>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</si>
  <si>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</si>
  <si>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</si>
  <si>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</si>
  <si>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</si>
  <si>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</si>
  <si>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</si>
  <si>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</si>
  <si>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</si>
  <si>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</si>
  <si>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</si>
  <si>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</si>
  <si>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</si>
  <si>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</si>
  <si>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</si>
  <si>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</si>
  <si>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</si>
  <si>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</si>
  <si>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</si>
  <si>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</si>
  <si>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</si>
  <si>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</si>
  <si>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</si>
  <si>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</si>
  <si>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</si>
  <si>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</si>
  <si>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</si>
  <si>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</si>
  <si>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</si>
  <si>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</si>
  <si>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</si>
  <si>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</si>
  <si>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</si>
  <si>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</si>
  <si>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</si>
  <si>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</si>
  <si>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</si>
  <si>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</si>
  <si>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</si>
  <si>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</si>
  <si>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</si>
  <si>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</si>
  <si>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</si>
  <si>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</si>
  <si>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</si>
  <si>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</si>
  <si>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</si>
  <si>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</si>
  <si>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</si>
  <si>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</si>
  <si>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</si>
  <si>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</si>
  <si>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</si>
  <si>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</si>
  <si>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</si>
  <si>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</si>
  <si>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</si>
  <si>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</si>
  <si>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</si>
  <si>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</si>
  <si>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</si>
  <si>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</si>
  <si>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</si>
  <si>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</si>
  <si>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</si>
  <si>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</si>
  <si>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</si>
  <si>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</si>
  <si>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</si>
  <si>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</si>
  <si>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</si>
  <si>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</si>
  <si>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</si>
  <si>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</si>
  <si>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</si>
  <si>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</si>
  <si>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</si>
  <si>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</si>
  <si>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</si>
  <si>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</si>
  <si>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</si>
  <si>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</si>
  <si>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</si>
  <si>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</si>
  <si>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</si>
  <si>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</si>
  <si>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</si>
  <si>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</si>
  <si>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</si>
  <si>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</si>
  <si>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</si>
  <si>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</si>
  <si>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</si>
  <si>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</si>
  <si>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</si>
  <si>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</si>
  <si>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</si>
  <si>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</si>
  <si>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</si>
  <si>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</si>
  <si>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</si>
  <si>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</si>
  <si>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</si>
  <si>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</si>
  <si>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</si>
  <si>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</si>
  <si>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</si>
  <si>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</si>
  <si>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</si>
  <si>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</si>
  <si>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</si>
  <si>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</si>
  <si>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</si>
  <si>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</si>
  <si>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</si>
  <si>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</si>
  <si>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</si>
  <si>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</si>
  <si>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</si>
  <si>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</si>
  <si>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</si>
  <si>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</si>
  <si>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</si>
  <si>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</si>
  <si>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</si>
  <si>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</si>
  <si>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</si>
  <si>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</si>
  <si>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</si>
  <si>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</si>
  <si>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</si>
  <si>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</si>
  <si>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</si>
  <si>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</si>
  <si>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</si>
  <si>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</si>
  <si>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</si>
  <si>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</si>
  <si>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</si>
  <si>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</si>
  <si>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</si>
  <si>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</si>
  <si>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</si>
  <si>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</si>
  <si>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</si>
  <si>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</si>
  <si>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</si>
  <si>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</si>
  <si>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</si>
  <si>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</si>
  <si>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</si>
  <si>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</si>
  <si>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</si>
  <si>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</si>
  <si>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</si>
  <si>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</si>
  <si>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</si>
  <si>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</si>
  <si>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</si>
  <si>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</si>
  <si>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</si>
  <si>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</si>
  <si>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</si>
  <si>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</si>
  <si>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</si>
  <si>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</si>
  <si>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</si>
  <si>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</si>
  <si>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</si>
  <si>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</si>
  <si>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</si>
  <si>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</si>
  <si>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</si>
  <si>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</si>
  <si>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</si>
  <si>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</si>
  <si>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</si>
  <si>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</si>
  <si>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</si>
  <si>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</si>
  <si>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</si>
  <si>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</si>
  <si>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</si>
  <si>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</si>
  <si>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</si>
  <si>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</si>
  <si>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</si>
  <si>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</si>
  <si>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</si>
  <si>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</si>
  <si>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</si>
  <si>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</si>
  <si>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</si>
  <si>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</si>
  <si>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</si>
  <si>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</si>
  <si>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</si>
  <si>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</si>
  <si>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</si>
  <si>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</si>
  <si>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</si>
  <si>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</si>
  <si>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</si>
  <si>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</si>
  <si>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</si>
  <si>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</si>
  <si>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</si>
  <si>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</si>
  <si>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</si>
  <si>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</si>
  <si>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</si>
  <si>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</si>
  <si>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</si>
  <si>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</si>
  <si>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</si>
  <si>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</si>
  <si>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</si>
  <si>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</si>
  <si>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</si>
  <si>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</si>
  <si>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</si>
  <si>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</si>
  <si>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</si>
  <si>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</si>
  <si>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</si>
  <si>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</si>
  <si>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</si>
  <si>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</si>
  <si>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</si>
  <si>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</si>
  <si>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</si>
  <si>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</si>
  <si>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</si>
  <si>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</si>
  <si>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</si>
  <si>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</si>
  <si>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</si>
  <si>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</si>
  <si>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</si>
  <si>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</si>
  <si>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</si>
  <si>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</si>
  <si>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</si>
  <si>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</si>
  <si>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</si>
  <si>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</si>
  <si>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</si>
  <si>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</si>
  <si>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</si>
  <si>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</si>
  <si>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</si>
  <si>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</si>
  <si>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</si>
  <si>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</si>
  <si>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</si>
  <si>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</si>
  <si>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</si>
  <si>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</si>
  <si>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</si>
  <si>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</si>
  <si>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</si>
  <si>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</si>
  <si>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</si>
  <si>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</si>
  <si>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</si>
  <si>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</si>
  <si>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</si>
  <si>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</si>
  <si>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</si>
  <si>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</si>
  <si>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</si>
  <si>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</si>
  <si>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</si>
  <si>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</si>
  <si>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</si>
  <si>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</si>
  <si>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</si>
  <si>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</si>
  <si>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</si>
  <si>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</si>
  <si>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</si>
  <si>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</si>
  <si>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</si>
  <si>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</si>
  <si>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</si>
  <si>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</si>
  <si>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</si>
  <si>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</si>
  <si>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</si>
  <si>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</si>
  <si>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</si>
  <si>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</si>
  <si>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</si>
  <si>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</si>
  <si>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</si>
  <si>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</si>
  <si>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</si>
  <si>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</si>
  <si>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</si>
  <si>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</si>
  <si>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</si>
  <si>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</si>
  <si>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</si>
  <si>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</si>
  <si>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</si>
  <si>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</si>
  <si>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</si>
  <si>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</si>
  <si>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</si>
  <si>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</si>
  <si>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</si>
  <si>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</si>
  <si>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</si>
  <si>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</si>
  <si>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</si>
  <si>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</si>
  <si>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</si>
  <si>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</si>
  <si>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</si>
  <si>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</si>
  <si>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</si>
  <si>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</si>
  <si>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</si>
  <si>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</si>
  <si>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</si>
  <si>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</si>
  <si>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</si>
  <si>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</si>
  <si>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</si>
  <si>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</si>
  <si>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</si>
  <si>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</si>
  <si>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</si>
  <si>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</si>
  <si>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</si>
  <si>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</si>
  <si>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</si>
  <si>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</si>
  <si>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</si>
  <si>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</si>
  <si>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</si>
  <si>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</si>
  <si>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</si>
  <si>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</si>
  <si>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</si>
  <si>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</si>
  <si>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</si>
  <si>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</si>
  <si>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</si>
  <si>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</si>
  <si>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</si>
  <si>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</si>
  <si>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</si>
  <si>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</si>
  <si>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</si>
  <si>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</si>
  <si>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</si>
  <si>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</si>
  <si>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</si>
  <si>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</si>
  <si>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</si>
  <si>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</si>
  <si>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</si>
  <si>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</si>
  <si>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</si>
  <si>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</si>
  <si>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</si>
  <si>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</si>
  <si>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</si>
  <si>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</si>
  <si>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</si>
  <si>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</si>
  <si>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</si>
  <si>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</si>
  <si>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</si>
  <si>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</si>
  <si>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</si>
  <si>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</si>
  <si>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</si>
  <si>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</si>
  <si>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</si>
  <si>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</si>
  <si>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</si>
  <si>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</si>
  <si>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</si>
  <si>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</si>
  <si>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</si>
  <si>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</si>
  <si>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</si>
  <si>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</si>
  <si>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</si>
  <si>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</si>
  <si>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</si>
  <si>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</si>
  <si>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</si>
  <si>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</si>
  <si>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</si>
  <si>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</si>
  <si>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</si>
  <si>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</si>
  <si>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</si>
  <si>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</si>
  <si>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</si>
  <si>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</si>
  <si>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</si>
  <si>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</si>
  <si>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</si>
  <si>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</si>
  <si>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</si>
  <si>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</si>
  <si>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</si>
  <si>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</si>
  <si>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</si>
  <si>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</si>
  <si>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</si>
  <si>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</si>
  <si>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</si>
  <si>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</si>
  <si>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</si>
  <si>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</si>
  <si>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</si>
  <si>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</si>
  <si>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</si>
  <si>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</si>
  <si>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</si>
  <si>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</si>
  <si>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</si>
  <si>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</si>
  <si>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</si>
  <si>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</si>
  <si>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</si>
  <si>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</si>
  <si>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</si>
  <si>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</si>
  <si>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</si>
  <si>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</si>
  <si>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</si>
  <si>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</si>
  <si>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</si>
  <si>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</si>
  <si>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</si>
  <si>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</si>
  <si>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</si>
  <si>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</si>
  <si>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</si>
  <si>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</si>
  <si>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</si>
  <si>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</si>
  <si>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</si>
  <si>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</si>
  <si>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</si>
  <si>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</si>
  <si>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</si>
  <si>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</si>
  <si>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</si>
  <si>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</si>
  <si>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</si>
  <si>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</si>
  <si>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</si>
  <si>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Payment practices</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</si>
  <si>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</si>
  <si>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</si>
  <si>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</si>
  <si>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</si>
  <si>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</si>
  <si>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</si>
  <si>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</si>
  <si>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</si>
  <si>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</si>
  <si>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</si>
  <si>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</si>
  <si>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</si>
  <si>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</si>
  <si>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</si>
  <si>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</si>
  <si>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</si>
  <si>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</si>
  <si>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</si>
  <si>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</si>
  <si>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</si>
  <si>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</si>
  <si>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</si>
  <si>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</si>
  <si>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</si>
  <si>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</si>
  <si>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</si>
  <si>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</si>
  <si>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</si>
  <si>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</si>
  <si>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</si>
  <si>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</si>
  <si>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</si>
  <si>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</si>
  <si>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</si>
  <si>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</si>
  <si>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</si>
  <si>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</si>
  <si>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</si>
  <si>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</si>
  <si>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</si>
  <si>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</si>
  <si>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</si>
  <si>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</si>
  <si>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</si>
  <si>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</si>
  <si>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</si>
  <si>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</si>
  <si>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</si>
  <si>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</si>
  <si>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</si>
  <si>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</si>
  <si>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</si>
  <si>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</si>
  <si>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</si>
  <si>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</si>
  <si>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</si>
  <si>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</si>
  <si>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</si>
  <si>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</si>
  <si>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</si>
  <si>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</si>
  <si>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</si>
  <si>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</si>
  <si>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</si>
  <si>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</si>
  <si>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</si>
  <si>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</si>
  <si>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</si>
  <si>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</si>
  <si>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</si>
  <si>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</si>
  <si>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</si>
  <si>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</si>
  <si>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</si>
  <si>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</si>
  <si>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</si>
  <si>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</si>
  <si>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</si>
  <si>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</si>
  <si>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</si>
  <si>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</si>
  <si>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</si>
  <si>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</si>
  <si>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</si>
  <si>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</si>
  <si>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</si>
  <si>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</si>
  <si>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</si>
  <si>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</si>
  <si>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</si>
  <si>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</si>
  <si>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</si>
  <si>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</si>
  <si>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</si>
  <si>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</si>
  <si>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</si>
  <si>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</si>
  <si>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</si>
  <si>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</si>
  <si>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</si>
  <si>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</si>
  <si>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</si>
  <si>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</si>
  <si>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</si>
  <si>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</si>
  <si>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</si>
  <si>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</si>
  <si>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</si>
  <si>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</si>
  <si>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</si>
  <si>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</si>
  <si>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</si>
  <si>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</si>
  <si>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</si>
  <si>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</si>
  <si>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</si>
  <si>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</si>
  <si>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</si>
  <si>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</si>
  <si>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</si>
  <si>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</si>
  <si>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</si>
  <si>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</si>
  <si>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</si>
  <si>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</si>
  <si>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</si>
  <si>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</si>
  <si>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</si>
  <si>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</si>
  <si>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</si>
  <si>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</si>
  <si>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</si>
  <si>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</si>
  <si>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</si>
  <si>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</si>
  <si>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</si>
  <si>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</si>
  <si>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</si>
  <si>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</si>
  <si>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</si>
  <si>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</si>
  <si>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</si>
  <si>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</si>
  <si>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</si>
  <si>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</si>
  <si>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</si>
  <si>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</si>
  <si>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</si>
  <si>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</si>
  <si>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</si>
  <si>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</si>
  <si>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</si>
  <si>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</si>
  <si>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</si>
  <si>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</si>
  <si>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</si>
  <si>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</si>
  <si>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</si>
  <si>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</si>
  <si>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</si>
  <si>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</si>
  <si>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</si>
  <si>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</si>
  <si>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</si>
  <si>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</si>
  <si>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</si>
  <si>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</si>
  <si>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</si>
  <si>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</si>
  <si>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</si>
  <si>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</si>
  <si>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</si>
  <si>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</si>
  <si>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</si>
  <si>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</si>
  <si>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</si>
  <si>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</si>
  <si>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</si>
  <si>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</si>
  <si>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</si>
  <si>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</si>
  <si>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</si>
  <si>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</si>
  <si>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</si>
  <si>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</si>
  <si>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</si>
  <si>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</si>
  <si>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</si>
  <si>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</si>
  <si>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</si>
  <si>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</si>
  <si>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</si>
  <si>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</si>
  <si>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</si>
  <si>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</si>
  <si>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</si>
  <si>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</si>
  <si>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</si>
  <si>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</si>
  <si>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</si>
  <si>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</si>
  <si>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</si>
  <si>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</si>
  <si>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</si>
  <si>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</si>
  <si>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</si>
  <si>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</si>
  <si>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</si>
  <si>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</si>
  <si>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</si>
  <si>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</si>
  <si>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</si>
  <si>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</si>
  <si>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</si>
  <si>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</si>
  <si>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</si>
  <si>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</si>
  <si>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</si>
  <si>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</si>
  <si>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</si>
  <si>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</si>
  <si>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</si>
  <si>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</si>
  <si>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</si>
  <si>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</si>
  <si>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</si>
  <si>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</si>
  <si>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</si>
  <si>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</si>
  <si>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</si>
  <si>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</si>
  <si>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</si>
  <si>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</si>
  <si>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</si>
  <si>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</si>
  <si>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</si>
  <si>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</si>
  <si>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</si>
  <si>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</si>
  <si>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</si>
  <si>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</si>
  <si>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</si>
  <si>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</si>
  <si>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</si>
  <si>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</si>
  <si>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</si>
  <si>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</si>
  <si>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</si>
  <si>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</si>
  <si>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</si>
  <si>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</si>
  <si>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</si>
  <si>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</si>
  <si>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</si>
  <si>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</si>
  <si>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</si>
  <si>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</si>
  <si>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</si>
  <si>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</si>
  <si>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</si>
  <si>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</si>
  <si>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</si>
  <si>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</si>
  <si>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</si>
  <si>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</si>
  <si>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</si>
  <si>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</si>
  <si>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</si>
  <si>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</si>
  <si>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</si>
  <si>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</si>
  <si>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</si>
  <si>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</si>
  <si>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</si>
  <si>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</si>
  <si>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</si>
  <si>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</si>
  <si>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</si>
  <si>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</si>
  <si>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</si>
  <si>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</si>
  <si>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</si>
  <si>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</si>
  <si>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</si>
  <si>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</si>
  <si>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</si>
  <si>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</si>
  <si>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</si>
  <si>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</si>
  <si>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</si>
  <si>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</si>
  <si>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</si>
  <si>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</si>
  <si>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</si>
  <si>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</si>
  <si>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</si>
  <si>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</si>
  <si>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</si>
  <si>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</si>
  <si>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</si>
  <si>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</si>
  <si>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</si>
  <si>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</si>
  <si>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</si>
  <si>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</si>
  <si>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</si>
  <si>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</si>
  <si>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</si>
  <si>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</si>
  <si>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</si>
  <si>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</si>
  <si>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</si>
  <si>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</si>
  <si>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</si>
  <si>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</si>
  <si>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</si>
  <si>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</si>
  <si>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</si>
  <si>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</si>
  <si>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</si>
  <si>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</si>
  <si>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</si>
  <si>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</si>
  <si>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</si>
  <si>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</si>
  <si>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</si>
  <si>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</si>
  <si>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</si>
  <si>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</si>
  <si>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</si>
  <si>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</si>
  <si>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</si>
  <si>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</si>
  <si>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</si>
  <si>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</si>
  <si>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</si>
  <si>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</si>
  <si>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</si>
  <si>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</si>
  <si>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</si>
  <si>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</si>
  <si>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</si>
  <si>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</si>
  <si>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</si>
  <si>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</si>
  <si>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</si>
  <si>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</si>
  <si>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</si>
  <si>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</si>
  <si>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</si>
  <si>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</si>
  <si>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</si>
  <si>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</si>
  <si>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</si>
  <si>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</si>
  <si>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</si>
  <si>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</si>
  <si>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</si>
  <si>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</si>
  <si>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</si>
  <si>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</si>
  <si>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</si>
  <si>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</si>
  <si>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</si>
  <si>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</si>
  <si>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</si>
  <si>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</si>
  <si>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</si>
  <si>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</si>
  <si>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</si>
  <si>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</si>
  <si>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</si>
  <si>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</si>
  <si>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</si>
  <si>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</si>
  <si>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</si>
  <si>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</si>
  <si>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</si>
  <si>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</si>
  <si>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</si>
  <si>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</si>
  <si>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</si>
  <si>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</si>
  <si>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</si>
  <si>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</si>
  <si>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</si>
  <si>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</si>
  <si>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</si>
  <si>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</si>
  <si>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</si>
  <si>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</si>
  <si>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</si>
  <si>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</si>
  <si>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</si>
  <si>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</si>
  <si>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</si>
  <si>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</si>
  <si>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</si>
  <si>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</si>
  <si>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</si>
  <si>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</si>
  <si>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</si>
  <si>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</si>
  <si>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</si>
  <si>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</si>
  <si>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</si>
  <si>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</si>
  <si>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</si>
  <si>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</si>
  <si>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</si>
  <si>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</si>
  <si>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</si>
  <si>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</si>
  <si>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</si>
  <si>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</si>
  <si>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</si>
  <si>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</si>
  <si>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</si>
  <si>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</si>
  <si>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</si>
  <si>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</si>
  <si>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</si>
  <si>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</si>
  <si>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</si>
  <si>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</si>
  <si>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</si>
  <si>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</si>
  <si>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</si>
  <si>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</si>
  <si>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</si>
  <si>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</si>
  <si>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</si>
  <si>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</si>
  <si>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</si>
  <si>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</si>
  <si>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</si>
  <si>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</si>
  <si>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</si>
  <si>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</si>
  <si>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</si>
  <si>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</si>
  <si>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</si>
  <si>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</si>
  <si>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</si>
  <si>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</si>
  <si>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</si>
  <si>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</si>
  <si>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</si>
  <si>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</si>
  <si>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</si>
  <si>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</si>
  <si>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</si>
  <si>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</si>
  <si>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</si>
  <si>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</si>
  <si>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</si>
  <si>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</si>
  <si>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</si>
  <si>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</si>
  <si>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</si>
  <si>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</si>
  <si>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</si>
  <si>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</si>
  <si>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</si>
  <si>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</si>
  <si>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</si>
  <si>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</si>
  <si>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</si>
  <si>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</si>
  <si>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</si>
  <si>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</si>
  <si>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</si>
  <si>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</si>
  <si>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</si>
  <si>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</si>
  <si>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</si>
  <si>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</si>
  <si>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</si>
  <si>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</si>
  <si>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</si>
  <si>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</si>
  <si>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</si>
  <si>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</si>
  <si>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</si>
  <si>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</si>
  <si>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</si>
  <si>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</si>
  <si>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</si>
  <si>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</si>
  <si>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</si>
  <si>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</si>
  <si>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</si>
  <si>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</si>
  <si>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</si>
  <si>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</si>
  <si>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</si>
  <si>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</si>
  <si>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</si>
  <si>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</si>
  <si>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</si>
  <si>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</si>
  <si>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</si>
  <si>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</si>
  <si>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</si>
  <si>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</si>
  <si>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</si>
  <si>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</si>
  <si>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</si>
  <si>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</si>
  <si>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</si>
  <si>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</si>
  <si>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</si>
  <si>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</si>
  <si>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</si>
  <si>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</si>
  <si>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</si>
  <si>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</si>
  <si>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</si>
  <si>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</si>
  <si>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</si>
  <si>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</si>
  <si>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</si>
  <si>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</si>
  <si>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</si>
  <si>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</si>
  <si>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</si>
  <si>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</si>
  <si>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</si>
  <si>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</si>
  <si>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</si>
  <si>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</si>
  <si>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</si>
  <si>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</si>
  <si>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</si>
  <si>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</si>
  <si>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</si>
  <si>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</si>
  <si>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</si>
  <si>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</si>
  <si>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</si>
  <si>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</si>
  <si>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</si>
  <si>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</si>
  <si>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</si>
  <si>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</si>
  <si>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</si>
  <si>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</si>
  <si>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</si>
  <si>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</si>
  <si>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</si>
  <si>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</si>
  <si>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</si>
  <si>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</si>
  <si>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</si>
  <si>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</si>
  <si>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</si>
  <si>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</si>
  <si>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</si>
  <si>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</si>
  <si>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</si>
  <si>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</si>
  <si>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</si>
  <si>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</si>
  <si>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</si>
  <si>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</si>
  <si>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</si>
  <si>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</si>
  <si>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</si>
  <si>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</si>
  <si>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</si>
  <si>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</si>
  <si>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</si>
  <si>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</si>
  <si>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</si>
  <si>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</si>
  <si>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</si>
  <si>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</si>
  <si>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</si>
  <si>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</si>
  <si>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</si>
  <si>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</si>
  <si>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</si>
  <si>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</si>
  <si>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</si>
  <si>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</si>
  <si>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</si>
  <si>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</si>
  <si>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</si>
  <si>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</si>
  <si>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</si>
  <si>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</si>
  <si>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</si>
  <si>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</si>
  <si>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</si>
  <si>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</si>
  <si>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</si>
  <si>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</si>
  <si>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</si>
  <si>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</si>
  <si>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</si>
  <si>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</si>
  <si>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</si>
  <si>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</si>
  <si>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</si>
  <si>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</si>
  <si>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</si>
  <si>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</si>
  <si>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</si>
  <si>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</si>
  <si>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</si>
  <si>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</si>
  <si>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</si>
  <si>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</si>
  <si>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</si>
  <si>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</si>
  <si>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</si>
  <si>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</si>
  <si>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</si>
  <si>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</si>
  <si>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</si>
  <si>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</si>
  <si>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</si>
  <si>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</si>
  <si>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</si>
  <si>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</si>
  <si>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</si>
  <si>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</si>
  <si>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</si>
  <si>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</si>
  <si>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</si>
  <si>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</si>
  <si>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</si>
  <si>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</si>
  <si>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</si>
  <si>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</si>
  <si>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</si>
  <si>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</si>
  <si>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</si>
  <si>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</si>
  <si>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</si>
  <si>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</si>
  <si>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</si>
  <si>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</si>
  <si>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</si>
  <si>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</si>
  <si>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</si>
  <si>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</si>
  <si>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</si>
  <si>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</si>
  <si>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</si>
  <si>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</si>
  <si>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</si>
  <si>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</si>
  <si>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</si>
  <si>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</si>
  <si>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</si>
  <si>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</si>
  <si>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</si>
  <si>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</si>
  <si>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</si>
  <si>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</si>
  <si>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</si>
  <si>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</si>
  <si>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</si>
  <si>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</si>
  <si>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</si>
  <si>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</si>
  <si>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</si>
  <si>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</si>
  <si>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</si>
  <si>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</si>
  <si>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</si>
  <si>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</si>
  <si>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</si>
  <si>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</si>
  <si>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</si>
  <si>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</si>
  <si>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</si>
  <si>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</si>
  <si>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</si>
  <si>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</si>
  <si>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</si>
  <si>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</si>
  <si>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</si>
  <si>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</si>
  <si>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</si>
  <si>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</si>
  <si>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</si>
  <si>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</si>
  <si>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</si>
  <si>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</si>
  <si>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</si>
  <si>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</si>
  <si>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</si>
  <si>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</si>
  <si>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</si>
  <si>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</si>
  <si>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</si>
  <si>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</si>
  <si>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</si>
  <si>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</si>
  <si>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</si>
  <si>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</si>
  <si>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</si>
  <si>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</si>
  <si>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</si>
  <si>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</si>
  <si>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</si>
  <si>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</si>
  <si>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</si>
  <si>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</si>
  <si>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</si>
  <si>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</si>
  <si>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</si>
  <si>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</si>
  <si>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</si>
  <si>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</si>
  <si>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</si>
  <si>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</si>
  <si>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</si>
  <si>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</si>
  <si>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</si>
  <si>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</si>
  <si>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</si>
  <si>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</si>
  <si>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</si>
  <si>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</si>
  <si>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</si>
  <si>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</si>
  <si>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</si>
  <si>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</si>
  <si>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</si>
  <si>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</si>
  <si>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</si>
  <si>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</si>
  <si>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</si>
  <si>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</si>
  <si>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</si>
  <si>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</si>
  <si>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</si>
  <si>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</si>
  <si>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</si>
  <si>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</si>
  <si>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</si>
  <si>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</si>
  <si>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</si>
  <si>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</si>
  <si>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</si>
  <si>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</si>
  <si>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</si>
  <si>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</si>
  <si>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</si>
  <si>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</si>
  <si>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</si>
  <si>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</si>
  <si>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</si>
  <si>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</si>
  <si>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</si>
  <si>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</si>
  <si>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</si>
  <si>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</si>
  <si>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</si>
  <si>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</si>
  <si>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</si>
  <si>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</si>
  <si>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</si>
  <si>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</si>
  <si>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</si>
  <si>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</si>
  <si>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</si>
  <si>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</si>
  <si>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</si>
  <si>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</si>
  <si>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</si>
  <si>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</si>
  <si>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</si>
  <si>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</si>
  <si>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</si>
  <si>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</si>
  <si>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</si>
  <si>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</si>
  <si>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</si>
  <si>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</si>
  <si>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</si>
  <si>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</si>
  <si>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</si>
  <si>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</si>
  <si>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</si>
  <si>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</si>
  <si>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</si>
  <si>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</si>
  <si>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</si>
  <si>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</si>
  <si>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</si>
  <si>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</si>
  <si>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</si>
  <si>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</si>
  <si>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</si>
  <si>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</si>
  <si>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</si>
  <si>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</si>
  <si>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</si>
  <si>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</si>
  <si>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</si>
  <si>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</si>
  <si>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</si>
  <si>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</si>
  <si>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</si>
  <si>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</si>
  <si>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</si>
  <si>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</si>
  <si>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</si>
  <si>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</si>
  <si>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</si>
  <si>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</si>
  <si>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</si>
  <si>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</si>
  <si>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</si>
  <si>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</si>
  <si>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</si>
  <si>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</si>
  <si>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</si>
  <si>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</si>
  <si>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</si>
  <si>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</si>
  <si>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</si>
  <si>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</si>
  <si>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</si>
  <si>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</si>
  <si>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</si>
  <si>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</si>
  <si>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</si>
  <si>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</si>
  <si>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</si>
  <si>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</si>
  <si>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</si>
  <si>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</si>
  <si>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</si>
  <si>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</si>
  <si>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</si>
  <si>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</si>
  <si>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</si>
  <si>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</si>
  <si>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</si>
  <si>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</si>
  <si>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</si>
  <si>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</si>
  <si>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</si>
  <si>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</si>
  <si>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</si>
  <si>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</si>
  <si>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</si>
  <si>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</si>
  <si>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</si>
  <si>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</si>
  <si>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</si>
  <si>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</si>
  <si>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</si>
  <si>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</si>
  <si>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</si>
  <si>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</si>
  <si>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</si>
  <si>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</si>
  <si>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</si>
  <si>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</si>
  <si>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</si>
  <si>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</si>
  <si>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</si>
  <si>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</si>
  <si>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</si>
  <si>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</si>
  <si>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</si>
  <si>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</si>
  <si>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</si>
  <si>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</si>
  <si>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</si>
  <si>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</si>
  <si>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</si>
  <si>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</si>
  <si>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</si>
  <si>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</si>
  <si>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</si>
  <si>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</si>
  <si>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</si>
  <si>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</si>
  <si>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</si>
  <si>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</si>
  <si>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Current data gaps/alignment in progress</t>
  </si>
  <si>
    <t>-</t>
  </si>
  <si>
    <t>26; 87</t>
  </si>
  <si>
    <t>28–29; 89</t>
  </si>
  <si>
    <t>25; 86</t>
  </si>
  <si>
    <t>Anticipated financial effects from material physical and transition risks and potential climate-related opportunities</t>
  </si>
  <si>
    <t>Phase in disclosure</t>
  </si>
  <si>
    <t>Gross scopes 1, 2, 3 and total GHG emissions</t>
  </si>
  <si>
    <t>30; 32</t>
  </si>
  <si>
    <t>30; 33</t>
  </si>
  <si>
    <t>Anticipated financial effects from water and marine resources-related impacts risks and opportunities</t>
  </si>
  <si>
    <t>Transition plan on biodiversity and ecosystems</t>
  </si>
  <si>
    <t>34; 36</t>
  </si>
  <si>
    <t>Policies related to biodiversity and ecosystems</t>
  </si>
  <si>
    <t>Actions and resources related to biodiversity and ecosystems</t>
  </si>
  <si>
    <t>35–36</t>
  </si>
  <si>
    <t>Targets related to biodiversity and ecosystems</t>
  </si>
  <si>
    <t>Impact metrics related to biodiversity and ecosystems change</t>
  </si>
  <si>
    <t>Anticipated financial effects from biodiversity and ecosystems-related risks and opportunities</t>
  </si>
  <si>
    <t>39; 41</t>
  </si>
  <si>
    <t>40; 44</t>
  </si>
  <si>
    <t>39–42</t>
  </si>
  <si>
    <t>37–38</t>
  </si>
  <si>
    <t>41–43</t>
  </si>
  <si>
    <t>Anticipated financial effects from material resource use and circular economy-related risks and opportunities</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</si>
  <si>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</si>
  <si>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</si>
  <si>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</si>
  <si>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</si>
  <si>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</si>
  <si>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</si>
  <si>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Non-material sub-topic</t>
  </si>
  <si>
    <t>51; 93</t>
  </si>
  <si>
    <t>Compensation metrics (pay gap and total compensation)</t>
  </si>
  <si>
    <t>Incidents complaints and severe human rights impacts</t>
  </si>
  <si>
    <t>Current data gaps/reporting alignment in progress</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</si>
  <si>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</si>
  <si>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</si>
  <si>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</si>
  <si>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</si>
  <si>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</si>
  <si>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</si>
  <si>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</si>
  <si>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</si>
  <si>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</si>
  <si>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</si>
  <si>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</si>
  <si>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Transition plan to reach climate neutrality by 2050 paragraph 14</t>
  </si>
  <si>
    <t>Undertakings excluded from Paris-aligned Benchmarks paragraph 16 (g)</t>
  </si>
  <si>
    <t>Delegated Regulation (EU) 2020/1818 Article12.1 (d) to (g) and Article 12.2</t>
  </si>
  <si>
    <t>GHG emission reduction targets paragraph 34</t>
  </si>
  <si>
    <t>Indicator number 4 Table #2 of Annex 1</t>
  </si>
  <si>
    <t>Energy consumption from fossil sources disaggregated by sources (only high climate impact sectors) paragraph 38</t>
  </si>
  <si>
    <t>Indicator number 5 Table #1 and Indicator n.5 Table #2 of Annex 1</t>
  </si>
  <si>
    <t>Energy consumption and mix paragraph 37</t>
  </si>
  <si>
    <t>Indicator number 5 Table #1 of Annex 1</t>
  </si>
  <si>
    <t>Energy intensity associated with activities in high climate impact sectors paragraphs 40 to 43</t>
  </si>
  <si>
    <t>Indicator number 6 Table #1 of Annex 1</t>
  </si>
  <si>
    <t>Gross Scope 1 2 3 and Total GHG emissions paragraph 44</t>
  </si>
  <si>
    <t>Indicators number 1 and 2 Table #1 of Annex 1</t>
  </si>
  <si>
    <t>Gross GHG emissions intensity paragraphs 53 to 55</t>
  </si>
  <si>
    <t>Indicators number 3 Table #1 of Annex 1</t>
  </si>
  <si>
    <t>Amount of each pollutant listed in Annex II of the E-PRTR Regulation emitted to air water and soil paragraph 28</t>
  </si>
  <si>
    <t>Indicator number 8 Table #1 of Annex 1 Indicator number 2 Table #2 of Annex 1 Indicator number 1 Table #2 of Annex 1</t>
  </si>
  <si>
    <t>Water and marine resources paragraph 9</t>
  </si>
  <si>
    <t>Indicator number 7 Table #2 of Annex 1</t>
  </si>
  <si>
    <t>Dedicated policy paragraph 13</t>
  </si>
  <si>
    <t>Indicator number 8 Table #2 of Annex 1</t>
  </si>
  <si>
    <t>Sustainable oceans and seas paragraph 14</t>
  </si>
  <si>
    <t>Indicator number 12 Table #2 of Annex 1</t>
  </si>
  <si>
    <t>Total water recycled and reused paragraph 28 (c)</t>
  </si>
  <si>
    <t>Indicator number 62 Table #2 of Annex 1</t>
  </si>
  <si>
    <t>Total water consumption in m3 per net revenue on own operations paragraph 29</t>
  </si>
  <si>
    <t>Indicator number 61 Table #2 of Annex 1</t>
  </si>
  <si>
    <t>S2-SBM-3</t>
  </si>
  <si>
    <t>E4 paragraph 16 (a)</t>
  </si>
  <si>
    <t>Indicator number 7 Table #1 of Annex 1</t>
  </si>
  <si>
    <t>E4 paragraph 16 (b)</t>
  </si>
  <si>
    <t>Indicator number 10 Table #2 of Annex 1</t>
  </si>
  <si>
    <t>E4 paragraph 16 (c)</t>
  </si>
  <si>
    <t>Indicator number 14 Table #2 of Annex 1</t>
  </si>
  <si>
    <t>Sustainable land agriculture practices or policies paragraph 24 (d)</t>
  </si>
  <si>
    <t>Indicator number 11 Table #2 of Annex 1</t>
  </si>
  <si>
    <t>Sustainable oceans seas practices or policies paragraph 24 (g)</t>
  </si>
  <si>
    <t>Policies to address deforestation paragraph 24 (d)</t>
  </si>
  <si>
    <t>Indicator number 15 Table #1 of Annex 1</t>
  </si>
  <si>
    <t>S1 Risk of incidents of forced labour paragraph 14 (f)</t>
  </si>
  <si>
    <t>Indicator number 13 Table #3 of Annex 1</t>
  </si>
  <si>
    <t>S1 Risk of incidents of child labour paragraph 14 (g)</t>
  </si>
  <si>
    <t>Indicator number 12 Table #3 of Annex 1</t>
  </si>
  <si>
    <t>Human rights policy commitments paragraph 20</t>
  </si>
  <si>
    <t>Indicator number 9 Table #3 and Indicator number 11 Table #1 of Annex 1</t>
  </si>
  <si>
    <t>141-142</t>
  </si>
  <si>
    <t>Due diligence policies on issues addressed by fundamental ILO Conventions paragraph 21</t>
  </si>
  <si>
    <t>Processes and measures for preventing trafficking in human beings paragraph 22</t>
  </si>
  <si>
    <t>Indicator number 11 Table #3 of Annex 1</t>
  </si>
  <si>
    <t>Workplace accident prevention policy or management system paragraph 23</t>
  </si>
  <si>
    <t>Indicator number 1 Table #3 of Annex 1</t>
  </si>
  <si>
    <t>Grievance complaints handling mechanisms paragraph 32 (c)</t>
  </si>
  <si>
    <t>Indicator number 5 Table #3 of Annex 1</t>
  </si>
  <si>
    <t>Number of fatalities and number rate of work related accidents paragraph 88 (b) and (c)</t>
  </si>
  <si>
    <t>Indicator number 2 Table #3 of Annex 1</t>
  </si>
  <si>
    <t>Number of days lost to injuries accidents fatalities or illness paragraph 88 (e)</t>
  </si>
  <si>
    <t>Indicator number 3 Table #3 of Annex 1</t>
  </si>
  <si>
    <t>Unadjusted gender pay gap paragraph 97 (a)</t>
  </si>
  <si>
    <t>Indicator number 12 Table #1 of Annex 1</t>
  </si>
  <si>
    <t>Excessive CEO pay ratio paragraph 97 (b)</t>
  </si>
  <si>
    <t>Indicator number 8 Table #3 of Annex 1</t>
  </si>
  <si>
    <t>Incidents of discrimination paragraph 103 (a)</t>
  </si>
  <si>
    <t>Indicator number 7 Table #3 of Annex 1</t>
  </si>
  <si>
    <t>Non-respect of UNGPs Business and Human Rights and OECD Guidelines paragraph 104 (a)</t>
  </si>
  <si>
    <t>Indicator number 10 Table #1 and Indicator n.14 Table #3 of Annex 1</t>
  </si>
  <si>
    <t>S2 Significant risk of child labour or forced labour in value chain paragraph 11 (b)</t>
  </si>
  <si>
    <t>Indicators number 12 and 13 Table #3 of Annex 1</t>
  </si>
  <si>
    <t>Human rights policy commitments paragraph 17</t>
  </si>
  <si>
    <t>Indicator number 9 Table #3 and Indicator n.10 Table #1 of Annex 1</t>
  </si>
  <si>
    <t>Policies related to value chain workers paragraph 18</t>
  </si>
  <si>
    <t>Indicator number 11 and 4 Table #3 of Annex 1</t>
  </si>
  <si>
    <t>Non-respect of UNGPs Business and Human Rights principles paragraph 19</t>
  </si>
  <si>
    <t>Indicator number 10 Table #1 of Annex 1</t>
  </si>
  <si>
    <t>Due diligence policies on issues addressed by fundamental ILO Conventions paragraph 19</t>
  </si>
  <si>
    <t>Human rights issues and incidents connected to upstream and downstream value chain paragraph 36</t>
  </si>
  <si>
    <t>Indicator number 14 Table #3 of Annex 1</t>
  </si>
  <si>
    <t>United Nations Convention against Corruption paragraph 10 (b)</t>
  </si>
  <si>
    <t>Indicator number 15 Table #3 of Annex 1</t>
  </si>
  <si>
    <t>Protection of whistle-blowers paragraph 10 (d)</t>
  </si>
  <si>
    <t>Indicator number 6 Table #3 of Annex 1</t>
  </si>
  <si>
    <t>Fines for violation of anti-corruption and anti-bribery laws paragraph 24 (a)</t>
  </si>
  <si>
    <t>Indicator number 17 Table #3 of Annex 1</t>
  </si>
  <si>
    <t>Standards of anti-corruption and anti-bribery paragraph 24 (b)</t>
  </si>
  <si>
    <t>Indicator number 16 Table #3 of Annex 1</t>
  </si>
  <si>
    <t xml:space="preserve">  E1</t>
  </si>
  <si>
    <t xml:space="preserve">  E2</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</si>
  <si>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</si>
  <si>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</si>
  <si>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</si>
  <si>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</si>
  <si>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</si>
  <si>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</si>
  <si>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</si>
  <si>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</si>
  <si>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</si>
  <si>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</si>
  <si>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</si>
  <si>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</si>
  <si>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</si>
  <si>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</si>
  <si>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</si>
  <si>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</si>
  <si>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</si>
  <si>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</si>
  <si>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</si>
  <si>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</si>
  <si>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</si>
  <si>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</si>
  <si>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</si>
  <si>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</si>
  <si>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</si>
  <si>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</si>
  <si>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</si>
  <si>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</si>
  <si>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</si>
  <si>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</si>
  <si>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</si>
  <si>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</si>
  <si>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</si>
  <si>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</si>
  <si>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</si>
  <si>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</si>
  <si>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</si>
  <si>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</si>
  <si>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</si>
  <si>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</si>
  <si>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</si>
  <si>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</si>
  <si>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</si>
  <si>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</si>
  <si>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</si>
  <si>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</si>
  <si>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</si>
  <si>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</si>
  <si>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</si>
  <si>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</si>
  <si>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</si>
  <si>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</si>
  <si>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</si>
  <si>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</si>
  <si>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</si>
  <si>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</si>
  <si>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</si>
  <si>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</si>
  <si>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</si>
  <si>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</si>
  <si>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</si>
  <si>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https://mowi.com/wp-content/uploads/2025/05/Mowi-Annual-Report-2025.pdf</t>
  </si>
  <si>
    <t>Source</t>
  </si>
  <si>
    <t>Updated Version Available?</t>
  </si>
  <si>
    <t>analyse 2024 vs 2025</t>
  </si>
  <si>
    <t>side-quest</t>
  </si>
  <si>
    <t xml:space="preserve">what does european vs non-european do </t>
  </si>
  <si>
    <t>GRI (accordance)</t>
  </si>
  <si>
    <t>Tony Lazazzara</t>
  </si>
  <si>
    <t>https://www.thaiunion.com/uploads/sd-report-2024-en.pdf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</si>
</sst>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2">
    <xf numFmtId="0" fontId="0" fillId="0" borderId="0"/>
    <xf numFmtId="0" fontId="8" fillId="0" borderId="0"/>
  </cellStyleXfs>
  <cellXfs count="37">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7" fillId="7" borderId="0" xfId="0" applyFont="1" applyFill="1"/>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cellXfs>
  <cellStyles count="2">
    <cellStyle name="Hyperlink" xfId="1" builtinId="8"/>
    <cellStyle name="Normal" xfId="0" builtinId="0"/>
  </cellStyles>
  <dxfs count="13">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948266</xdr:colOff>
      <xdr:row>7</xdr:row>
      <xdr:rowOff>152400</xdr:rowOff>
    </xdr:from>
    <xdr:to>
      <xdr:col>9</xdr:col>
      <xdr:colOff>0</xdr:colOff>
      <xdr:row>10</xdr:row>
      <xdr:rowOff>186266</xdr:rowOff>
    </xdr:to>
    <xdr:sp macro="" textlink="">
      <xdr:nvSpPr>
        <xdr:cNvPr id="2" name="Rectangle 1">
          <a:extLst>
            <a:ext uri="{FF2B5EF4-FFF2-40B4-BE49-F238E27FC236}">
              <a16:creationId xmlns:a16="http://schemas.microsoft.com/office/drawing/2014/main" id="{35447DC3-1308-3209-27AF-8ABCF79DA1A3}"/>
            </a:ext>
          </a:extLst>
        </xdr:cNvPr>
        <xdr:cNvSpPr/>
      </xdr:nvSpPr>
      <xdr:spPr>
        <a:xfrm>
          <a:off x="18728266" y="1557867"/>
          <a:ext cx="3335867" cy="8466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p. 95-98 sust report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ipcecepeu-my.sharepoint.com/personal/linne_verhoeven_seafoodeurope_eu/Documents/THESIS_KPIs/EXCEL/GRI_ESRS_v4.xlsx" TargetMode="External"/><Relationship Id="rId1" Type="http://schemas.openxmlformats.org/officeDocument/2006/relationships/externalLinkPath" Target="GRI_ESRS_v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RI_ESRS_v3.xlsx" TargetMode="External"/><Relationship Id="rId2" Type="http://schemas.openxmlformats.org/officeDocument/2006/relationships/externalLinkPath" Target="https://aipcecepeu-my.sharepoint.com/personal/linne_verhoeven_seafoodeurope_eu/Documents/GRI_ESRS_v3.xlsx" TargetMode="External"/><Relationship Id="rId1" Type="http://schemas.openxmlformats.org/officeDocument/2006/relationships/externalLinkPath" Target="/personal/linne_verhoeven_seafoodeurope_eu/Documents/GRI_ESR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op_Index"/>
      <sheetName val="Profand_GRI_Index"/>
      <sheetName val="Profand_Topical_Mapping"/>
      <sheetName val="Profand_Mapping"/>
      <sheetName val="Nomad_GRI_Index"/>
      <sheetName val="Nomad_Topical_Mapping"/>
      <sheetName val="Mapping_Nomad"/>
    </sheetNames>
    <sheetDataSet>
      <sheetData sheetId="0"/>
      <sheetData sheetId="1"/>
      <sheetData sheetId="2">
        <row r="2">
          <cell r="D2" t="str">
            <v>Employees</v>
          </cell>
          <cell r="E2" t="str">
            <v>Annex 1</v>
          </cell>
          <cell r="H2" t="str">
            <v>S1-6</v>
          </cell>
        </row>
        <row r="3">
          <cell r="D3" t="str">
            <v>Non-employee workers</v>
          </cell>
          <cell r="E3" t="str">
            <v>Work continues to report on this indicator in future versions of the ESG Report</v>
          </cell>
          <cell r="H3" t="str">
            <v>S1-7</v>
          </cell>
        </row>
        <row r="4">
          <cell r="D4" t="str">
            <v>Delegation of responsibility for impact management</v>
          </cell>
          <cell r="E4" t="str">
            <v>4.4. Compliance, good corporate governance and fiscal transparency</v>
          </cell>
          <cell r="H4" t="str">
            <v>G1-3</v>
          </cell>
        </row>
        <row r="5">
          <cell r="D5" t="str">
            <v>Total annual compensation ratio</v>
          </cell>
          <cell r="E5" t="str">
            <v>Annex 1</v>
          </cell>
          <cell r="H5" t="str">
            <v>S1-16</v>
          </cell>
        </row>
        <row r="6">
          <cell r="D6" t="str">
            <v>Commitments and policies</v>
          </cell>
          <cell r="E6" t="str">
            <v>2.2. Quality and the customer at the heart of our activity / 4.2. Protection and respect for human and labor rights / 4.4. Compliance, good corporate governance and fiscal transparency</v>
          </cell>
          <cell r="H6" t="str">
            <v>S1-1</v>
          </cell>
        </row>
        <row r="7">
          <cell r="D7" t="str">
            <v>Commitments and policies</v>
          </cell>
          <cell r="E7" t="str">
            <v>2.2. Quality and the customer at the heart of our activity / 4.2. Protection and respect for human and labor rights / 4.4. Compliance, good corporate governance and fiscal transparency</v>
          </cell>
          <cell r="H7" t="str">
            <v>S2-1</v>
          </cell>
        </row>
        <row r="8">
          <cell r="D8" t="str">
            <v>Commitments and policies</v>
          </cell>
          <cell r="E8" t="str">
            <v>2.2. Quality and the customer at the heart of our activity / 4.2. Protection and respect for human and labor rights / 4.4. Compliance, good corporate governance and fiscal transparency</v>
          </cell>
          <cell r="H8" t="str">
            <v>G1-1</v>
          </cell>
        </row>
        <row r="9">
          <cell r="D9" t="str">
            <v>Incorporating commitments and policies</v>
          </cell>
          <cell r="E9" t="str">
            <v>2.2. Quality and the customer at the heart of our activity / 4.2. Protection and respect for human and labor rights</v>
          </cell>
          <cell r="H9" t="str">
            <v>G1-1</v>
          </cell>
        </row>
        <row r="10">
          <cell r="D10" t="str">
            <v>Processes to remedy negative impacts</v>
          </cell>
          <cell r="E10" t="str">
            <v>4.4. Compliance, good corporate governance and fiscal transparency</v>
          </cell>
          <cell r="H10" t="str">
            <v>S1-1</v>
          </cell>
        </row>
        <row r="11">
          <cell r="D11" t="str">
            <v>Processes to remedy negative impacts</v>
          </cell>
          <cell r="E11" t="str">
            <v>4.4. Compliance, good corporate governance and fiscal transparency</v>
          </cell>
          <cell r="H11" t="str">
            <v>S1-3</v>
          </cell>
        </row>
        <row r="12">
          <cell r="D12" t="str">
            <v>Processes to remedy negative impacts</v>
          </cell>
          <cell r="E12" t="str">
            <v>4.4. Compliance, good corporate governance and fiscal transparency</v>
          </cell>
          <cell r="H12" t="str">
            <v>S2-1</v>
          </cell>
        </row>
        <row r="13">
          <cell r="D13" t="str">
            <v>Processes to remedy negative impacts</v>
          </cell>
          <cell r="E13" t="str">
            <v>4.4. Compliance, good corporate governance and fiscal transparency</v>
          </cell>
          <cell r="H13" t="str">
            <v>S2-3</v>
          </cell>
        </row>
        <row r="14">
          <cell r="D14" t="str">
            <v>Processes to remedy negative impacts</v>
          </cell>
          <cell r="E14" t="str">
            <v>4.4. Compliance, good corporate governance and fiscal transparency</v>
          </cell>
          <cell r="H14" t="str">
            <v>S3-1</v>
          </cell>
        </row>
        <row r="15">
          <cell r="D15" t="str">
            <v>Processes to remedy negative impacts</v>
          </cell>
          <cell r="E15" t="str">
            <v>4.4. Compliance, good corporate governance and fiscal transparency</v>
          </cell>
          <cell r="H15" t="str">
            <v>S4-1</v>
          </cell>
        </row>
        <row r="16">
          <cell r="D16" t="str">
            <v>Mechanisms for seeking advice and raising concerns</v>
          </cell>
          <cell r="E16" t="str">
            <v>2.2. Quality and the customer at the heart of our activity / 4.2. Protection and respect for human and labor rights</v>
          </cell>
          <cell r="H16" t="str">
            <v>S1-3</v>
          </cell>
        </row>
        <row r="17">
          <cell r="D17" t="str">
            <v>Mechanisms for seeking advice and raising concerns</v>
          </cell>
          <cell r="E17" t="str">
            <v>2.2. Quality and the customer at the heart of our activity / 4.2. Protection and respect for human and labor rights</v>
          </cell>
          <cell r="H17" t="str">
            <v>S2-3</v>
          </cell>
        </row>
        <row r="18">
          <cell r="D18" t="str">
            <v>Mechanisms for seeking advice and raising concerns</v>
          </cell>
          <cell r="E18" t="str">
            <v>2.2. Quality and the customer at the heart of our activity / 4.2. Protection and respect for human and labor rights</v>
          </cell>
          <cell r="H18" t="str">
            <v>G1-1</v>
          </cell>
        </row>
        <row r="19">
          <cell r="D19" t="str">
            <v>Mechanisms for seeking advice and raising concerns</v>
          </cell>
          <cell r="E19" t="str">
            <v>2.2. Quality and the customer at the heart of our activity / 4.2. Protection and respect for human and labor rights</v>
          </cell>
          <cell r="H19" t="str">
            <v>G1-3</v>
          </cell>
        </row>
        <row r="20">
          <cell r="D20" t="str">
            <v>Compliance with legislation and regulations</v>
          </cell>
          <cell r="E20" t="str">
            <v>There were no significant non-compliances with laws and regulations during the reporting period</v>
          </cell>
          <cell r="H20" t="str">
            <v>E2-4</v>
          </cell>
        </row>
        <row r="21">
          <cell r="D21" t="str">
            <v>Compliance with legislation and regulations</v>
          </cell>
          <cell r="E21" t="str">
            <v>There were no significant non-compliances with laws and regulations during the reporting period</v>
          </cell>
          <cell r="H21" t="str">
            <v>S1-17</v>
          </cell>
        </row>
        <row r="22">
          <cell r="D22" t="str">
            <v>Compliance with legislation and regulations</v>
          </cell>
          <cell r="E22" t="str">
            <v>There were no significant non-compliances with laws and regulations during the reporting period</v>
          </cell>
          <cell r="H22" t="str">
            <v>G1-4</v>
          </cell>
        </row>
        <row r="23">
          <cell r="D23" t="str">
            <v>Membership of associations</v>
          </cell>
          <cell r="E23" t="str">
            <v>3.6. Partnerships: together for sustainability</v>
          </cell>
          <cell r="H23" t="str">
            <v>G1-5</v>
          </cell>
        </row>
        <row r="24">
          <cell r="D24" t="str">
            <v>Approach to stakeholder engagement</v>
          </cell>
          <cell r="E24" t="str">
            <v>3.5. Integrating due diligence</v>
          </cell>
          <cell r="H24" t="str">
            <v>S1-2</v>
          </cell>
        </row>
        <row r="25">
          <cell r="D25" t="str">
            <v>Approach to stakeholder engagement</v>
          </cell>
          <cell r="E25" t="str">
            <v>3.5. Integrating due diligence</v>
          </cell>
          <cell r="H25" t="str">
            <v>S2-2</v>
          </cell>
        </row>
        <row r="26">
          <cell r="D26" t="str">
            <v>Collective bargaining agreements</v>
          </cell>
          <cell r="E26" t="str">
            <v>100% of employees covered by collective bargaining agreements</v>
          </cell>
          <cell r="H26" t="str">
            <v>S1-8</v>
          </cell>
        </row>
        <row r="27">
          <cell r="D27" t="str">
            <v>Animal health and welfare</v>
          </cell>
          <cell r="E27" t="str">
            <v>4.1. Conservation and regeneration of ecosystems</v>
          </cell>
          <cell r="H27" t="str">
            <v>G1-1</v>
          </cell>
        </row>
        <row r="28">
          <cell r="D28" t="str">
            <v>Traceability in the supply chain</v>
          </cell>
          <cell r="E28" t="str">
            <v>4.1. Conservation and regeneration of ecosystems</v>
          </cell>
          <cell r="H28" t="str">
            <v>S2-1</v>
          </cell>
        </row>
        <row r="29">
          <cell r="D29" t="str">
            <v>Materials used by weight or volume</v>
          </cell>
          <cell r="E29" t="str">
            <v>4.1. Conservation and regeneration of ecosystems. Management of natural resources</v>
          </cell>
          <cell r="H29" t="str">
            <v>E5-4</v>
          </cell>
        </row>
        <row r="30">
          <cell r="D30" t="str">
            <v>Recycled inputs used</v>
          </cell>
          <cell r="E30" t="str">
            <v>4.1. Conservation and regeneration of ecosystems. Management of natural resources</v>
          </cell>
          <cell r="H30" t="str">
            <v>E5-4</v>
          </cell>
        </row>
        <row r="31">
          <cell r="D31" t="str">
            <v>Interaction with water as a shared resource</v>
          </cell>
          <cell r="E31" t="str">
            <v>4.1. Conservation and regeneration of ecosystems. Management of natural resources</v>
          </cell>
          <cell r="H31" t="str">
            <v>E3-2</v>
          </cell>
        </row>
        <row r="32">
          <cell r="D32" t="str">
            <v>Interaction with water as a shared resource</v>
          </cell>
          <cell r="E32" t="str">
            <v>4.1. Conservation and regeneration of ecosystems. Management of natural resources</v>
          </cell>
          <cell r="H32" t="str">
            <v>E3-3</v>
          </cell>
        </row>
        <row r="33">
          <cell r="D33" t="str">
            <v>Management of impacts related to water discharges</v>
          </cell>
          <cell r="E33" t="str">
            <v>4.1. Conservation and regeneration of ecosystems. Management of natural resources</v>
          </cell>
          <cell r="H33" t="str">
            <v>E2-3</v>
          </cell>
        </row>
        <row r="34">
          <cell r="D34" t="str">
            <v>Water consumption</v>
          </cell>
          <cell r="E34" t="str">
            <v>4.1. Conservation and regeneration of ecosystems. Management of natural resources</v>
          </cell>
          <cell r="H34" t="str">
            <v>E3-4</v>
          </cell>
        </row>
        <row r="35">
          <cell r="D35" t="str">
            <v>Waste by type and disposal method</v>
          </cell>
          <cell r="E35" t="str">
            <v>4.1. Conservation and regeneration of ecosystems. Management of natural resources</v>
          </cell>
          <cell r="H35" t="str">
            <v>E5-2</v>
          </cell>
        </row>
        <row r="36">
          <cell r="D36" t="str">
            <v>Waste by type and disposal method</v>
          </cell>
          <cell r="E36" t="str">
            <v>4.1. Conservation and regeneration of ecosystems. Management of natural resources</v>
          </cell>
          <cell r="H36" t="str">
            <v>E5-5</v>
          </cell>
        </row>
        <row r="37">
          <cell r="D37" t="str">
            <v>Energy consumption within the organization</v>
          </cell>
          <cell r="E37" t="str">
            <v>4.1. Conservation and regeneration of ecosystems. Roadmap Decarbonization Plan</v>
          </cell>
          <cell r="H37" t="str">
            <v>E1-5</v>
          </cell>
        </row>
        <row r="38">
          <cell r="D38" t="str">
            <v>Energy intensity</v>
          </cell>
          <cell r="E38" t="str">
            <v>4.1. Conservation and regeneration of ecosystems. Carbon footprint</v>
          </cell>
          <cell r="H38" t="str">
            <v>E1-5</v>
          </cell>
        </row>
        <row r="39">
          <cell r="D39" t="str">
            <v>Direct GHG emissions (Scope 1)</v>
          </cell>
          <cell r="E39" t="str">
            <v>4.1. Conservation and regeneration of ecosystems. Carbon footprint</v>
          </cell>
          <cell r="H39" t="str">
            <v>E1-4</v>
          </cell>
        </row>
        <row r="40">
          <cell r="D40" t="str">
            <v>Direct GHG emissions (Scope 1)</v>
          </cell>
          <cell r="E40" t="str">
            <v>4.1. Conservation and regeneration of ecosystems. Carbon footprint</v>
          </cell>
          <cell r="H40" t="str">
            <v>E1-6</v>
          </cell>
        </row>
        <row r="41">
          <cell r="D41" t="str">
            <v>Energy-related indirect GHG emissions (Scope 2)</v>
          </cell>
          <cell r="E41" t="str">
            <v>4.1. Conservation and regeneration of ecosystems. Carbon footprint</v>
          </cell>
          <cell r="H41" t="str">
            <v>E1-4</v>
          </cell>
        </row>
        <row r="42">
          <cell r="D42" t="str">
            <v>Energy-related indirect GHG emissions (Scope 2)</v>
          </cell>
          <cell r="E42" t="str">
            <v>4.1. Conservation and regeneration of ecosystems. Carbon footprint</v>
          </cell>
          <cell r="H42" t="str">
            <v>E1-6</v>
          </cell>
        </row>
        <row r="43">
          <cell r="D43" t="str">
            <v>Other indirect GHG emissions (Scope 3)</v>
          </cell>
          <cell r="E43" t="str">
            <v>4.1. Conservation and regeneration of ecosystems. Carbon footprint</v>
          </cell>
          <cell r="H43" t="str">
            <v>E1-4</v>
          </cell>
        </row>
        <row r="44">
          <cell r="D44" t="str">
            <v>Other indirect GHG emissions (Scope 3)</v>
          </cell>
          <cell r="E44" t="str">
            <v>4.1. Conservation and regeneration of ecosystems. Carbon footprint</v>
          </cell>
          <cell r="H44" t="str">
            <v>E1-6</v>
          </cell>
        </row>
        <row r="45">
          <cell r="D45" t="str">
            <v>Operational sites owned, leased or managed within or adjacent to protected areas, or areas of high biodiversity value outside protected areas</v>
          </cell>
          <cell r="E45" t="str">
            <v>4.1. Conservation and regeneration of ecosystems. Management of natural resources</v>
          </cell>
          <cell r="H45" t="str">
            <v>E4-5</v>
          </cell>
        </row>
        <row r="46">
          <cell r="D46" t="str">
            <v>Cases of violations of the rights of indigenous peoples</v>
          </cell>
          <cell r="E46" t="str">
            <v>4.2. Protection and respect for human and labor rights</v>
          </cell>
          <cell r="H46" t="str">
            <v>S3-1</v>
          </cell>
        </row>
        <row r="47">
          <cell r="D47" t="str">
            <v>Cases of violations of the rights of indigenous peoples</v>
          </cell>
          <cell r="E47" t="str">
            <v>4.2. Protection and respect for human and labor rights</v>
          </cell>
          <cell r="H47" t="str">
            <v>S3-4</v>
          </cell>
        </row>
        <row r="48">
          <cell r="D48" t="str">
            <v>Operations with local community engagement, impact assessments and development programs</v>
          </cell>
          <cell r="E48" t="str">
            <v>4.2. Protection and respect for human and labor rights</v>
          </cell>
          <cell r="H48" t="str">
            <v>S3-2</v>
          </cell>
        </row>
        <row r="49">
          <cell r="D49" t="str">
            <v>Operations with local community engagement, impact assessments and development programs</v>
          </cell>
          <cell r="E49" t="str">
            <v>4.2. Protection and respect for human and labor rights</v>
          </cell>
          <cell r="H49" t="str">
            <v>S3-3</v>
          </cell>
        </row>
        <row r="50">
          <cell r="D50" t="str">
            <v>Operations with local community engagement, impact assessments and development programs</v>
          </cell>
          <cell r="E50" t="str">
            <v>4.2. Protection and respect for human and labor rights</v>
          </cell>
          <cell r="H50" t="str">
            <v>S3-4</v>
          </cell>
        </row>
        <row r="51">
          <cell r="D51" t="str">
            <v>Recruitment of new employees and staff turnover</v>
          </cell>
          <cell r="E51" t="str">
            <v>Annex 1</v>
          </cell>
          <cell r="H51" t="str">
            <v>S1-6</v>
          </cell>
        </row>
        <row r="52">
          <cell r="D52" t="str">
            <v>Parental leave</v>
          </cell>
          <cell r="E52" t="str">
            <v>Annex 1</v>
          </cell>
          <cell r="H52" t="str">
            <v>S1-15</v>
          </cell>
        </row>
        <row r="53">
          <cell r="D53" t="str">
            <v>Diversity of governing bodies and employees</v>
          </cell>
          <cell r="E53" t="str">
            <v>4.2. Protection and respect for human and labor rights / Annex 1</v>
          </cell>
          <cell r="H53" t="str">
            <v>S1-6</v>
          </cell>
        </row>
        <row r="54">
          <cell r="D54" t="str">
            <v>Diversity of governing bodies and employees</v>
          </cell>
          <cell r="E54" t="str">
            <v>4.2. Protection and respect for human and labor rights / Annex 1</v>
          </cell>
          <cell r="H54" t="str">
            <v>S1-9</v>
          </cell>
        </row>
        <row r="55">
          <cell r="D55" t="str">
            <v>Diversity of governing bodies and employees</v>
          </cell>
          <cell r="E55" t="str">
            <v>4.2. Protection and respect for human and labor rights / Annex 1</v>
          </cell>
          <cell r="H55" t="str">
            <v>S1-12</v>
          </cell>
        </row>
        <row r="56">
          <cell r="D56" t="str">
            <v>Ratio of basic salary and remuneration of women versus men</v>
          </cell>
          <cell r="E56" t="str">
            <v>4.2. Protection and respect for human and labor rights. Pay gap</v>
          </cell>
          <cell r="H56" t="str">
            <v>S1-16</v>
          </cell>
        </row>
        <row r="57">
          <cell r="D57" t="str">
            <v>Occupational health and safety management system</v>
          </cell>
          <cell r="E57" t="str">
            <v>4.2. Protection and respect for human and labor rights</v>
          </cell>
          <cell r="H57" t="str">
            <v>S1-1</v>
          </cell>
        </row>
        <row r="58">
          <cell r="D58" t="str">
            <v>Hazard identification, risk assessment and incident investigation</v>
          </cell>
          <cell r="E58" t="str">
            <v>4.2. Protection and respect for human and labor rights</v>
          </cell>
          <cell r="H58" t="str">
            <v>S1-3</v>
          </cell>
        </row>
        <row r="59">
          <cell r="D59" t="str">
            <v>Occupational health services</v>
          </cell>
          <cell r="E59" t="str">
            <v>4.2. Protection and respect for human and labor rights</v>
          </cell>
          <cell r="H59" t="str">
            <v>S1-1</v>
          </cell>
        </row>
        <row r="60">
          <cell r="D60" t="str">
            <v>Work-related injuries</v>
          </cell>
          <cell r="E60" t="str">
            <v>Annex 1</v>
          </cell>
          <cell r="H60" t="str">
            <v>S1-4</v>
          </cell>
        </row>
        <row r="61">
          <cell r="D61" t="str">
            <v>Work-related injuries</v>
          </cell>
          <cell r="E61" t="str">
            <v>Annex 1</v>
          </cell>
          <cell r="H61" t="str">
            <v>S1-14</v>
          </cell>
        </row>
        <row r="62">
          <cell r="D62" t="str">
            <v>Occupational diseases and illnesses</v>
          </cell>
          <cell r="E62" t="str">
            <v>Annex 1</v>
          </cell>
          <cell r="H62" t="str">
            <v>S1-4</v>
          </cell>
        </row>
        <row r="63">
          <cell r="D63" t="str">
            <v>Occupational diseases and illnesses</v>
          </cell>
          <cell r="E63" t="str">
            <v>Annex 1</v>
          </cell>
          <cell r="H63" t="str">
            <v>S1-14</v>
          </cell>
        </row>
        <row r="64">
          <cell r="D64" t="str">
            <v>Average hours of training per employee per year</v>
          </cell>
          <cell r="E64" t="str">
            <v>Annex 1</v>
          </cell>
          <cell r="H64" t="str">
            <v>S1-13</v>
          </cell>
        </row>
        <row r="65">
          <cell r="D65" t="str">
            <v>Employee skills enhancement program and transition assistance programs</v>
          </cell>
          <cell r="E65" t="str">
            <v>4.2. Protection and respect for human and labor rights</v>
          </cell>
          <cell r="H65" t="str">
            <v>S1-1</v>
          </cell>
        </row>
        <row r="66">
          <cell r="D66" t="str">
            <v>Cases of non-compliance relating to the health and safety impacts of product and service categories</v>
          </cell>
          <cell r="E66" t="str">
            <v>2.2. Quality and the customer at the heart of our activity</v>
          </cell>
          <cell r="H66" t="str">
            <v>S4-4</v>
          </cell>
        </row>
        <row r="67">
          <cell r="D67" t="str">
            <v>Cases of non-compliance concerning health and safety impacts of product and service categories</v>
          </cell>
          <cell r="H67" t="str">
            <v>S4-4</v>
          </cell>
        </row>
        <row r="68">
          <cell r="D68" t="str">
            <v>Communication and training on anti-corruption policies and procedures</v>
          </cell>
          <cell r="E68" t="str">
            <v>4.4. Compliance, good corporate governance and fiscal transparency</v>
          </cell>
          <cell r="H68" t="str">
            <v>G1-3</v>
          </cell>
        </row>
        <row r="69">
          <cell r="D69" t="str">
            <v>Confirmed incidents of corruption and measures taken</v>
          </cell>
          <cell r="H69" t="str">
            <v>G1-4</v>
          </cell>
        </row>
        <row r="70">
          <cell r="D70" t="str">
            <v>Cases of discrimination and corrective actions taken</v>
          </cell>
          <cell r="E70" t="str">
            <v>4.2. Protection and respect for human and labor rights</v>
          </cell>
          <cell r="H70" t="str">
            <v>S1-17</v>
          </cell>
        </row>
        <row r="71">
          <cell r="D71" t="str">
            <v>Operations and suppliers with significant risk of child labor cases</v>
          </cell>
          <cell r="E71" t="str">
            <v>4.2. Protection and respect for human and labor rights / 4.4. Compliance, good corporate governance and fiscal transparency</v>
          </cell>
          <cell r="H71" t="str">
            <v>S1-1</v>
          </cell>
        </row>
        <row r="72">
          <cell r="D72" t="str">
            <v>Operations and suppliers with significant risk of child labor cases</v>
          </cell>
          <cell r="E72" t="str">
            <v>4.2. Protection and respect for human and labor rights / 4.4. Compliance, good corporate governance and fiscal transparency</v>
          </cell>
          <cell r="H72" t="str">
            <v>S2-1</v>
          </cell>
        </row>
        <row r="73">
          <cell r="D73" t="str">
            <v>Operations and suppliers with significant risk of cases of forced or compulsory labor</v>
          </cell>
          <cell r="E73" t="str">
            <v>4.2. Protection and respect for human and labor rights / 4.4. Compliance, good corporate governance and fiscal transparency</v>
          </cell>
          <cell r="H73" t="str">
            <v>S1-1</v>
          </cell>
        </row>
        <row r="74">
          <cell r="D74" t="str">
            <v>Operations and suppliers with significant risk of cases of forced or compulsory labor</v>
          </cell>
          <cell r="E74" t="str">
            <v>4.2. Protection and respect for human and labor rights / 4.4. Compliance, good corporate governance and fiscal transparency</v>
          </cell>
          <cell r="H74" t="str">
            <v>S2-1</v>
          </cell>
        </row>
        <row r="75">
          <cell r="D75" t="str">
            <v>Political contributions</v>
          </cell>
          <cell r="H75" t="str">
            <v>G1-5</v>
          </cell>
        </row>
        <row r="76">
          <cell r="D76" t="str">
            <v>Substantiated complaints regarding breaches of customer privacy and loss of customer data</v>
          </cell>
          <cell r="H76" t="str">
            <v>S4-3</v>
          </cell>
        </row>
        <row r="77">
          <cell r="D77" t="str">
            <v>Substantiated complaints regarding breaches of customer privacy and loss of customer data</v>
          </cell>
          <cell r="H77" t="str">
            <v>S4-4</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fand_GRI_Index"/>
      <sheetName val="Nomad_GRI_Index"/>
      <sheetName val="Interop_Index"/>
      <sheetName val="Mapping_Nomad"/>
      <sheetName val="Nomad_Topical_Mapping"/>
      <sheetName val="Sheet5"/>
    </sheetNames>
    <sheetDataSet>
      <sheetData sheetId="0"/>
      <sheetData sheetId="1"/>
      <sheetData sheetId="2"/>
      <sheetData sheetId="3"/>
      <sheetData sheetId="4">
        <row r="2">
          <cell r="D2" t="str">
            <v>Total number of employees</v>
          </cell>
          <cell r="E2" t="str">
            <v>Data tables</v>
          </cell>
          <cell r="H2" t="str">
            <v>S1-6</v>
          </cell>
        </row>
        <row r="3">
          <cell r="D3" t="str">
            <v>Employee breakdown by gender and region</v>
          </cell>
          <cell r="E3" t="str">
            <v>Data tables</v>
          </cell>
          <cell r="H3" t="str">
            <v>S1-6</v>
          </cell>
        </row>
        <row r="4">
          <cell r="D4" t="str">
            <v>Delegation of responsibility</v>
          </cell>
          <cell r="E4" t="str">
            <v>Sustainability governance</v>
          </cell>
          <cell r="H4" t="str">
            <v>G1-3</v>
          </cell>
        </row>
        <row r="5">
          <cell r="D5" t="str">
            <v>Policy commitments for responsible business conduct</v>
          </cell>
          <cell r="E5" t="str">
            <v>Sustainability governance / Code of Business Principles / Supplier Code of Conduct</v>
          </cell>
          <cell r="H5" t="str">
            <v>S1-1</v>
          </cell>
        </row>
        <row r="6">
          <cell r="D6" t="str">
            <v>Policy commitments for responsible business conduct</v>
          </cell>
          <cell r="E6" t="str">
            <v>Sustainability governance / Code of Business Principles / Supplier Code of Conduct</v>
          </cell>
          <cell r="H6" t="str">
            <v>S2-1</v>
          </cell>
        </row>
        <row r="7">
          <cell r="D7" t="str">
            <v>Policy commitments for responsible business conduct</v>
          </cell>
          <cell r="E7" t="str">
            <v>Sustainability governance / Code of Business Principles / Supplier Code of Conduct</v>
          </cell>
          <cell r="H7" t="str">
            <v>G1-1</v>
          </cell>
        </row>
        <row r="8">
          <cell r="D8" t="str">
            <v>Embedding policy commitments for responsible business conduct</v>
          </cell>
          <cell r="E8" t="str">
            <v>Sustainability governance</v>
          </cell>
          <cell r="H8" t="str">
            <v>G1-1</v>
          </cell>
        </row>
        <row r="9">
          <cell r="D9" t="str">
            <v>Mechanisms for seeking advice and raising concerns</v>
          </cell>
          <cell r="E9" t="str">
            <v>Sustainability governance – Speak up programme</v>
          </cell>
          <cell r="H9" t="str">
            <v>S1-3</v>
          </cell>
        </row>
        <row r="10">
          <cell r="D10" t="str">
            <v>Mechanisms for seeking advice and raising concerns</v>
          </cell>
          <cell r="E10" t="str">
            <v>Sustainability governance – Speak up programme</v>
          </cell>
          <cell r="H10" t="str">
            <v>S2-3</v>
          </cell>
        </row>
        <row r="11">
          <cell r="D11" t="str">
            <v>Mechanisms for seeking advice and raising concerns</v>
          </cell>
          <cell r="E11" t="str">
            <v>Sustainability governance – Speak up programme</v>
          </cell>
          <cell r="H11" t="str">
            <v>G1-1</v>
          </cell>
        </row>
        <row r="12">
          <cell r="D12" t="str">
            <v>Mechanisms for seeking advice and raising concerns</v>
          </cell>
          <cell r="E12" t="str">
            <v>Sustainability governance – Speak up programme</v>
          </cell>
          <cell r="H12" t="str">
            <v>G1-3</v>
          </cell>
        </row>
        <row r="13">
          <cell r="D13" t="str">
            <v>Commitment to legal compliance and anti-bribery outlined</v>
          </cell>
          <cell r="E13" t="str">
            <v>ESG regulation and reporting / Anti-bribery and corruption</v>
          </cell>
          <cell r="H13" t="str">
            <v>E2-4</v>
          </cell>
        </row>
        <row r="14">
          <cell r="D14" t="str">
            <v>Commitment to legal compliance and anti-bribery outlined</v>
          </cell>
          <cell r="E14" t="str">
            <v>ESG regulation and reporting / Anti-bribery and corruption</v>
          </cell>
          <cell r="H14" t="str">
            <v>S1-17</v>
          </cell>
        </row>
        <row r="15">
          <cell r="D15" t="str">
            <v>Commitment to legal compliance and anti-bribery outlined</v>
          </cell>
          <cell r="E15" t="str">
            <v>ESG regulation and reporting / Anti-bribery and corruption</v>
          </cell>
          <cell r="H15" t="str">
            <v>G1-4</v>
          </cell>
        </row>
        <row r="16">
          <cell r="D16" t="str">
            <v>Participation in industry associations and advocacy organizations</v>
          </cell>
          <cell r="E16" t="str">
            <v>Stakeholder engagement / Examples throughout report</v>
          </cell>
          <cell r="H16" t="str">
            <v>G1-5</v>
          </cell>
        </row>
        <row r="17">
          <cell r="D17" t="str">
            <v>Approach to stakeholder engagement</v>
          </cell>
          <cell r="E17" t="str">
            <v>Sustainability stakeholder engagement process</v>
          </cell>
          <cell r="H17" t="str">
            <v>S1-2</v>
          </cell>
        </row>
        <row r="18">
          <cell r="D18" t="str">
            <v>Approach to stakeholder engagement</v>
          </cell>
          <cell r="E18" t="str">
            <v>Sustainability stakeholder engagement process</v>
          </cell>
          <cell r="H18" t="str">
            <v>S2-2</v>
          </cell>
        </row>
        <row r="19">
          <cell r="D19" t="str">
            <v>Actions taken to manage negative biodiversity impacts</v>
          </cell>
          <cell r="E19" t="str">
            <v>Fish and seafood / Agriculture</v>
          </cell>
          <cell r="H19" t="str">
            <v>E2-2</v>
          </cell>
        </row>
        <row r="20">
          <cell r="D20" t="str">
            <v>Actions taken to manage negative biodiversity impacts</v>
          </cell>
          <cell r="E20" t="str">
            <v>Fish and seafood / Agriculture</v>
          </cell>
          <cell r="H20" t="str">
            <v>E3-2</v>
          </cell>
        </row>
        <row r="21">
          <cell r="D21" t="str">
            <v>Actions taken to manage negative biodiversity impacts</v>
          </cell>
          <cell r="E21" t="str">
            <v>Fish and seafood / Agriculture</v>
          </cell>
          <cell r="H21" t="str">
            <v>E4-2</v>
          </cell>
        </row>
        <row r="22">
          <cell r="D22" t="str">
            <v>Actions taken to manage negative biodiversity impacts</v>
          </cell>
          <cell r="E22" t="str">
            <v>Fish and seafood / Agriculture</v>
          </cell>
          <cell r="H22" t="str">
            <v>E4-3</v>
          </cell>
        </row>
        <row r="23">
          <cell r="D23" t="str">
            <v>Financial implications and other risks/opportunities due to climate change</v>
          </cell>
          <cell r="E23" t="str">
            <v>Annual report / TCFD statement</v>
          </cell>
          <cell r="H23" t="str">
            <v>E1-3</v>
          </cell>
        </row>
        <row r="24">
          <cell r="D24" t="str">
            <v>Financial implications and other risks/opportunities due to climate change</v>
          </cell>
          <cell r="E24" t="str">
            <v>Annual report / TCFD statement</v>
          </cell>
          <cell r="H24" t="str">
            <v>E1-9</v>
          </cell>
        </row>
        <row r="25">
          <cell r="D25" t="str">
            <v>Management approach — Anti-corruption</v>
          </cell>
          <cell r="E25" t="str">
            <v>Anti-bribery and corruption</v>
          </cell>
          <cell r="H25" t="str">
            <v>G1-3</v>
          </cell>
        </row>
        <row r="26">
          <cell r="D26" t="str">
            <v>Confirmed incidents of corruption and actions taken</v>
          </cell>
          <cell r="E26" t="str">
            <v>Data tables</v>
          </cell>
          <cell r="H26" t="str">
            <v>G1-4</v>
          </cell>
        </row>
        <row r="27">
          <cell r="D27" t="str">
            <v>Management approach — Materials</v>
          </cell>
          <cell r="E27" t="str">
            <v>Packaging</v>
          </cell>
          <cell r="H27" t="str">
            <v>E5-1</v>
          </cell>
        </row>
        <row r="28">
          <cell r="D28" t="str">
            <v>Management approach — Materials</v>
          </cell>
          <cell r="E28" t="str">
            <v>Packaging</v>
          </cell>
          <cell r="H28" t="str">
            <v>E5-2</v>
          </cell>
        </row>
        <row r="29">
          <cell r="D29" t="str">
            <v>Management approach — Materials</v>
          </cell>
          <cell r="E29" t="str">
            <v>Packaging</v>
          </cell>
          <cell r="H29" t="str">
            <v>E5-3</v>
          </cell>
        </row>
        <row r="30">
          <cell r="D30" t="str">
            <v>Recycled input materials used</v>
          </cell>
          <cell r="E30" t="str">
            <v>Packaging</v>
          </cell>
          <cell r="H30" t="str">
            <v>E5-4</v>
          </cell>
        </row>
        <row r="31">
          <cell r="D31" t="str">
            <v>Management approach — Energy</v>
          </cell>
          <cell r="E31" t="str">
            <v>Packaging</v>
          </cell>
          <cell r="H31" t="str">
            <v>E1-2</v>
          </cell>
        </row>
        <row r="32">
          <cell r="D32" t="str">
            <v>Management approach — Energy</v>
          </cell>
          <cell r="E32" t="str">
            <v>Packaging</v>
          </cell>
          <cell r="H32" t="str">
            <v>E1-3</v>
          </cell>
        </row>
        <row r="33">
          <cell r="D33" t="str">
            <v>Management approach — Energy</v>
          </cell>
          <cell r="E33" t="str">
            <v>Packaging</v>
          </cell>
          <cell r="H33" t="str">
            <v>E1-4</v>
          </cell>
        </row>
        <row r="34">
          <cell r="D34" t="str">
            <v>Energy consumption within the organisation</v>
          </cell>
          <cell r="E34" t="str">
            <v>Packaging</v>
          </cell>
          <cell r="H34" t="str">
            <v>E1-5</v>
          </cell>
        </row>
        <row r="35">
          <cell r="D35" t="str">
            <v>Management approach — Water</v>
          </cell>
          <cell r="E35" t="str">
            <v>Waste and water / Data tables / Environment Policy</v>
          </cell>
          <cell r="H35" t="str">
            <v>E3-1</v>
          </cell>
        </row>
        <row r="36">
          <cell r="D36" t="str">
            <v>Management approach — Water</v>
          </cell>
          <cell r="E36" t="str">
            <v>Waste and water / Data tables / Environment Policy</v>
          </cell>
          <cell r="H36" t="str">
            <v>E3-2</v>
          </cell>
        </row>
        <row r="37">
          <cell r="D37" t="str">
            <v>Management approach — Water</v>
          </cell>
          <cell r="E37" t="str">
            <v>Waste and water / Data tables / Environment Policy</v>
          </cell>
          <cell r="H37" t="str">
            <v>E3-3</v>
          </cell>
        </row>
        <row r="38">
          <cell r="D38" t="str">
            <v>Water withdrawal</v>
          </cell>
          <cell r="E38" t="str">
            <v>Data tables</v>
          </cell>
          <cell r="H38" t="str">
            <v>E3-4</v>
          </cell>
        </row>
        <row r="39">
          <cell r="D39" t="str">
            <v>Water discharge</v>
          </cell>
          <cell r="E39" t="str">
            <v>Data tables</v>
          </cell>
          <cell r="H39" t="str">
            <v>E3-4</v>
          </cell>
        </row>
        <row r="40">
          <cell r="D40" t="str">
            <v>Water consumption</v>
          </cell>
          <cell r="E40" t="str">
            <v>Waste and water / Data tables</v>
          </cell>
          <cell r="H40" t="str">
            <v>E3-4</v>
          </cell>
        </row>
        <row r="41">
          <cell r="D41" t="str">
            <v>Management approach — Emissions</v>
          </cell>
          <cell r="E41" t="str">
            <v>Climate change and greenhouse gases / Data tables</v>
          </cell>
          <cell r="H41" t="str">
            <v>E1-2</v>
          </cell>
        </row>
        <row r="42">
          <cell r="D42" t="str">
            <v>Management approach — Emissions</v>
          </cell>
          <cell r="E42" t="str">
            <v>Climate change and greenhouse gases / Data tables</v>
          </cell>
          <cell r="H42" t="str">
            <v>E1-3</v>
          </cell>
        </row>
        <row r="43">
          <cell r="D43" t="str">
            <v>Management approach — Emissions</v>
          </cell>
          <cell r="E43" t="str">
            <v>Climate change and greenhouse gases / Data tables</v>
          </cell>
          <cell r="H43" t="str">
            <v>E1-4</v>
          </cell>
        </row>
        <row r="44">
          <cell r="D44" t="str">
            <v>Direct (Scope 1) GHG emissions</v>
          </cell>
          <cell r="E44" t="str">
            <v>Climate change and greenhouse gases / Data tables</v>
          </cell>
          <cell r="H44" t="str">
            <v>E1-4</v>
          </cell>
        </row>
        <row r="45">
          <cell r="D45" t="str">
            <v>Direct (Scope 1) GHG emissions</v>
          </cell>
          <cell r="E45" t="str">
            <v>Climate change and greenhouse gases / Data tables</v>
          </cell>
          <cell r="H45" t="str">
            <v>E1-6</v>
          </cell>
        </row>
        <row r="46">
          <cell r="D46" t="str">
            <v>Energy indirect (Scope 2) GHG emissions</v>
          </cell>
          <cell r="E46" t="str">
            <v>Climate change and greenhouse gases / Data tables</v>
          </cell>
          <cell r="H46" t="str">
            <v>E1-4</v>
          </cell>
        </row>
        <row r="47">
          <cell r="D47" t="str">
            <v>Energy indirect (Scope 2) GHG emissions</v>
          </cell>
          <cell r="E47" t="str">
            <v>Climate change and greenhouse gases / Data tables</v>
          </cell>
          <cell r="H47" t="str">
            <v>E1-6</v>
          </cell>
        </row>
        <row r="48">
          <cell r="D48" t="str">
            <v>Other indirect (Scope 3) GHG emissions</v>
          </cell>
          <cell r="E48" t="str">
            <v>Climate change and greenhouse gases / Data tables</v>
          </cell>
          <cell r="H48" t="str">
            <v>E1-4</v>
          </cell>
        </row>
        <row r="49">
          <cell r="D49" t="str">
            <v>Other indirect (Scope 3) GHG emissions</v>
          </cell>
          <cell r="E49" t="str">
            <v>Climate change and greenhouse gases / Data tables</v>
          </cell>
          <cell r="H49" t="str">
            <v>E1-6</v>
          </cell>
        </row>
        <row r="50">
          <cell r="D50" t="str">
            <v>GHG emissions intensity</v>
          </cell>
          <cell r="E50" t="str">
            <v>Climate change and greenhouse gases / Data tables</v>
          </cell>
          <cell r="H50" t="str">
            <v>E1-6</v>
          </cell>
        </row>
        <row r="51">
          <cell r="D51" t="str">
            <v>Reduction of GHG emissions</v>
          </cell>
          <cell r="E51" t="str">
            <v>Climate change and greenhouse gases / Data tables</v>
          </cell>
          <cell r="H51" t="str">
            <v>E1-3</v>
          </cell>
        </row>
        <row r="52">
          <cell r="D52" t="str">
            <v>Reduction of GHG emissions</v>
          </cell>
          <cell r="E52" t="str">
            <v>Climate change and greenhouse gases / Data tables</v>
          </cell>
          <cell r="H52" t="str">
            <v>E1-4</v>
          </cell>
        </row>
        <row r="54">
          <cell r="D54" t="str">
            <v>Management approach — Waste</v>
          </cell>
          <cell r="E54" t="str">
            <v>Waste and water / Environment Policy</v>
          </cell>
          <cell r="H54" t="str">
            <v>E5-1</v>
          </cell>
        </row>
        <row r="55">
          <cell r="D55" t="str">
            <v>Management approach — Waste</v>
          </cell>
          <cell r="E55" t="str">
            <v>Waste and water / Environment Policy</v>
          </cell>
          <cell r="H55" t="str">
            <v>E5-2</v>
          </cell>
        </row>
        <row r="56">
          <cell r="D56" t="str">
            <v>Management approach — Waste</v>
          </cell>
          <cell r="E56" t="str">
            <v>Waste and water / Environment Policy</v>
          </cell>
          <cell r="H56" t="str">
            <v>E5-3</v>
          </cell>
        </row>
        <row r="57">
          <cell r="D57" t="str">
            <v>Operational waste profile and significant environmental impact</v>
          </cell>
          <cell r="E57" t="str">
            <v>Waste and water</v>
          </cell>
          <cell r="H57" t="str">
            <v>E5-4</v>
          </cell>
        </row>
        <row r="58">
          <cell r="D58" t="str">
            <v>Management of significant waste related impacts</v>
          </cell>
          <cell r="E58" t="str">
            <v>Waste and water / Packaging</v>
          </cell>
          <cell r="H58" t="str">
            <v>E5-2</v>
          </cell>
        </row>
        <row r="59">
          <cell r="D59" t="str">
            <v>Management of significant waste related impacts</v>
          </cell>
          <cell r="E59" t="str">
            <v>Waste and water / Packaging</v>
          </cell>
          <cell r="H59" t="str">
            <v>E5-5</v>
          </cell>
        </row>
        <row r="60">
          <cell r="D60" t="str">
            <v>Waste generated</v>
          </cell>
          <cell r="E60" t="str">
            <v>Data tables</v>
          </cell>
          <cell r="H60" t="str">
            <v>E5-5</v>
          </cell>
        </row>
        <row r="61">
          <cell r="D61" t="str">
            <v>Waste diverted from disposal</v>
          </cell>
          <cell r="E61" t="str">
            <v>Waste and water / Data tables</v>
          </cell>
          <cell r="H61" t="str">
            <v>E5-5</v>
          </cell>
        </row>
        <row r="62">
          <cell r="D62" t="str">
            <v>Waste directed to disposal</v>
          </cell>
          <cell r="E62" t="str">
            <v>Waste and water / Data tables</v>
          </cell>
          <cell r="H62" t="str">
            <v>E5-5</v>
          </cell>
        </row>
        <row r="63">
          <cell r="D63" t="str">
            <v>Management approach — OHS</v>
          </cell>
          <cell r="E63" t="str">
            <v>Employee health, wellbeing and development / Data tables / Safety Policy</v>
          </cell>
          <cell r="H63" t="str">
            <v>S1-1</v>
          </cell>
        </row>
        <row r="64">
          <cell r="D64" t="str">
            <v>Management approach — OHS</v>
          </cell>
          <cell r="E64" t="str">
            <v>Employee health, wellbeing and development / Data tables / Safety Policy</v>
          </cell>
          <cell r="H64" t="str">
            <v>S1-4</v>
          </cell>
        </row>
        <row r="65">
          <cell r="D65" t="str">
            <v>Management approach — OHS</v>
          </cell>
          <cell r="E65" t="str">
            <v>Employee health, wellbeing and development / Data tables / Safety Policy</v>
          </cell>
          <cell r="H65" t="str">
            <v>S1-5</v>
          </cell>
        </row>
        <row r="66">
          <cell r="D66" t="str">
            <v>Hazard identification, risk assessment, and incident investigation</v>
          </cell>
          <cell r="E66" t="str">
            <v>Employee health, wellbeing and development</v>
          </cell>
          <cell r="H66" t="str">
            <v>S1-3</v>
          </cell>
        </row>
        <row r="67">
          <cell r="D67" t="str">
            <v>Prevention and mitigation of OH&amp;S impacts linked by business relationships</v>
          </cell>
          <cell r="E67" t="str">
            <v>Employee health, wellbeing and development</v>
          </cell>
          <cell r="H67" t="str">
            <v>S2-4</v>
          </cell>
        </row>
        <row r="68">
          <cell r="D68" t="str">
            <v>Work-related injuries</v>
          </cell>
          <cell r="E68" t="str">
            <v>Employee health, wellbeing and development / Data tables</v>
          </cell>
          <cell r="H68" t="str">
            <v>S1-4</v>
          </cell>
        </row>
        <row r="69">
          <cell r="D69" t="str">
            <v>Work-related injuries</v>
          </cell>
          <cell r="E69" t="str">
            <v>Employee health, wellbeing and development / Data tables</v>
          </cell>
          <cell r="H69" t="str">
            <v>S1-14</v>
          </cell>
        </row>
        <row r="70">
          <cell r="D70" t="str">
            <v>Management approach — Training</v>
          </cell>
          <cell r="E70" t="str">
            <v>Employee health, wellbeing and development / Data tables</v>
          </cell>
          <cell r="H70" t="str">
            <v>S1-1</v>
          </cell>
        </row>
        <row r="71">
          <cell r="D71" t="str">
            <v>Management approach — Training</v>
          </cell>
          <cell r="E71" t="str">
            <v>Employee health, wellbeing and development / Data tables</v>
          </cell>
          <cell r="H71" t="str">
            <v>S1-4</v>
          </cell>
        </row>
        <row r="72">
          <cell r="D72" t="str">
            <v>Management approach — Training</v>
          </cell>
          <cell r="E72" t="str">
            <v>Employee health, wellbeing and development / Data tables</v>
          </cell>
          <cell r="H72" t="str">
            <v>S1-5</v>
          </cell>
        </row>
        <row r="73">
          <cell r="D73" t="str">
            <v>Average hours of training per year per employee</v>
          </cell>
          <cell r="E73" t="str">
            <v>Employee health, wellbeing and development / Data tables</v>
          </cell>
          <cell r="H73" t="str">
            <v>S1-13</v>
          </cell>
        </row>
        <row r="74">
          <cell r="D74" t="str">
            <v>Programmes for upgrading employee skills and transition assistance programmes</v>
          </cell>
          <cell r="E74" t="str">
            <v>Employee health, wellbeing and development</v>
          </cell>
          <cell r="H74" t="str">
            <v>S1-1</v>
          </cell>
        </row>
        <row r="75">
          <cell r="D75" t="str">
            <v>Management approach — Diversity</v>
          </cell>
          <cell r="E75" t="str">
            <v>Diversity, equity and inclusion / Data tables</v>
          </cell>
          <cell r="H75" t="str">
            <v>S1-1</v>
          </cell>
        </row>
        <row r="76">
          <cell r="D76" t="str">
            <v>Management approach — Diversity</v>
          </cell>
          <cell r="E76" t="str">
            <v>Diversity, equity and inclusion / Data tables</v>
          </cell>
          <cell r="H76" t="str">
            <v>S1-4</v>
          </cell>
        </row>
        <row r="77">
          <cell r="D77" t="str">
            <v>Management approach — Diversity</v>
          </cell>
          <cell r="E77" t="str">
            <v>Diversity, equity and inclusion / Data tables</v>
          </cell>
          <cell r="H77" t="str">
            <v>S1-5</v>
          </cell>
        </row>
        <row r="78">
          <cell r="D78" t="str">
            <v>Diversity of governance bodies and employees</v>
          </cell>
          <cell r="E78" t="str">
            <v>Diversity, equity and inclusion / Data tables</v>
          </cell>
          <cell r="H78" t="str">
            <v>S1-6</v>
          </cell>
        </row>
        <row r="79">
          <cell r="D79" t="str">
            <v>Diversity of governance bodies and employees</v>
          </cell>
          <cell r="E79" t="str">
            <v>Diversity, equity and inclusion / Data tables</v>
          </cell>
          <cell r="H79" t="str">
            <v>S1-9</v>
          </cell>
        </row>
        <row r="80">
          <cell r="D80" t="str">
            <v>Diversity of governance bodies and employees</v>
          </cell>
          <cell r="E80" t="str">
            <v>Diversity, equity and inclusion / Data tables</v>
          </cell>
          <cell r="H80" t="str">
            <v>S1-12</v>
          </cell>
        </row>
        <row r="81">
          <cell r="D81" t="str">
            <v>Operations and suppliers at significant risk of incidents of child labour</v>
          </cell>
          <cell r="E81" t="str">
            <v>Social impact of supply chain / Modern slavery statement</v>
          </cell>
          <cell r="H81" t="str">
            <v>S1-1</v>
          </cell>
        </row>
        <row r="82">
          <cell r="D82" t="str">
            <v>Operations and suppliers at significant risk of incidents of child labour</v>
          </cell>
          <cell r="E82" t="str">
            <v>Social impact of supply chain / Modern slavery statement</v>
          </cell>
          <cell r="H82" t="str">
            <v>S2-1</v>
          </cell>
        </row>
        <row r="83">
          <cell r="D83" t="str">
            <v>Operations and suppliers at significant risk for incidents of forced labour</v>
          </cell>
          <cell r="E83" t="str">
            <v>Social impact of supply chain / Modern slavery statement</v>
          </cell>
          <cell r="H83" t="str">
            <v>S1-1</v>
          </cell>
        </row>
        <row r="84">
          <cell r="D84" t="str">
            <v>Operations and suppliers at significant risk for incidents of forced labour</v>
          </cell>
          <cell r="E84" t="str">
            <v>Social impact of supply chain / Modern slavery statement</v>
          </cell>
          <cell r="H84" t="str">
            <v>S2-1</v>
          </cell>
        </row>
        <row r="85">
          <cell r="D85" t="str">
            <v>Employee training on human rights policies or procedures</v>
          </cell>
          <cell r="E85" t="str">
            <v>Modern slavery statement</v>
          </cell>
          <cell r="H85" t="str">
            <v>S1-1</v>
          </cell>
        </row>
        <row r="86">
          <cell r="D86" t="str">
            <v>Management approach — Supplier social assessment</v>
          </cell>
          <cell r="E86" t="str">
            <v>Social impact of supply chain / Code of Business Principles / Supplier Code of Conduct / Modern slavery statement</v>
          </cell>
          <cell r="H86" t="str">
            <v>S2-1</v>
          </cell>
        </row>
        <row r="87">
          <cell r="D87" t="str">
            <v>Management approach — Supplier social assessment</v>
          </cell>
          <cell r="E87" t="str">
            <v>Social impact of supply chain / Code of Business Principles / Supplier Code of Conduct / Modern slavery statement</v>
          </cell>
          <cell r="H87" t="str">
            <v>S2-2</v>
          </cell>
        </row>
        <row r="88">
          <cell r="D88" t="str">
            <v>New suppliers screened using social criteria</v>
          </cell>
          <cell r="E88" t="str">
            <v>Data tables</v>
          </cell>
          <cell r="H88" t="str">
            <v>G1-2</v>
          </cell>
        </row>
        <row r="89">
          <cell r="D89" t="str">
            <v>Management approach — Customer health and safety</v>
          </cell>
          <cell r="E89" t="str">
            <v>Food safety and quality / Data tables</v>
          </cell>
          <cell r="H89" t="str">
            <v>S4-1</v>
          </cell>
        </row>
        <row r="90">
          <cell r="D90" t="str">
            <v>Management approach — Customer health and safety</v>
          </cell>
          <cell r="E90" t="str">
            <v>Food safety and quality / Data tables</v>
          </cell>
          <cell r="H90" t="str">
            <v>S4-2</v>
          </cell>
        </row>
        <row r="91">
          <cell r="D91" t="str">
            <v>Management approach — Customer health and safety</v>
          </cell>
          <cell r="E91" t="str">
            <v>Food safety and quality / Data tables</v>
          </cell>
          <cell r="H91" t="str">
            <v>S4-4</v>
          </cell>
        </row>
        <row r="92">
          <cell r="D92" t="str">
            <v>Management approach — Fish and seafood sourcing</v>
          </cell>
          <cell r="E92" t="str">
            <v>Fish and seafood / Data tables / Fish and Seafood Sourcing Policy</v>
          </cell>
          <cell r="H92" t="str">
            <v>E4-1</v>
          </cell>
        </row>
        <row r="93">
          <cell r="D93" t="str">
            <v>Management approach — Fish and seafood sourcing</v>
          </cell>
          <cell r="E93" t="str">
            <v>Fish and seafood / Data tables / Fish and Seafood Sourcing Policy</v>
          </cell>
          <cell r="H93" t="str">
            <v>E4-2</v>
          </cell>
        </row>
        <row r="94">
          <cell r="D94" t="str">
            <v>Management approach — Agriculture sourcing</v>
          </cell>
          <cell r="E94" t="str">
            <v>Agriculture / Data tables / Agriculture Policy / Soy Policy / Palm Oil Policy</v>
          </cell>
          <cell r="H94" t="str">
            <v>E4-1</v>
          </cell>
        </row>
        <row r="95">
          <cell r="D95" t="str">
            <v>Management approach — Agriculture sourcing</v>
          </cell>
          <cell r="E95" t="str">
            <v>Agriculture / Data tables / Agriculture Policy / Soy Policy / Palm Oil Policy</v>
          </cell>
          <cell r="H95" t="str">
            <v>E4-2</v>
          </cell>
        </row>
        <row r="96">
          <cell r="D96" t="str">
            <v>Management approach — Animal welfare</v>
          </cell>
          <cell r="E96" t="str">
            <v>Animal welfare / Data tables / Animal Welfare Policy / Animal Welfare Standard</v>
          </cell>
          <cell r="H96" t="str">
            <v>G1-1</v>
          </cell>
        </row>
        <row r="97">
          <cell r="D97" t="str">
            <v>Management approach — Health and nutrition</v>
          </cell>
          <cell r="E97" t="str">
            <v>Health and nutrition / Data tables / Nutrition Policy</v>
          </cell>
          <cell r="H97" t="str">
            <v>S4-1</v>
          </cell>
        </row>
        <row r="98">
          <cell r="D98" t="str">
            <v>Management approach — Ingredient selection</v>
          </cell>
          <cell r="E98" t="str">
            <v>Ingredient selection / Data tables</v>
          </cell>
          <cell r="H98" t="str">
            <v>S4-1</v>
          </cell>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filterColumn colId="2">
      <filters>
        <filter val="S3"/>
      </filters>
    </filterColumn>
  </autoFilter>
  <tableColumns count="20">
    <tableColumn id="1" xr3:uid="{00000000-0010-0000-0000-000001000000}" name="ESRS_ID"/>
    <tableColumn id="20" xr3:uid="{00000000-0010-0000-0000-000014000000}" name="ESRS_LAYER" dataDxfId="12" totalsRowDxfId="11">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10">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9">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8" headerRowBorderDxfId="7" tableBorderDxfId="6">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CE401B-AB4D-9341-B814-C10FC546FA1B}" name="Table4" displayName="Table4" ref="A1:F57" totalsRowShown="0" headerRowDxfId="5">
  <autoFilter ref="A1:F57" xr:uid="{DDCE401B-AB4D-9341-B814-C10FC546FA1B}"/>
  <tableColumns count="6">
    <tableColumn id="1" xr3:uid="{8889FE0D-B83C-F542-9588-4FAD9B037F95}" name="Company"/>
    <tableColumn id="2" xr3:uid="{119015C9-F7C6-1C43-80E3-08086623BE14}" name="Topic"/>
    <tableColumn id="3" xr3:uid="{05A18868-3F89-E142-8267-5C07476CA74F}" name="DR"/>
    <tableColumn id="4" xr3:uid="{DC16CEC6-7EB3-784A-B003-AE3D702F0B93}" name="Datapoint name" dataDxfId="4"/>
    <tableColumn id="5" xr3:uid="{2B5E02A4-BCE9-8245-A679-EB12603138A4}" name="Page reference"/>
    <tableColumn id="6" xr3:uid="{F32AB928-478E-A841-B485-EA624148CDB9}"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77" totalsRowShown="0" headerRowDxfId="3">
  <autoFilter ref="A1:F77"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97" totalsRowShown="0" headerRowDxfId="2">
  <autoFilter ref="A1:F97" xr:uid="{F5976B9B-CA31-AC4F-BB05-5642CE9B6E6A}"/>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4961</v>
      </c>
    </row>
    <row r="2" spans="1:2" ht="16" customHeight="1" x14ac:dyDescent="0.2">
      <c r="A2" s="1" t="s">
        <v>1661</v>
      </c>
      <c r="B2" s="2" t="s">
        <v>4962</v>
      </c>
    </row>
    <row r="3" spans="1:2" ht="16" customHeight="1" x14ac:dyDescent="0.2">
      <c r="A3" s="1" t="s">
        <v>1662</v>
      </c>
      <c r="B3" s="2" t="s">
        <v>4963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79998168889431442"/>
  </sheetPr>
  <dimension ref="A1:T998"/>
  <sheetViews>
    <sheetView showGridLines="0" zoomScale="86" workbookViewId="0">
      <pane ySplit="3" topLeftCell="A805" activePane="bottomLeft" state="frozen"/>
      <selection pane="bottomLeft" activeCell="H51" sqref="H51"/>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hidden="1"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hidden="1" x14ac:dyDescent="0.2">
      <c r="A5" s="4" t="s">
        <v>1691</v>
      </c>
      <c r="B5" s="4" t="str">
        <f t="shared" si="0"/>
        <v>Exclude</v>
      </c>
      <c r="C5" s="4" t="s">
        <v>15</v>
      </c>
      <c r="E5" t="s">
        <v>1686</v>
      </c>
      <c r="F5">
        <v>13</v>
      </c>
      <c r="H5" t="s">
        <v>1692</v>
      </c>
      <c r="I5" t="s">
        <v>1693</v>
      </c>
      <c r="O5" s="5" t="s">
        <v>1694</v>
      </c>
      <c r="P5" s="6"/>
      <c r="Q5" s="6" t="s">
        <v>1690</v>
      </c>
      <c r="R5" s="6"/>
      <c r="S5" s="6"/>
      <c r="T5" s="6"/>
    </row>
    <row r="6" spans="1:20" hidden="1" x14ac:dyDescent="0.2">
      <c r="A6" s="4" t="s">
        <v>1695</v>
      </c>
      <c r="B6" s="4" t="str">
        <f t="shared" si="0"/>
        <v>Exclude</v>
      </c>
      <c r="C6" s="4" t="s">
        <v>15</v>
      </c>
      <c r="E6" t="s">
        <v>1686</v>
      </c>
      <c r="F6">
        <v>13</v>
      </c>
      <c r="H6" t="s">
        <v>1696</v>
      </c>
      <c r="I6" t="s">
        <v>1688</v>
      </c>
      <c r="O6" s="5" t="s">
        <v>1689</v>
      </c>
      <c r="P6" s="6"/>
      <c r="Q6" s="6" t="s">
        <v>1690</v>
      </c>
      <c r="R6" s="6"/>
      <c r="S6" s="6"/>
      <c r="T6" s="6"/>
    </row>
    <row r="7" spans="1:20" hidden="1"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hidden="1" x14ac:dyDescent="0.2">
      <c r="A8" s="4" t="s">
        <v>22</v>
      </c>
      <c r="B8" s="4" t="str">
        <f t="shared" si="0"/>
        <v>Keep</v>
      </c>
      <c r="C8" s="4" t="s">
        <v>15</v>
      </c>
      <c r="E8" t="s">
        <v>16</v>
      </c>
      <c r="F8" t="s">
        <v>1699</v>
      </c>
      <c r="G8" t="s">
        <v>1700</v>
      </c>
      <c r="H8" t="s">
        <v>1701</v>
      </c>
      <c r="I8" t="s">
        <v>1688</v>
      </c>
      <c r="O8" s="5" t="s">
        <v>1689</v>
      </c>
      <c r="P8" s="6"/>
      <c r="Q8" s="6" t="s">
        <v>1690</v>
      </c>
      <c r="R8" s="6"/>
      <c r="S8" s="6"/>
      <c r="T8" s="6"/>
    </row>
    <row r="9" spans="1:20" hidden="1" x14ac:dyDescent="0.2">
      <c r="A9" s="4" t="s">
        <v>33</v>
      </c>
      <c r="B9" s="4" t="str">
        <f t="shared" si="0"/>
        <v>Keep</v>
      </c>
      <c r="C9" s="4" t="s">
        <v>15</v>
      </c>
      <c r="E9" t="s">
        <v>16</v>
      </c>
      <c r="F9" t="s">
        <v>1702</v>
      </c>
      <c r="H9" t="s">
        <v>1703</v>
      </c>
      <c r="I9" t="s">
        <v>1688</v>
      </c>
      <c r="O9" s="5" t="s">
        <v>1689</v>
      </c>
      <c r="P9" s="6"/>
      <c r="Q9" s="6" t="s">
        <v>1690</v>
      </c>
      <c r="R9" s="6"/>
      <c r="S9" s="6"/>
      <c r="T9" s="6"/>
    </row>
    <row r="10" spans="1:20" hidden="1" x14ac:dyDescent="0.2">
      <c r="A10" s="4" t="s">
        <v>1704</v>
      </c>
      <c r="B10" s="4" t="str">
        <f t="shared" si="0"/>
        <v>Keep</v>
      </c>
      <c r="C10" s="4" t="s">
        <v>15</v>
      </c>
      <c r="E10" t="s">
        <v>16</v>
      </c>
      <c r="F10" t="s">
        <v>1705</v>
      </c>
      <c r="H10" t="s">
        <v>1706</v>
      </c>
      <c r="I10" t="s">
        <v>1688</v>
      </c>
      <c r="O10" s="5" t="s">
        <v>1689</v>
      </c>
      <c r="P10" s="6"/>
      <c r="Q10" s="6" t="s">
        <v>1690</v>
      </c>
      <c r="R10" s="6"/>
      <c r="S10" s="6"/>
      <c r="T10" s="6"/>
    </row>
    <row r="11" spans="1:20" hidden="1" x14ac:dyDescent="0.2">
      <c r="A11" s="4" t="s">
        <v>1707</v>
      </c>
      <c r="B11" s="4" t="str">
        <f t="shared" si="0"/>
        <v>Keep</v>
      </c>
      <c r="C11" s="4" t="s">
        <v>15</v>
      </c>
      <c r="E11" t="s">
        <v>16</v>
      </c>
      <c r="F11" t="s">
        <v>1705</v>
      </c>
      <c r="H11" t="s">
        <v>1708</v>
      </c>
      <c r="I11" t="s">
        <v>1709</v>
      </c>
      <c r="O11" s="5" t="s">
        <v>1694</v>
      </c>
      <c r="P11" s="6"/>
      <c r="Q11" s="6" t="s">
        <v>1690</v>
      </c>
      <c r="R11" s="6"/>
      <c r="S11" s="6"/>
      <c r="T11" s="6"/>
    </row>
    <row r="12" spans="1:20" hidden="1" x14ac:dyDescent="0.2">
      <c r="A12" s="4" t="s">
        <v>1710</v>
      </c>
      <c r="B12" s="4" t="str">
        <f t="shared" si="0"/>
        <v>Keep</v>
      </c>
      <c r="C12" s="4" t="s">
        <v>15</v>
      </c>
      <c r="E12" t="s">
        <v>16</v>
      </c>
      <c r="F12" t="s">
        <v>1705</v>
      </c>
      <c r="H12" t="s">
        <v>1711</v>
      </c>
      <c r="I12" t="s">
        <v>1709</v>
      </c>
      <c r="O12" s="5" t="s">
        <v>1694</v>
      </c>
      <c r="P12" s="6"/>
      <c r="Q12" s="6" t="s">
        <v>1690</v>
      </c>
      <c r="R12" s="6"/>
      <c r="S12" s="6"/>
      <c r="T12" s="6"/>
    </row>
    <row r="13" spans="1:20" hidden="1"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hidden="1"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hidden="1"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hidden="1"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hidden="1"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hidden="1"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hidden="1" x14ac:dyDescent="0.2">
      <c r="A19" s="4" t="s">
        <v>28</v>
      </c>
      <c r="B19" s="4" t="str">
        <f t="shared" si="0"/>
        <v>Keep</v>
      </c>
      <c r="C19" s="4" t="s">
        <v>15</v>
      </c>
      <c r="E19" t="s">
        <v>16</v>
      </c>
      <c r="F19" t="s">
        <v>1731</v>
      </c>
      <c r="H19" t="s">
        <v>1732</v>
      </c>
      <c r="I19" t="s">
        <v>1688</v>
      </c>
      <c r="O19" s="5" t="s">
        <v>1689</v>
      </c>
      <c r="P19" s="6"/>
      <c r="Q19" s="6" t="s">
        <v>1690</v>
      </c>
      <c r="R19" s="6"/>
      <c r="S19" s="6"/>
      <c r="T19" s="6"/>
    </row>
    <row r="20" spans="1:20" hidden="1" x14ac:dyDescent="0.2">
      <c r="A20" s="4" t="s">
        <v>1733</v>
      </c>
      <c r="B20" s="4" t="str">
        <f t="shared" si="0"/>
        <v>Keep</v>
      </c>
      <c r="C20" s="4" t="s">
        <v>15</v>
      </c>
      <c r="E20" t="s">
        <v>16</v>
      </c>
      <c r="F20" t="s">
        <v>1734</v>
      </c>
      <c r="H20" t="s">
        <v>1735</v>
      </c>
      <c r="I20" t="s">
        <v>1729</v>
      </c>
      <c r="O20" s="5" t="s">
        <v>1689</v>
      </c>
      <c r="P20" s="6"/>
      <c r="Q20" s="6" t="s">
        <v>1690</v>
      </c>
      <c r="R20" s="6"/>
      <c r="S20" s="6"/>
      <c r="T20" s="6"/>
    </row>
    <row r="21" spans="1:20" hidden="1" x14ac:dyDescent="0.2">
      <c r="A21" s="4" t="s">
        <v>56</v>
      </c>
      <c r="B21" s="4" t="str">
        <f t="shared" si="0"/>
        <v>Keep</v>
      </c>
      <c r="C21" s="4" t="s">
        <v>15</v>
      </c>
      <c r="E21" t="s">
        <v>16</v>
      </c>
      <c r="F21" t="s">
        <v>1736</v>
      </c>
      <c r="H21" t="s">
        <v>1737</v>
      </c>
      <c r="I21" t="s">
        <v>1688</v>
      </c>
      <c r="O21" s="5" t="s">
        <v>1689</v>
      </c>
      <c r="P21" s="6"/>
      <c r="Q21" s="6" t="s">
        <v>1690</v>
      </c>
      <c r="R21" s="6"/>
      <c r="S21" s="6"/>
      <c r="T21" s="6"/>
    </row>
    <row r="22" spans="1:20" hidden="1"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hidden="1" x14ac:dyDescent="0.2">
      <c r="A23" s="4" t="s">
        <v>1741</v>
      </c>
      <c r="B23" s="4" t="str">
        <f t="shared" si="0"/>
        <v>Exclude</v>
      </c>
      <c r="C23" s="4" t="s">
        <v>15</v>
      </c>
      <c r="E23" t="s">
        <v>1742</v>
      </c>
      <c r="F23">
        <v>18</v>
      </c>
      <c r="H23" t="s">
        <v>1743</v>
      </c>
      <c r="I23" t="s">
        <v>1729</v>
      </c>
      <c r="O23" s="5" t="s">
        <v>1689</v>
      </c>
      <c r="P23" s="6"/>
      <c r="Q23" s="6" t="s">
        <v>1690</v>
      </c>
      <c r="R23" s="6"/>
      <c r="S23" s="6"/>
      <c r="T23" s="6"/>
    </row>
    <row r="24" spans="1:20" hidden="1"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hidden="1"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hidden="1"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hidden="1"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hidden="1"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hidden="1"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hidden="1"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hidden="1"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hidden="1"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hidden="1"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hidden="1"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hidden="1"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hidden="1"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hidden="1"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hidden="1"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hidden="1"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hidden="1"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hidden="1"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hidden="1"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hidden="1"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hidden="1"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hidden="1"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hidden="1" x14ac:dyDescent="0.2">
      <c r="A46" s="4" t="s">
        <v>71</v>
      </c>
      <c r="B46" s="4" t="str">
        <f t="shared" si="0"/>
        <v>Exclude</v>
      </c>
      <c r="C46" s="4" t="s">
        <v>15</v>
      </c>
      <c r="E46" t="s">
        <v>68</v>
      </c>
      <c r="F46">
        <v>24</v>
      </c>
      <c r="H46" t="s">
        <v>72</v>
      </c>
      <c r="I46" t="s">
        <v>1811</v>
      </c>
      <c r="O46" s="5" t="s">
        <v>1689</v>
      </c>
      <c r="P46" s="6"/>
      <c r="Q46" s="6" t="s">
        <v>1690</v>
      </c>
      <c r="R46" s="6"/>
      <c r="S46" s="6"/>
      <c r="T46" s="6"/>
    </row>
    <row r="47" spans="1:20" hidden="1"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hidden="1" x14ac:dyDescent="0.2">
      <c r="A48" s="4" t="s">
        <v>1813</v>
      </c>
      <c r="B48" s="4" t="str">
        <f t="shared" si="0"/>
        <v>Exclude</v>
      </c>
      <c r="C48" s="4" t="s">
        <v>1814</v>
      </c>
      <c r="F48">
        <v>62</v>
      </c>
      <c r="H48" t="s">
        <v>1815</v>
      </c>
      <c r="O48" s="5" t="s">
        <v>1689</v>
      </c>
      <c r="P48" s="6"/>
      <c r="Q48" s="6" t="s">
        <v>1690</v>
      </c>
      <c r="R48" s="6"/>
      <c r="S48" s="6"/>
      <c r="T48" s="6"/>
    </row>
    <row r="49" spans="1:20" hidden="1" x14ac:dyDescent="0.2">
      <c r="A49" s="4" t="s">
        <v>87</v>
      </c>
      <c r="B49" s="4" t="str">
        <f t="shared" si="0"/>
        <v>Exclude</v>
      </c>
      <c r="C49" s="4" t="s">
        <v>15</v>
      </c>
      <c r="E49" t="s">
        <v>84</v>
      </c>
      <c r="F49">
        <v>28</v>
      </c>
      <c r="H49" t="s">
        <v>88</v>
      </c>
      <c r="I49" t="s">
        <v>1816</v>
      </c>
      <c r="O49" s="5" t="s">
        <v>1689</v>
      </c>
      <c r="P49" s="6"/>
      <c r="Q49" s="6" t="s">
        <v>1690</v>
      </c>
      <c r="R49" s="6"/>
      <c r="S49" s="6"/>
      <c r="T49" s="6"/>
    </row>
    <row r="50" spans="1:20" hidden="1" x14ac:dyDescent="0.2">
      <c r="A50" s="4" t="s">
        <v>93</v>
      </c>
      <c r="B50" s="4" t="str">
        <f t="shared" si="0"/>
        <v>Keep</v>
      </c>
      <c r="C50" s="4" t="s">
        <v>15</v>
      </c>
      <c r="E50" t="s">
        <v>84</v>
      </c>
      <c r="F50" t="s">
        <v>1817</v>
      </c>
      <c r="H50" t="s">
        <v>94</v>
      </c>
      <c r="I50" t="s">
        <v>1729</v>
      </c>
      <c r="O50" s="5" t="s">
        <v>1689</v>
      </c>
      <c r="P50" s="6"/>
      <c r="Q50" s="6" t="s">
        <v>1690</v>
      </c>
      <c r="R50" s="6"/>
      <c r="S50" s="6"/>
      <c r="T50" s="6"/>
    </row>
    <row r="51" spans="1:20" hidden="1"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hidden="1" x14ac:dyDescent="0.2">
      <c r="A52" s="4" t="s">
        <v>153</v>
      </c>
      <c r="B52" s="4" t="str">
        <f t="shared" si="0"/>
        <v>Keep</v>
      </c>
      <c r="C52" s="4" t="s">
        <v>15</v>
      </c>
      <c r="E52" t="s">
        <v>84</v>
      </c>
      <c r="F52" t="s">
        <v>1820</v>
      </c>
      <c r="H52" t="s">
        <v>1821</v>
      </c>
      <c r="I52" t="s">
        <v>1822</v>
      </c>
      <c r="O52" s="5" t="s">
        <v>1689</v>
      </c>
      <c r="P52" s="6"/>
      <c r="Q52" s="6" t="s">
        <v>1690</v>
      </c>
      <c r="R52" s="6"/>
      <c r="S52" s="6"/>
      <c r="T52" s="6"/>
    </row>
    <row r="53" spans="1:20" hidden="1" x14ac:dyDescent="0.2">
      <c r="A53" s="4" t="s">
        <v>85</v>
      </c>
      <c r="B53" s="4" t="str">
        <f t="shared" si="0"/>
        <v>Keep</v>
      </c>
      <c r="C53" s="4" t="s">
        <v>15</v>
      </c>
      <c r="E53" t="s">
        <v>84</v>
      </c>
      <c r="F53" t="s">
        <v>1820</v>
      </c>
      <c r="H53" t="s">
        <v>155</v>
      </c>
      <c r="I53" t="s">
        <v>1822</v>
      </c>
      <c r="O53" s="5" t="s">
        <v>1689</v>
      </c>
      <c r="P53" s="6"/>
      <c r="Q53" s="6" t="s">
        <v>1690</v>
      </c>
      <c r="R53" s="6"/>
      <c r="S53" s="6"/>
      <c r="T53" s="6"/>
    </row>
    <row r="54" spans="1:20" hidden="1" x14ac:dyDescent="0.2">
      <c r="A54" s="4" t="s">
        <v>116</v>
      </c>
      <c r="B54" s="4" t="str">
        <f t="shared" si="0"/>
        <v>Keep</v>
      </c>
      <c r="C54" s="4" t="s">
        <v>15</v>
      </c>
      <c r="E54" t="s">
        <v>84</v>
      </c>
      <c r="F54" t="s">
        <v>1823</v>
      </c>
      <c r="H54" t="s">
        <v>1824</v>
      </c>
      <c r="I54" t="s">
        <v>1688</v>
      </c>
      <c r="O54" s="5" t="s">
        <v>1689</v>
      </c>
      <c r="P54" s="6"/>
      <c r="Q54" s="6" t="s">
        <v>1690</v>
      </c>
      <c r="R54" s="6"/>
      <c r="S54" s="6"/>
      <c r="T54" s="6"/>
    </row>
    <row r="55" spans="1:20" hidden="1"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hidden="1"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hidden="1"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hidden="1" x14ac:dyDescent="0.2">
      <c r="A58" s="4" t="s">
        <v>1834</v>
      </c>
      <c r="B58" s="4" t="str">
        <f t="shared" si="0"/>
        <v>Exclude</v>
      </c>
      <c r="C58" s="4" t="s">
        <v>1814</v>
      </c>
      <c r="F58">
        <v>62</v>
      </c>
      <c r="H58" t="s">
        <v>1835</v>
      </c>
      <c r="O58" s="5" t="s">
        <v>1689</v>
      </c>
      <c r="P58" s="6"/>
      <c r="Q58" s="6" t="s">
        <v>1690</v>
      </c>
      <c r="R58" s="6"/>
      <c r="S58" s="6"/>
      <c r="T58" s="6"/>
    </row>
    <row r="59" spans="1:20" hidden="1" x14ac:dyDescent="0.2">
      <c r="A59" s="4" t="s">
        <v>1836</v>
      </c>
      <c r="B59" s="4" t="str">
        <f t="shared" si="0"/>
        <v>Exclude</v>
      </c>
      <c r="C59" s="4" t="s">
        <v>15</v>
      </c>
      <c r="E59" t="s">
        <v>164</v>
      </c>
      <c r="F59">
        <v>32</v>
      </c>
      <c r="H59" t="s">
        <v>1837</v>
      </c>
      <c r="I59" t="s">
        <v>1838</v>
      </c>
      <c r="O59" s="5" t="s">
        <v>1689</v>
      </c>
      <c r="P59" s="6"/>
      <c r="Q59" s="6" t="s">
        <v>1690</v>
      </c>
      <c r="R59" s="6"/>
      <c r="S59" s="6"/>
      <c r="T59" s="6"/>
    </row>
    <row r="60" spans="1:20" hidden="1"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hidden="1"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hidden="1"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hidden="1"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hidden="1"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hidden="1"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hidden="1"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hidden="1"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hidden="1"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hidden="1"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hidden="1"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hidden="1"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hidden="1"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hidden="1"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hidden="1"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hidden="1"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hidden="1"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hidden="1" x14ac:dyDescent="0.2">
      <c r="A77" s="4" t="s">
        <v>183</v>
      </c>
      <c r="B77" s="4" t="str">
        <f t="shared" si="1"/>
        <v>Keep</v>
      </c>
      <c r="C77" s="4" t="s">
        <v>15</v>
      </c>
      <c r="E77" t="s">
        <v>164</v>
      </c>
      <c r="F77" t="s">
        <v>1862</v>
      </c>
      <c r="H77" t="s">
        <v>1863</v>
      </c>
      <c r="I77" t="s">
        <v>1688</v>
      </c>
      <c r="O77" s="5" t="s">
        <v>1689</v>
      </c>
      <c r="P77" s="6"/>
      <c r="Q77" s="6" t="s">
        <v>1690</v>
      </c>
      <c r="R77" s="6"/>
      <c r="S77" s="6"/>
      <c r="T77" s="6"/>
    </row>
    <row r="78" spans="1:20" hidden="1"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hidden="1" x14ac:dyDescent="0.2">
      <c r="A79" s="4" t="s">
        <v>1866</v>
      </c>
      <c r="B79" s="4" t="str">
        <f t="shared" si="1"/>
        <v>Keep</v>
      </c>
      <c r="C79" s="4" t="s">
        <v>15</v>
      </c>
      <c r="E79" t="s">
        <v>164</v>
      </c>
      <c r="F79" t="s">
        <v>1867</v>
      </c>
      <c r="H79" t="s">
        <v>1868</v>
      </c>
      <c r="I79" t="s">
        <v>1688</v>
      </c>
      <c r="O79" s="5" t="s">
        <v>1689</v>
      </c>
      <c r="P79" s="6"/>
      <c r="Q79" s="6" t="s">
        <v>1690</v>
      </c>
      <c r="R79" s="6"/>
      <c r="S79" s="6"/>
      <c r="T79" s="6"/>
    </row>
    <row r="80" spans="1:20" hidden="1" x14ac:dyDescent="0.2">
      <c r="A80" s="4" t="s">
        <v>179</v>
      </c>
      <c r="B80" s="4" t="str">
        <f t="shared" si="1"/>
        <v>Keep</v>
      </c>
      <c r="C80" s="4" t="s">
        <v>15</v>
      </c>
      <c r="E80" t="s">
        <v>164</v>
      </c>
      <c r="F80" t="s">
        <v>1869</v>
      </c>
      <c r="H80" t="s">
        <v>1870</v>
      </c>
      <c r="I80" t="s">
        <v>1688</v>
      </c>
      <c r="O80" s="5" t="s">
        <v>1689</v>
      </c>
      <c r="P80" s="6"/>
      <c r="Q80" s="6" t="s">
        <v>1690</v>
      </c>
      <c r="R80" s="6"/>
      <c r="S80" s="6"/>
      <c r="T80" s="6"/>
    </row>
    <row r="81" spans="1:20" hidden="1"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hidden="1"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hidden="1" x14ac:dyDescent="0.2">
      <c r="A83" s="4" t="s">
        <v>1878</v>
      </c>
      <c r="B83" s="4" t="str">
        <f t="shared" si="1"/>
        <v>Keep</v>
      </c>
      <c r="C83" s="4" t="s">
        <v>15</v>
      </c>
      <c r="E83" t="s">
        <v>164</v>
      </c>
      <c r="F83" t="s">
        <v>1879</v>
      </c>
      <c r="H83" t="s">
        <v>1880</v>
      </c>
      <c r="I83" t="s">
        <v>1688</v>
      </c>
      <c r="O83" s="5" t="s">
        <v>1689</v>
      </c>
      <c r="P83" s="6"/>
      <c r="Q83" s="6" t="s">
        <v>1690</v>
      </c>
      <c r="R83" s="6"/>
      <c r="S83" s="6"/>
      <c r="T83" s="6"/>
    </row>
    <row r="84" spans="1:20" hidden="1" x14ac:dyDescent="0.2">
      <c r="A84" s="4" t="s">
        <v>185</v>
      </c>
      <c r="B84" s="4" t="str">
        <f t="shared" si="1"/>
        <v>Exclude</v>
      </c>
      <c r="C84" s="4" t="s">
        <v>1814</v>
      </c>
      <c r="E84" t="s">
        <v>164</v>
      </c>
      <c r="F84">
        <v>81</v>
      </c>
      <c r="H84" t="s">
        <v>186</v>
      </c>
      <c r="O84" s="5" t="s">
        <v>1689</v>
      </c>
      <c r="P84" s="6"/>
      <c r="Q84" s="6" t="s">
        <v>1690</v>
      </c>
      <c r="R84" s="6"/>
      <c r="S84" s="6"/>
      <c r="T84" s="6"/>
    </row>
    <row r="85" spans="1:20" hidden="1"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hidden="1"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hidden="1"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hidden="1" x14ac:dyDescent="0.2">
      <c r="A88" s="4" t="s">
        <v>1887</v>
      </c>
      <c r="B88" s="4" t="str">
        <f t="shared" si="1"/>
        <v>Keep</v>
      </c>
      <c r="C88" s="4" t="s">
        <v>15</v>
      </c>
      <c r="E88" t="s">
        <v>241</v>
      </c>
      <c r="F88" t="s">
        <v>1888</v>
      </c>
      <c r="H88" t="s">
        <v>1889</v>
      </c>
      <c r="I88" t="s">
        <v>1693</v>
      </c>
      <c r="O88" s="5" t="s">
        <v>1694</v>
      </c>
      <c r="P88" s="6"/>
      <c r="Q88" s="6" t="s">
        <v>1690</v>
      </c>
      <c r="R88" s="6"/>
      <c r="S88" s="6"/>
      <c r="T88" s="6"/>
    </row>
    <row r="89" spans="1:20" hidden="1"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hidden="1"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hidden="1"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hidden="1"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hidden="1" x14ac:dyDescent="0.2">
      <c r="A93" s="4" t="s">
        <v>252</v>
      </c>
      <c r="B93" s="4" t="str">
        <f t="shared" si="1"/>
        <v>Keep</v>
      </c>
      <c r="C93" s="4" t="s">
        <v>15</v>
      </c>
      <c r="E93" t="s">
        <v>241</v>
      </c>
      <c r="F93" t="s">
        <v>1888</v>
      </c>
      <c r="H93" t="s">
        <v>253</v>
      </c>
      <c r="I93" t="s">
        <v>1693</v>
      </c>
      <c r="O93" s="5" t="s">
        <v>1694</v>
      </c>
      <c r="P93" s="6"/>
      <c r="Q93" s="6" t="s">
        <v>1690</v>
      </c>
      <c r="R93" s="6"/>
      <c r="S93" s="6"/>
      <c r="T93" s="6"/>
    </row>
    <row r="94" spans="1:20" hidden="1"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hidden="1"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hidden="1"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hidden="1"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hidden="1"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hidden="1"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hidden="1"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hidden="1"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hidden="1"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hidden="1"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hidden="1"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hidden="1"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hidden="1"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hidden="1"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hidden="1"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hidden="1"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hidden="1"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hidden="1"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hidden="1"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hidden="1"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hidden="1"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hidden="1"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hidden="1"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hidden="1"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hidden="1"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hidden="1"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hidden="1"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hidden="1"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hidden="1"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hidden="1"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hidden="1"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hidden="1"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hidden="1"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hidden="1"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hidden="1"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hidden="1"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hidden="1"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hidden="1"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hidden="1"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hidden="1"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hidden="1"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hidden="1"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hidden="1"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hidden="1"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hidden="1"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hidden="1"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hidden="1"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hidden="1"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hidden="1"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hidden="1"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hidden="1"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hidden="1"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hidden="1"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hidden="1"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hidden="1"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hidden="1"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hidden="1"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hidden="1"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hidden="1"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hidden="1"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hidden="1"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hidden="1"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hidden="1"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hidden="1"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hidden="1"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hidden="1"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hidden="1"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hidden="1"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hidden="1"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hidden="1"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hidden="1"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hidden="1"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hidden="1"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hidden="1"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hidden="1"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hidden="1"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hidden="1"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hidden="1"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hidden="1"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hidden="1"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hidden="1"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hidden="1"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hidden="1"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hidden="1"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hidden="1"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hidden="1"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hidden="1"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hidden="1"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hidden="1"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hidden="1"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hidden="1"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hidden="1"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hidden="1"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hidden="1"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hidden="1"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hidden="1"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hidden="1"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hidden="1"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hidden="1"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hidden="1"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hidden="1"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hidden="1"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hidden="1"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hidden="1"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hidden="1"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hidden="1"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hidden="1"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hidden="1"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hidden="1"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hidden="1"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hidden="1"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hidden="1"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hidden="1"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hidden="1"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hidden="1"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hidden="1"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hidden="1"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hidden="1"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hidden="1"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hidden="1"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hidden="1"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hidden="1"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hidden="1"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hidden="1"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hidden="1"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hidden="1"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hidden="1"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hidden="1"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hidden="1"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hidden="1"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hidden="1"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hidden="1"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hidden="1"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hidden="1"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hidden="1"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hidden="1" x14ac:dyDescent="0.2">
      <c r="A229" s="4" t="s">
        <v>2220</v>
      </c>
      <c r="B229" s="4" t="str">
        <f t="shared" si="3"/>
        <v>Exclude</v>
      </c>
      <c r="C229" s="4" t="s">
        <v>1814</v>
      </c>
      <c r="F229">
        <v>62</v>
      </c>
      <c r="H229" t="s">
        <v>1815</v>
      </c>
      <c r="O229" s="5" t="s">
        <v>1689</v>
      </c>
      <c r="P229" s="6"/>
      <c r="Q229" s="6" t="s">
        <v>1690</v>
      </c>
      <c r="R229" s="6"/>
      <c r="S229" s="6"/>
      <c r="T229" s="6"/>
    </row>
    <row r="230" spans="1:20" hidden="1"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hidden="1"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hidden="1"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hidden="1"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hidden="1"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hidden="1" x14ac:dyDescent="0.2">
      <c r="A235" s="4" t="s">
        <v>2234</v>
      </c>
      <c r="B235" s="4" t="str">
        <f t="shared" si="3"/>
        <v>Exclude</v>
      </c>
      <c r="C235" s="4" t="s">
        <v>1814</v>
      </c>
      <c r="F235">
        <v>62</v>
      </c>
      <c r="H235" t="s">
        <v>1204</v>
      </c>
      <c r="O235" s="5" t="s">
        <v>1689</v>
      </c>
      <c r="P235" s="6"/>
      <c r="Q235" s="6" t="s">
        <v>1690</v>
      </c>
      <c r="R235" s="6"/>
      <c r="S235" s="6"/>
      <c r="T235" s="6"/>
    </row>
    <row r="236" spans="1:20" hidden="1"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hidden="1"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hidden="1"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hidden="1"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hidden="1"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hidden="1"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hidden="1"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hidden="1"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hidden="1"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hidden="1"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hidden="1"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hidden="1"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hidden="1" x14ac:dyDescent="0.2">
      <c r="A248" s="4" t="s">
        <v>2270</v>
      </c>
      <c r="B248" s="4" t="str">
        <f t="shared" si="3"/>
        <v>Exclude</v>
      </c>
      <c r="C248" s="4" t="s">
        <v>1814</v>
      </c>
      <c r="F248">
        <v>81</v>
      </c>
      <c r="H248" t="s">
        <v>2271</v>
      </c>
      <c r="O248" s="5" t="s">
        <v>1689</v>
      </c>
      <c r="P248" s="6"/>
      <c r="Q248" s="6" t="s">
        <v>1690</v>
      </c>
      <c r="R248" s="6"/>
      <c r="S248" s="6"/>
      <c r="T248" s="6"/>
    </row>
    <row r="249" spans="1:20" hidden="1"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hidden="1"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hidden="1"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hidden="1"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hidden="1"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hidden="1"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hidden="1"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hidden="1"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hidden="1"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hidden="1"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hidden="1"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hidden="1"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hidden="1"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hidden="1"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hidden="1"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hidden="1"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hidden="1"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hidden="1"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hidden="1"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hidden="1"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hidden="1"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hidden="1"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hidden="1"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hidden="1"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hidden="1"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hidden="1"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hidden="1"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hidden="1"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hidden="1"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hidden="1"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hidden="1"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hidden="1"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hidden="1"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hidden="1"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hidden="1"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hidden="1"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hidden="1"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hidden="1"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hidden="1"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hidden="1"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hidden="1"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hidden="1"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hidden="1"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hidden="1"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hidden="1"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hidden="1"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hidden="1"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hidden="1"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hidden="1"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hidden="1"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hidden="1"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hidden="1"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hidden="1"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hidden="1"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hidden="1"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hidden="1"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hidden="1"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hidden="1"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hidden="1"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hidden="1" x14ac:dyDescent="0.2">
      <c r="A308" s="4" t="s">
        <v>2427</v>
      </c>
      <c r="B308" s="4" t="str">
        <f t="shared" si="4"/>
        <v>Exclude</v>
      </c>
      <c r="C308" s="4" t="s">
        <v>1814</v>
      </c>
      <c r="F308">
        <v>62</v>
      </c>
      <c r="H308" t="s">
        <v>1815</v>
      </c>
      <c r="O308" s="5" t="s">
        <v>1689</v>
      </c>
      <c r="P308" s="6"/>
      <c r="Q308" s="6" t="s">
        <v>1690</v>
      </c>
      <c r="R308" s="6"/>
      <c r="S308" s="6"/>
      <c r="T308" s="6"/>
    </row>
    <row r="309" spans="1:20" hidden="1"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hidden="1"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hidden="1"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hidden="1"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hidden="1" x14ac:dyDescent="0.2">
      <c r="A313" s="4" t="s">
        <v>2435</v>
      </c>
      <c r="B313" s="4" t="str">
        <f t="shared" si="4"/>
        <v>Exclude</v>
      </c>
      <c r="C313" s="4" t="s">
        <v>1814</v>
      </c>
      <c r="F313">
        <v>62</v>
      </c>
      <c r="H313" t="s">
        <v>1204</v>
      </c>
      <c r="O313" s="5" t="s">
        <v>1689</v>
      </c>
      <c r="P313" s="6"/>
      <c r="Q313" s="6" t="s">
        <v>1690</v>
      </c>
      <c r="R313" s="6"/>
      <c r="S313" s="6"/>
      <c r="T313" s="6"/>
    </row>
    <row r="314" spans="1:20" hidden="1"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hidden="1"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hidden="1"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hidden="1"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hidden="1"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hidden="1"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hidden="1"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hidden="1"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hidden="1"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hidden="1"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hidden="1"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hidden="1" x14ac:dyDescent="0.2">
      <c r="A325" s="4" t="s">
        <v>2456</v>
      </c>
      <c r="B325" s="4" t="str">
        <f t="shared" si="5"/>
        <v>Exclude</v>
      </c>
      <c r="C325" s="4" t="s">
        <v>1814</v>
      </c>
      <c r="F325">
        <v>81</v>
      </c>
      <c r="H325" t="s">
        <v>2271</v>
      </c>
      <c r="O325" s="5" t="s">
        <v>1689</v>
      </c>
      <c r="P325" s="6"/>
      <c r="Q325" s="6" t="s">
        <v>1690</v>
      </c>
      <c r="R325" s="6"/>
      <c r="S325" s="6"/>
      <c r="T325" s="6"/>
    </row>
    <row r="326" spans="1:20" hidden="1"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hidden="1"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hidden="1"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hidden="1"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hidden="1"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hidden="1"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hidden="1"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hidden="1"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hidden="1"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hidden="1"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hidden="1"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hidden="1"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hidden="1"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hidden="1"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hidden="1"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hidden="1"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hidden="1"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hidden="1"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hidden="1"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hidden="1"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hidden="1"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hidden="1"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hidden="1"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hidden="1"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hidden="1"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hidden="1"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hidden="1"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hidden="1"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hidden="1"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hidden="1"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hidden="1"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hidden="1"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hidden="1"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hidden="1"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hidden="1"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hidden="1"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hidden="1"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hidden="1"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hidden="1"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hidden="1"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hidden="1"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hidden="1"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hidden="1"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hidden="1"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hidden="1"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hidden="1"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hidden="1"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hidden="1"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hidden="1"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hidden="1"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hidden="1"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hidden="1"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hidden="1"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hidden="1"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hidden="1"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hidden="1"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hidden="1"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hidden="1"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hidden="1"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hidden="1"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hidden="1"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hidden="1"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hidden="1"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hidden="1"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hidden="1"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hidden="1"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hidden="1"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hidden="1"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hidden="1"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hidden="1"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hidden="1"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hidden="1"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hidden="1"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hidden="1"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hidden="1"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hidden="1"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hidden="1"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hidden="1"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hidden="1"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hidden="1" x14ac:dyDescent="0.2">
      <c r="A405" s="4" t="s">
        <v>2655</v>
      </c>
      <c r="B405" s="4" t="str">
        <f t="shared" si="6"/>
        <v>Exclude</v>
      </c>
      <c r="C405" s="4" t="s">
        <v>1814</v>
      </c>
      <c r="F405">
        <v>62</v>
      </c>
      <c r="H405" t="s">
        <v>1815</v>
      </c>
      <c r="M405" t="s">
        <v>2490</v>
      </c>
      <c r="O405" s="5" t="s">
        <v>1689</v>
      </c>
      <c r="P405" s="6"/>
      <c r="Q405" s="6" t="s">
        <v>1690</v>
      </c>
      <c r="R405" s="6"/>
      <c r="S405" s="6"/>
      <c r="T405" s="6"/>
    </row>
    <row r="406" spans="1:20" hidden="1"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hidden="1"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hidden="1"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hidden="1"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hidden="1"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hidden="1"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hidden="1"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hidden="1"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hidden="1"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hidden="1"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hidden="1"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hidden="1"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hidden="1"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hidden="1"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hidden="1"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hidden="1"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hidden="1"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hidden="1" x14ac:dyDescent="0.2">
      <c r="A423" s="4" t="s">
        <v>2698</v>
      </c>
      <c r="B423" s="4" t="str">
        <f t="shared" si="6"/>
        <v>Exclude</v>
      </c>
      <c r="C423" s="4" t="s">
        <v>1814</v>
      </c>
      <c r="F423">
        <v>62</v>
      </c>
      <c r="H423" t="s">
        <v>1204</v>
      </c>
      <c r="M423" t="s">
        <v>2490</v>
      </c>
      <c r="O423" s="5" t="s">
        <v>1689</v>
      </c>
      <c r="P423" s="6"/>
      <c r="Q423" s="6" t="s">
        <v>1690</v>
      </c>
      <c r="R423" s="6"/>
      <c r="S423" s="6"/>
      <c r="T423" s="6"/>
    </row>
    <row r="424" spans="1:20" hidden="1"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hidden="1"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hidden="1"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hidden="1"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hidden="1"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hidden="1"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hidden="1"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hidden="1"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hidden="1"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hidden="1"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hidden="1"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hidden="1"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hidden="1"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hidden="1"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hidden="1"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hidden="1"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hidden="1"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hidden="1"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hidden="1"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hidden="1"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hidden="1"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hidden="1"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hidden="1"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hidden="1"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hidden="1"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hidden="1"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hidden="1"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hidden="1"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hidden="1"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hidden="1"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hidden="1"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hidden="1"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hidden="1"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hidden="1"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hidden="1"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hidden="1"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hidden="1"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hidden="1"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hidden="1"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hidden="1"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hidden="1"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hidden="1"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hidden="1"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hidden="1"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hidden="1"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hidden="1"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hidden="1"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hidden="1"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hidden="1"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hidden="1"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hidden="1"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hidden="1"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hidden="1" x14ac:dyDescent="0.2">
      <c r="A476" s="4" t="s">
        <v>2805</v>
      </c>
      <c r="B476" s="4" t="str">
        <f t="shared" si="7"/>
        <v>Exclude</v>
      </c>
      <c r="C476" s="4" t="s">
        <v>1814</v>
      </c>
      <c r="F476">
        <v>62</v>
      </c>
      <c r="H476" t="s">
        <v>1815</v>
      </c>
      <c r="O476" s="5" t="s">
        <v>1689</v>
      </c>
      <c r="P476" s="6"/>
      <c r="Q476" s="6" t="s">
        <v>1690</v>
      </c>
      <c r="R476" s="6"/>
      <c r="S476" s="6"/>
      <c r="T476" s="6"/>
    </row>
    <row r="477" spans="1:20" hidden="1"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hidden="1"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hidden="1"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hidden="1"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hidden="1"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hidden="1"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hidden="1"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hidden="1"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hidden="1"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hidden="1"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hidden="1"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hidden="1" x14ac:dyDescent="0.2">
      <c r="A488" s="4" t="s">
        <v>2831</v>
      </c>
      <c r="B488" s="4" t="str">
        <f t="shared" si="7"/>
        <v>Exclude</v>
      </c>
      <c r="C488" s="4" t="s">
        <v>1814</v>
      </c>
      <c r="F488">
        <v>62</v>
      </c>
      <c r="H488" t="s">
        <v>1204</v>
      </c>
      <c r="O488" s="5" t="s">
        <v>1689</v>
      </c>
      <c r="P488" s="6"/>
      <c r="Q488" s="6" t="s">
        <v>1690</v>
      </c>
      <c r="R488" s="6"/>
      <c r="S488" s="6"/>
      <c r="T488" s="6"/>
    </row>
    <row r="489" spans="1:20" hidden="1"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hidden="1"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hidden="1"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hidden="1"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hidden="1"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hidden="1"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hidden="1"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hidden="1"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hidden="1"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hidden="1"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hidden="1"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hidden="1"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hidden="1"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hidden="1"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hidden="1" x14ac:dyDescent="0.2">
      <c r="A503" s="4" t="s">
        <v>2862</v>
      </c>
      <c r="B503" s="4" t="str">
        <f t="shared" si="7"/>
        <v>Exclude</v>
      </c>
      <c r="C503" s="4" t="s">
        <v>1814</v>
      </c>
      <c r="F503">
        <v>81</v>
      </c>
      <c r="H503" t="s">
        <v>2271</v>
      </c>
      <c r="O503" s="5" t="s">
        <v>1689</v>
      </c>
      <c r="P503" s="6"/>
      <c r="Q503" s="6" t="s">
        <v>1690</v>
      </c>
      <c r="R503" s="6"/>
      <c r="S503" s="6"/>
      <c r="T503" s="6"/>
    </row>
    <row r="504" spans="1:20" hidden="1"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hidden="1"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hidden="1"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hidden="1"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hidden="1"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hidden="1"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hidden="1"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hidden="1"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hidden="1"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hidden="1"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hidden="1"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hidden="1"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hidden="1"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hidden="1"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hidden="1"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hidden="1"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hidden="1"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hidden="1"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hidden="1"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hidden="1"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hidden="1"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hidden="1"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hidden="1"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hidden="1"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hidden="1"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hidden="1"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hidden="1"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hidden="1"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hidden="1"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hidden="1"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hidden="1"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hidden="1"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hidden="1"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hidden="1"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hidden="1"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hidden="1"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hidden="1"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hidden="1"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hidden="1"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hidden="1"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hidden="1"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hidden="1"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hidden="1"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hidden="1"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hidden="1"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hidden="1"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hidden="1"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hidden="1"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hidden="1"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hidden="1"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hidden="1"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hidden="1"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hidden="1"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hidden="1"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hidden="1"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hidden="1"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hidden="1"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hidden="1"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hidden="1"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hidden="1"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hidden="1"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hidden="1"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hidden="1"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hidden="1"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hidden="1"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hidden="1"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hidden="1"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hidden="1" x14ac:dyDescent="0.2">
      <c r="A571" s="4" t="s">
        <v>2999</v>
      </c>
      <c r="B571" s="4" t="str">
        <f t="shared" si="8"/>
        <v>Exclude</v>
      </c>
      <c r="C571" s="4" t="s">
        <v>1814</v>
      </c>
      <c r="F571">
        <v>62</v>
      </c>
      <c r="H571" t="s">
        <v>1815</v>
      </c>
      <c r="M571" t="s">
        <v>1924</v>
      </c>
      <c r="O571" s="5" t="s">
        <v>1689</v>
      </c>
      <c r="P571" s="6"/>
      <c r="Q571" s="6" t="s">
        <v>1690</v>
      </c>
      <c r="R571" s="6"/>
      <c r="S571" s="6"/>
      <c r="T571" s="6"/>
    </row>
    <row r="572" spans="1:20" hidden="1"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hidden="1"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hidden="1"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hidden="1"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hidden="1"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hidden="1"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hidden="1"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hidden="1"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hidden="1"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hidden="1"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hidden="1"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hidden="1"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hidden="1"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hidden="1"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hidden="1"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hidden="1"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hidden="1"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hidden="1"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hidden="1"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hidden="1"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hidden="1"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hidden="1"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hidden="1"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hidden="1"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hidden="1"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hidden="1"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hidden="1"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hidden="1"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hidden="1"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hidden="1"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hidden="1"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hidden="1"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hidden="1"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hidden="1"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hidden="1"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hidden="1"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hidden="1"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hidden="1"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hidden="1"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hidden="1"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hidden="1"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hidden="1"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hidden="1"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hidden="1"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hidden="1"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hidden="1"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hidden="1"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hidden="1" x14ac:dyDescent="0.2">
      <c r="A619" s="4" t="s">
        <v>3099</v>
      </c>
      <c r="B619" s="4" t="str">
        <f t="shared" si="9"/>
        <v>Exclude</v>
      </c>
      <c r="C619" s="4" t="s">
        <v>1814</v>
      </c>
      <c r="F619">
        <v>62</v>
      </c>
      <c r="H619" t="s">
        <v>1204</v>
      </c>
      <c r="M619" t="s">
        <v>1924</v>
      </c>
      <c r="O619" s="5" t="s">
        <v>1689</v>
      </c>
      <c r="P619" s="6"/>
      <c r="Q619" s="6" t="s">
        <v>1690</v>
      </c>
      <c r="R619" s="6"/>
      <c r="S619" s="6"/>
      <c r="T619" s="6"/>
    </row>
    <row r="620" spans="1:20" hidden="1"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hidden="1"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hidden="1"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hidden="1"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hidden="1"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hidden="1"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hidden="1"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hidden="1" x14ac:dyDescent="0.2">
      <c r="A627" s="4" t="s">
        <v>3117</v>
      </c>
      <c r="B627" s="4" t="str">
        <f t="shared" si="9"/>
        <v>Exclude</v>
      </c>
      <c r="C627" s="4" t="s">
        <v>1814</v>
      </c>
      <c r="F627">
        <v>81</v>
      </c>
      <c r="H627" t="s">
        <v>2271</v>
      </c>
      <c r="M627" t="s">
        <v>1924</v>
      </c>
      <c r="O627" s="5" t="s">
        <v>1689</v>
      </c>
      <c r="P627" s="6"/>
      <c r="Q627" s="6" t="s">
        <v>1690</v>
      </c>
      <c r="R627" s="6"/>
      <c r="S627" s="6"/>
      <c r="T627" s="6"/>
    </row>
    <row r="628" spans="1:20" hidden="1"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hidden="1"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hidden="1"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hidden="1"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hidden="1"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hidden="1"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hidden="1"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hidden="1"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hidden="1"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hidden="1"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hidden="1"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hidden="1"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hidden="1"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hidden="1"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hidden="1"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hidden="1"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hidden="1"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hidden="1"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hidden="1"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hidden="1"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hidden="1"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hidden="1"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hidden="1"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hidden="1"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hidden="1"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hidden="1"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hidden="1"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hidden="1"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hidden="1"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hidden="1"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hidden="1"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hidden="1"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hidden="1"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hidden="1"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hidden="1"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hidden="1"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hidden="1"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hidden="1"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hidden="1"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hidden="1"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hidden="1"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hidden="1"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hidden="1"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hidden="1"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hidden="1"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hidden="1"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hidden="1"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hidden="1"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hidden="1"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hidden="1"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hidden="1"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hidden="1"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hidden="1"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hidden="1"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hidden="1"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hidden="1"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hidden="1"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hidden="1"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hidden="1"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hidden="1"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hidden="1"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hidden="1"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hidden="1"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hidden="1"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hidden="1"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hidden="1"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hidden="1"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hidden="1"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hidden="1"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hidden="1"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hidden="1"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hidden="1"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hidden="1"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hidden="1"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hidden="1"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hidden="1"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hidden="1"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hidden="1"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hidden="1"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hidden="1"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hidden="1"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hidden="1"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hidden="1"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hidden="1"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hidden="1"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hidden="1"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hidden="1"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hidden="1"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hidden="1"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hidden="1"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hidden="1"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hidden="1"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hidden="1"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hidden="1"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hidden="1"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hidden="1"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hidden="1"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hidden="1"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hidden="1"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hidden="1"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hidden="1"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hidden="1"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hidden="1"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hidden="1"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hidden="1"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hidden="1"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hidden="1"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hidden="1"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hidden="1"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hidden="1"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hidden="1"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hidden="1"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hidden="1"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hidden="1"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hidden="1"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hidden="1"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hidden="1"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hidden="1"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hidden="1"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hidden="1"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hidden="1"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hidden="1"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hidden="1"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hidden="1"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hidden="1"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hidden="1"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hidden="1"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hidden="1" x14ac:dyDescent="0.2">
      <c r="A755" s="4" t="s">
        <v>3425</v>
      </c>
      <c r="B755" s="4" t="str">
        <f t="shared" si="11"/>
        <v>Exclude</v>
      </c>
      <c r="C755" s="4" t="s">
        <v>1814</v>
      </c>
      <c r="F755">
        <v>62</v>
      </c>
      <c r="H755" t="s">
        <v>1815</v>
      </c>
      <c r="M755" t="s">
        <v>2490</v>
      </c>
      <c r="O755" s="5" t="s">
        <v>1689</v>
      </c>
      <c r="P755" s="6"/>
      <c r="Q755" s="6" t="s">
        <v>1690</v>
      </c>
      <c r="R755" s="6"/>
      <c r="S755" s="6"/>
      <c r="T755" s="6"/>
    </row>
    <row r="756" spans="1:20" hidden="1"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hidden="1"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hidden="1"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hidden="1"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hidden="1"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hidden="1"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hidden="1"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hidden="1"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hidden="1"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hidden="1"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hidden="1"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hidden="1"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hidden="1"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hidden="1"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hidden="1"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hidden="1"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hidden="1"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hidden="1"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hidden="1"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hidden="1"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hidden="1"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hidden="1"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hidden="1"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hidden="1"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hidden="1"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hidden="1"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hidden="1"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hidden="1"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hidden="1"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hidden="1"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hidden="1"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hidden="1"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hidden="1"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hidden="1"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hidden="1"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hidden="1"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hidden="1"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hidden="1"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hidden="1"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hidden="1"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hidden="1" x14ac:dyDescent="0.2">
      <c r="A796" s="4" t="s">
        <v>3506</v>
      </c>
      <c r="B796" s="4" t="str">
        <f t="shared" si="12"/>
        <v>Exclude</v>
      </c>
      <c r="C796" s="4" t="s">
        <v>1814</v>
      </c>
      <c r="F796">
        <v>62</v>
      </c>
      <c r="H796" t="s">
        <v>1204</v>
      </c>
      <c r="M796" t="s">
        <v>2490</v>
      </c>
      <c r="O796" s="5" t="s">
        <v>1689</v>
      </c>
      <c r="P796" s="6"/>
      <c r="Q796" s="6" t="s">
        <v>1690</v>
      </c>
      <c r="R796" s="6"/>
      <c r="S796" s="6"/>
      <c r="T796" s="6"/>
    </row>
    <row r="797" spans="1:20" hidden="1"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hidden="1"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hidden="1"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hidden="1"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hidden="1"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hidden="1"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hidden="1"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hidden="1" x14ac:dyDescent="0.2">
      <c r="A804" s="4" t="s">
        <v>3522</v>
      </c>
      <c r="B804" s="4" t="str">
        <f t="shared" si="12"/>
        <v>Exclude</v>
      </c>
      <c r="C804" s="4" t="s">
        <v>1814</v>
      </c>
      <c r="F804">
        <v>81</v>
      </c>
      <c r="H804" t="s">
        <v>2271</v>
      </c>
      <c r="M804" t="s">
        <v>2490</v>
      </c>
      <c r="O804" s="5" t="s">
        <v>1689</v>
      </c>
      <c r="P804" s="6"/>
      <c r="Q804" s="6" t="s">
        <v>1690</v>
      </c>
      <c r="R804" s="6"/>
      <c r="S804" s="6"/>
      <c r="T804" s="6"/>
    </row>
    <row r="805" spans="1:20"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hidden="1" x14ac:dyDescent="0.2">
      <c r="A823" s="4" t="s">
        <v>3565</v>
      </c>
      <c r="B823" s="4" t="str">
        <f t="shared" si="12"/>
        <v>Exclude</v>
      </c>
      <c r="C823" s="4" t="s">
        <v>1814</v>
      </c>
      <c r="F823">
        <v>62</v>
      </c>
      <c r="H823" t="s">
        <v>1815</v>
      </c>
      <c r="M823" t="s">
        <v>2490</v>
      </c>
      <c r="O823" s="5" t="s">
        <v>1689</v>
      </c>
      <c r="P823" s="6"/>
      <c r="Q823" s="6" t="s">
        <v>1690</v>
      </c>
      <c r="R823" s="6"/>
      <c r="S823" s="6"/>
      <c r="T823" s="6"/>
    </row>
    <row r="824" spans="1:20"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hidden="1" x14ac:dyDescent="0.2">
      <c r="A865" s="4" t="s">
        <v>3649</v>
      </c>
      <c r="B865" s="4" t="str">
        <f t="shared" si="13"/>
        <v>Exclude</v>
      </c>
      <c r="C865" s="4" t="s">
        <v>1814</v>
      </c>
      <c r="F865">
        <v>62</v>
      </c>
      <c r="H865" t="s">
        <v>1204</v>
      </c>
      <c r="M865" t="s">
        <v>2490</v>
      </c>
      <c r="O865" s="5" t="s">
        <v>1689</v>
      </c>
      <c r="P865" s="6"/>
      <c r="Q865" s="6" t="s">
        <v>1690</v>
      </c>
      <c r="R865" s="6"/>
      <c r="S865" s="6"/>
      <c r="T865" s="6"/>
    </row>
    <row r="866" spans="1:20"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hidden="1" x14ac:dyDescent="0.2">
      <c r="A873" s="4" t="s">
        <v>3667</v>
      </c>
      <c r="B873" s="4" t="str">
        <f t="shared" si="13"/>
        <v>Exclude</v>
      </c>
      <c r="C873" s="4" t="s">
        <v>1814</v>
      </c>
      <c r="F873">
        <v>81</v>
      </c>
      <c r="H873" t="s">
        <v>2271</v>
      </c>
      <c r="M873" t="s">
        <v>2490</v>
      </c>
      <c r="O873" s="5" t="s">
        <v>1689</v>
      </c>
      <c r="P873" s="6"/>
      <c r="Q873" s="6" t="s">
        <v>1690</v>
      </c>
      <c r="R873" s="6"/>
      <c r="S873" s="6"/>
      <c r="T873" s="6"/>
    </row>
    <row r="874" spans="1:20" hidden="1"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hidden="1"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hidden="1"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hidden="1"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hidden="1"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hidden="1"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hidden="1"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hidden="1"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hidden="1"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hidden="1"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hidden="1"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hidden="1"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hidden="1"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hidden="1"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hidden="1"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hidden="1"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hidden="1"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hidden="1"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hidden="1" x14ac:dyDescent="0.2">
      <c r="A892" s="4" t="s">
        <v>3698</v>
      </c>
      <c r="B892" s="4" t="str">
        <f t="shared" si="13"/>
        <v>Exclude</v>
      </c>
      <c r="C892" s="4" t="s">
        <v>1814</v>
      </c>
      <c r="F892">
        <v>62</v>
      </c>
      <c r="H892" t="s">
        <v>1815</v>
      </c>
      <c r="M892" t="s">
        <v>2490</v>
      </c>
      <c r="O892" s="5" t="s">
        <v>1689</v>
      </c>
      <c r="P892" s="6"/>
      <c r="Q892" s="6" t="s">
        <v>1690</v>
      </c>
      <c r="R892" s="6"/>
      <c r="S892" s="6"/>
      <c r="T892" s="6"/>
    </row>
    <row r="893" spans="1:20" hidden="1"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hidden="1"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hidden="1"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hidden="1"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hidden="1"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hidden="1"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hidden="1"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hidden="1"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hidden="1"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hidden="1"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hidden="1"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hidden="1"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hidden="1"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hidden="1"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hidden="1"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hidden="1"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hidden="1"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hidden="1"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hidden="1"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hidden="1"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hidden="1"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hidden="1"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hidden="1"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hidden="1"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hidden="1"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hidden="1"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hidden="1"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hidden="1"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hidden="1"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hidden="1"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hidden="1"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hidden="1"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hidden="1"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hidden="1"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hidden="1"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hidden="1"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hidden="1"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hidden="1"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hidden="1"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hidden="1"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hidden="1"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hidden="1" x14ac:dyDescent="0.2">
      <c r="A934" s="4" t="s">
        <v>3767</v>
      </c>
      <c r="B934" s="4" t="str">
        <f t="shared" si="14"/>
        <v>Exclude</v>
      </c>
      <c r="C934" s="4" t="s">
        <v>1814</v>
      </c>
      <c r="F934">
        <v>62</v>
      </c>
      <c r="H934" t="s">
        <v>1204</v>
      </c>
      <c r="M934" t="s">
        <v>2490</v>
      </c>
      <c r="O934" s="5" t="s">
        <v>1689</v>
      </c>
      <c r="P934" s="6"/>
      <c r="Q934" s="6" t="s">
        <v>1690</v>
      </c>
      <c r="R934" s="6"/>
      <c r="S934" s="6"/>
      <c r="T934" s="6"/>
    </row>
    <row r="935" spans="1:20" hidden="1"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hidden="1"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hidden="1"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hidden="1"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hidden="1"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hidden="1"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hidden="1"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hidden="1" x14ac:dyDescent="0.2">
      <c r="A942" s="4" t="s">
        <v>3780</v>
      </c>
      <c r="B942" s="4" t="str">
        <f t="shared" si="14"/>
        <v>Exclude</v>
      </c>
      <c r="C942" s="4" t="s">
        <v>1814</v>
      </c>
      <c r="F942">
        <v>81</v>
      </c>
      <c r="H942" t="s">
        <v>2271</v>
      </c>
      <c r="M942" t="s">
        <v>2490</v>
      </c>
      <c r="O942" s="5" t="s">
        <v>1689</v>
      </c>
      <c r="P942" s="6"/>
      <c r="Q942" s="6" t="s">
        <v>1690</v>
      </c>
      <c r="R942" s="6"/>
      <c r="S942" s="6"/>
      <c r="T942" s="6"/>
    </row>
    <row r="943" spans="1:20" hidden="1"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hidden="1"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hidden="1"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hidden="1"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hidden="1"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hidden="1"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hidden="1"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hidden="1"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hidden="1"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hidden="1"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hidden="1"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hidden="1"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hidden="1"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hidden="1"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hidden="1"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hidden="1"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hidden="1"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hidden="1"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hidden="1" x14ac:dyDescent="0.2">
      <c r="A961" s="4" t="s">
        <v>3811</v>
      </c>
      <c r="B961" s="4" t="str">
        <f t="shared" si="14"/>
        <v>Exclude</v>
      </c>
      <c r="C961" s="4" t="s">
        <v>1814</v>
      </c>
      <c r="F961">
        <v>62</v>
      </c>
      <c r="H961" t="s">
        <v>1815</v>
      </c>
      <c r="O961" s="5" t="s">
        <v>1689</v>
      </c>
      <c r="P961" s="6"/>
      <c r="Q961" s="6" t="s">
        <v>1690</v>
      </c>
      <c r="R961" s="6"/>
      <c r="S961" s="6"/>
      <c r="T961" s="6"/>
    </row>
    <row r="962" spans="1:20" hidden="1"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hidden="1"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hidden="1"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hidden="1"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hidden="1"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hidden="1"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hidden="1"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hidden="1"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hidden="1"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hidden="1" x14ac:dyDescent="0.2">
      <c r="A971" s="4" t="s">
        <v>3826</v>
      </c>
      <c r="B971" s="4" t="str">
        <f t="shared" si="15"/>
        <v>Exclude</v>
      </c>
      <c r="C971" s="4" t="s">
        <v>1073</v>
      </c>
      <c r="E971" t="s">
        <v>1159</v>
      </c>
      <c r="H971" t="s">
        <v>3827</v>
      </c>
      <c r="I971" t="s">
        <v>1816</v>
      </c>
      <c r="O971" s="5" t="s">
        <v>1689</v>
      </c>
      <c r="P971" s="6"/>
      <c r="Q971" s="6" t="s">
        <v>1690</v>
      </c>
      <c r="R971" s="6"/>
      <c r="S971" s="6"/>
      <c r="T971" s="6"/>
    </row>
    <row r="972" spans="1:20" hidden="1"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hidden="1"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hidden="1"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hidden="1"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hidden="1"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hidden="1"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hidden="1"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hidden="1"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hidden="1"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hidden="1"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hidden="1"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hidden="1"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hidden="1"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hidden="1"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hidden="1"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hidden="1"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hidden="1"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hidden="1"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hidden="1"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hidden="1"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hidden="1" x14ac:dyDescent="0.2">
      <c r="A992" s="4" t="s">
        <v>1203</v>
      </c>
      <c r="B992" s="4" t="str">
        <f t="shared" si="15"/>
        <v>Exclude</v>
      </c>
      <c r="C992" s="4" t="s">
        <v>1814</v>
      </c>
      <c r="F992">
        <v>62</v>
      </c>
      <c r="H992" t="s">
        <v>1204</v>
      </c>
      <c r="O992" s="5" t="s">
        <v>1689</v>
      </c>
      <c r="P992" s="6"/>
      <c r="Q992" s="6" t="s">
        <v>1690</v>
      </c>
      <c r="R992" s="6"/>
      <c r="S992" s="6"/>
      <c r="T992" s="6"/>
    </row>
    <row r="993" spans="1:20" hidden="1"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hidden="1"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hidden="1"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hidden="1"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hidden="1"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4"/>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S486"/>
  <sheetViews>
    <sheetView zoomScale="125" zoomScaleNormal="75" workbookViewId="0">
      <selection activeCell="A2" sqref="A2"/>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spans="1:19" s="7" customFormat="1" x14ac:dyDescent="0.2">
      <c r="A1" s="12" t="s">
        <v>3873</v>
      </c>
      <c r="B1" s="12" t="s">
        <v>1667</v>
      </c>
      <c r="C1" s="12" t="s">
        <v>1669</v>
      </c>
      <c r="D1" s="12" t="s">
        <v>4705</v>
      </c>
      <c r="L1" s="23"/>
      <c r="P1" s="20"/>
      <c r="Q1" s="20"/>
      <c r="R1" s="20"/>
      <c r="S1" s="20"/>
    </row>
    <row r="2" spans="1:19" ht="16" customHeight="1" x14ac:dyDescent="0.2">
      <c r="A2" t="str" cm="1">
        <f t="array" ref="A2:D324">_xlfn.VSTACK(Bolton_Mapping!A2:D47, Espersen_Mapping!A2:D57, Mowi_Mapping!A2:D50, Nomad_Mapping!A2:D97, Profand_Mapping!A2:D77)</f>
        <v>Bolton</v>
      </c>
      <c r="B2" t="str">
        <v xml:space="preserve">  E1</v>
      </c>
      <c r="C2" t="str">
        <v>E1-1</v>
      </c>
      <c r="D2" t="str">
        <v>Transition plan for climate change mitigation</v>
      </c>
      <c r="F2" s="21"/>
      <c r="G2" s="21"/>
      <c r="H2" s="21"/>
      <c r="I2" s="21"/>
      <c r="J2" s="21"/>
      <c r="K2" s="21"/>
      <c r="L2" s="22"/>
      <c r="M2" s="21"/>
      <c r="N2" s="21"/>
      <c r="O2" s="21"/>
      <c r="P2"/>
      <c r="Q2"/>
      <c r="R2"/>
      <c r="S2"/>
    </row>
    <row r="3" spans="1:19" ht="16" customHeight="1" x14ac:dyDescent="0.2">
      <c r="A3" t="str">
        <v>Bolton</v>
      </c>
      <c r="B3" t="str">
        <v xml:space="preserve">  E1</v>
      </c>
      <c r="C3" t="str">
        <v>E1-2</v>
      </c>
      <c r="D3" t="str">
        <v>Policies related to climate change mitigation and adaptation</v>
      </c>
    </row>
    <row r="4" spans="1:19" ht="16" customHeight="1" x14ac:dyDescent="0.2">
      <c r="A4" t="str">
        <v>Bolton</v>
      </c>
      <c r="B4" t="str">
        <v xml:space="preserve">  E1</v>
      </c>
      <c r="C4" t="str">
        <v>E1-3</v>
      </c>
      <c r="D4" t="str">
        <v>Actions and resources in relation to climate change policies</v>
      </c>
    </row>
    <row r="5" spans="1:19" ht="16" customHeight="1" x14ac:dyDescent="0.2">
      <c r="A5" t="str">
        <v>Bolton</v>
      </c>
      <c r="B5" t="str">
        <v xml:space="preserve">  E1</v>
      </c>
      <c r="C5" t="str">
        <v>E1-4</v>
      </c>
      <c r="D5" t="str">
        <v>Targets related to climate change mitigation and adaptation</v>
      </c>
    </row>
    <row r="6" spans="1:19" ht="16" customHeight="1" x14ac:dyDescent="0.2">
      <c r="A6" t="str">
        <v>Bolton</v>
      </c>
      <c r="B6" t="str">
        <v xml:space="preserve">  E1</v>
      </c>
      <c r="C6" t="str">
        <v>E1-5</v>
      </c>
      <c r="D6" t="str">
        <v>Energy consumption and mix</v>
      </c>
    </row>
    <row r="7" spans="1:19" ht="16" customHeight="1" x14ac:dyDescent="0.2">
      <c r="A7" t="str">
        <v>Bolton</v>
      </c>
      <c r="B7" t="str">
        <v xml:space="preserve">  E1</v>
      </c>
      <c r="C7" t="str">
        <v>E1-6</v>
      </c>
      <c r="D7" t="str">
        <v>Gross Scopes 1,2,  3 and Total GHG emissions</v>
      </c>
    </row>
    <row r="8" spans="1:19" ht="16" customHeight="1" x14ac:dyDescent="0.2">
      <c r="A8" t="str">
        <v>Bolton</v>
      </c>
      <c r="B8" t="str">
        <v xml:space="preserve">  E3</v>
      </c>
      <c r="C8" t="str">
        <v>E3-1</v>
      </c>
      <c r="D8" t="str">
        <v>Policies related to water and marine resources</v>
      </c>
    </row>
    <row r="9" spans="1:19" ht="16" customHeight="1" x14ac:dyDescent="0.2">
      <c r="A9" t="str">
        <v>Bolton</v>
      </c>
      <c r="B9" t="str">
        <v xml:space="preserve">  E3</v>
      </c>
      <c r="C9" t="str">
        <v>E3-2</v>
      </c>
      <c r="D9" t="str">
        <v>Actions and resources related to water and marine resources</v>
      </c>
    </row>
    <row r="10" spans="1:19" ht="16" customHeight="1" x14ac:dyDescent="0.2">
      <c r="A10" t="str">
        <v>Bolton</v>
      </c>
      <c r="B10" t="str">
        <v xml:space="preserve">  E3</v>
      </c>
      <c r="C10" t="str">
        <v>E3-3</v>
      </c>
      <c r="D10" t="str">
        <v>Targets related to water and marine resources</v>
      </c>
    </row>
    <row r="11" spans="1:19" ht="16" customHeight="1" x14ac:dyDescent="0.2">
      <c r="A11" t="str">
        <v>Bolton</v>
      </c>
      <c r="B11" t="str">
        <v xml:space="preserve">  E3</v>
      </c>
      <c r="C11" t="str">
        <v>E3-4</v>
      </c>
      <c r="D11" t="str">
        <v>Water consumption</v>
      </c>
    </row>
    <row r="12" spans="1:19" ht="16" customHeight="1" x14ac:dyDescent="0.2">
      <c r="A12" t="str">
        <v>Bolton</v>
      </c>
      <c r="B12" t="str">
        <v xml:space="preserve">  E5</v>
      </c>
      <c r="C12" t="str">
        <v>E5-1</v>
      </c>
      <c r="D12" t="str">
        <v>Policies related to resource use and circular economy</v>
      </c>
    </row>
    <row r="13" spans="1:19" ht="16" customHeight="1" x14ac:dyDescent="0.2">
      <c r="A13" t="str">
        <v>Bolton</v>
      </c>
      <c r="B13" t="str">
        <v xml:space="preserve">  E5</v>
      </c>
      <c r="C13" t="str">
        <v>E5-2</v>
      </c>
      <c r="D13" t="str">
        <v>Actions and resources related to resource use and circular economy</v>
      </c>
    </row>
    <row r="14" spans="1:19" ht="16" customHeight="1" x14ac:dyDescent="0.2">
      <c r="A14" t="str">
        <v>Bolton</v>
      </c>
      <c r="B14" t="str">
        <v xml:space="preserve">  E5</v>
      </c>
      <c r="C14" t="str">
        <v>E5-3</v>
      </c>
      <c r="D14" t="str">
        <v>Targets related to resource use and circular economy</v>
      </c>
    </row>
    <row r="15" spans="1:19" ht="16" customHeight="1" x14ac:dyDescent="0.2">
      <c r="A15" t="str">
        <v>Bolton</v>
      </c>
      <c r="B15" t="str">
        <v xml:space="preserve">  E5</v>
      </c>
      <c r="C15" t="str">
        <v>E5-4</v>
      </c>
      <c r="D15" t="str">
        <v>Resource inflows</v>
      </c>
    </row>
    <row r="16" spans="1:19" ht="16" customHeight="1" x14ac:dyDescent="0.2">
      <c r="A16" t="str">
        <v>Bolton</v>
      </c>
      <c r="B16" t="str">
        <v xml:space="preserve">  E5</v>
      </c>
      <c r="C16" t="str">
        <v>E5-5</v>
      </c>
      <c r="D16" t="str">
        <v>Resource outflows</v>
      </c>
    </row>
    <row r="17" spans="1:4" ht="16" customHeight="1" x14ac:dyDescent="0.2">
      <c r="A17" t="str">
        <v>Bolton</v>
      </c>
      <c r="B17" t="str">
        <v xml:space="preserve">  S1</v>
      </c>
      <c r="C17" t="str">
        <v>S1-1</v>
      </c>
      <c r="D17" t="str">
        <v>Policies related to own workforce</v>
      </c>
    </row>
    <row r="18" spans="1:4" ht="16" customHeight="1" x14ac:dyDescent="0.2">
      <c r="A18" t="str">
        <v>Bolton</v>
      </c>
      <c r="B18" t="str">
        <v xml:space="preserve">  S1</v>
      </c>
      <c r="C18" t="str">
        <v>S1-2</v>
      </c>
      <c r="D18" t="str">
        <v>Processes for engaging with own workers and workers’ representatives about impacts</v>
      </c>
    </row>
    <row r="19" spans="1:4" ht="16" customHeight="1" x14ac:dyDescent="0.2">
      <c r="A19" t="str">
        <v>Bolton</v>
      </c>
      <c r="B19" t="str">
        <v xml:space="preserve">  S1</v>
      </c>
      <c r="C19" t="str">
        <v>S1-3</v>
      </c>
      <c r="D19" t="str">
        <v>Processes to remediate negative impacts and channels for own workers to raise concerns</v>
      </c>
    </row>
    <row r="20" spans="1:4" ht="16" customHeight="1"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ht="16" customHeight="1" x14ac:dyDescent="0.2">
      <c r="A21" t="str">
        <v>Bolton</v>
      </c>
      <c r="B21" t="str">
        <v xml:space="preserve">  S1</v>
      </c>
      <c r="C21" t="str">
        <v>S1-5</v>
      </c>
      <c r="D21" t="str">
        <v>Targets related to managing material negative impacts, advancing positive impacts, and managing material risks and opportunities</v>
      </c>
    </row>
    <row r="22" spans="1:4" ht="16" customHeight="1" x14ac:dyDescent="0.2">
      <c r="A22" t="str">
        <v>Bolton</v>
      </c>
      <c r="B22" t="str">
        <v xml:space="preserve">  S1</v>
      </c>
      <c r="C22" t="str">
        <v>S1-6</v>
      </c>
      <c r="D22" t="str">
        <v>Characteristics of the undertaking’s employees</v>
      </c>
    </row>
    <row r="23" spans="1:4" ht="16" customHeight="1" x14ac:dyDescent="0.2">
      <c r="A23" t="str">
        <v>Bolton</v>
      </c>
      <c r="B23" t="str">
        <v xml:space="preserve">  S1</v>
      </c>
      <c r="C23" t="str">
        <v>S1-7</v>
      </c>
      <c r="D23" t="str">
        <v>Characteristics of non-employee workers in the undertaking’s own workforce</v>
      </c>
    </row>
    <row r="24" spans="1:4" ht="16" customHeight="1" x14ac:dyDescent="0.2">
      <c r="A24" t="str">
        <v>Bolton</v>
      </c>
      <c r="B24" t="str">
        <v xml:space="preserve">  S1</v>
      </c>
      <c r="C24" t="str">
        <v>S1-8</v>
      </c>
      <c r="D24" t="str">
        <v>Collective bargaining coverage and social dialogue</v>
      </c>
    </row>
    <row r="25" spans="1:4" ht="16" customHeight="1" x14ac:dyDescent="0.2">
      <c r="A25" t="str">
        <v>Bolton</v>
      </c>
      <c r="B25" t="str">
        <v xml:space="preserve">  S1</v>
      </c>
      <c r="C25" t="str">
        <v>S1-9</v>
      </c>
      <c r="D25" t="str">
        <v>Diversity metrics</v>
      </c>
    </row>
    <row r="26" spans="1:4" ht="16" customHeight="1" x14ac:dyDescent="0.2">
      <c r="A26" t="str">
        <v>Bolton</v>
      </c>
      <c r="B26" t="str">
        <v xml:space="preserve">  S1</v>
      </c>
      <c r="C26" t="str">
        <v>S1-10</v>
      </c>
      <c r="D26" t="str">
        <v>Adequate wages</v>
      </c>
    </row>
    <row r="27" spans="1:4" ht="16" customHeight="1" x14ac:dyDescent="0.2">
      <c r="A27" t="str">
        <v>Bolton</v>
      </c>
      <c r="B27" t="str">
        <v xml:space="preserve">  S1</v>
      </c>
      <c r="C27" t="str">
        <v>S1-11</v>
      </c>
      <c r="D27" t="str">
        <v>Social protection</v>
      </c>
    </row>
    <row r="28" spans="1:4" ht="16" customHeight="1" x14ac:dyDescent="0.2">
      <c r="A28" t="str">
        <v>Bolton</v>
      </c>
      <c r="B28" t="str">
        <v xml:space="preserve">  S1</v>
      </c>
      <c r="C28" t="str">
        <v>S1-12</v>
      </c>
      <c r="D28" t="str">
        <v>Persons with disabilities</v>
      </c>
    </row>
    <row r="29" spans="1:4" ht="16" customHeight="1" x14ac:dyDescent="0.2">
      <c r="A29" t="str">
        <v>Bolton</v>
      </c>
      <c r="B29" t="str">
        <v xml:space="preserve">  S1</v>
      </c>
      <c r="C29" t="str">
        <v>S1-13</v>
      </c>
      <c r="D29" t="str">
        <v>Training and skills development metrics</v>
      </c>
    </row>
    <row r="30" spans="1:4" ht="16" customHeight="1" x14ac:dyDescent="0.2">
      <c r="A30" t="str">
        <v>Bolton</v>
      </c>
      <c r="B30" t="str">
        <v xml:space="preserve">  S1</v>
      </c>
      <c r="C30" t="str">
        <v>S1-14</v>
      </c>
      <c r="D30" t="str">
        <v>Health and safety metrics</v>
      </c>
    </row>
    <row r="31" spans="1:4" ht="16" customHeight="1" x14ac:dyDescent="0.2">
      <c r="A31" t="str">
        <v>Bolton</v>
      </c>
      <c r="B31" t="str">
        <v xml:space="preserve">  S1</v>
      </c>
      <c r="C31" t="str">
        <v>S1-15</v>
      </c>
      <c r="D31" t="str">
        <v>Work-life balance metrics</v>
      </c>
    </row>
    <row r="32" spans="1:4" ht="16" customHeight="1" x14ac:dyDescent="0.2">
      <c r="A32" t="str">
        <v>Bolton</v>
      </c>
      <c r="B32" t="str">
        <v xml:space="preserve">  S1</v>
      </c>
      <c r="C32" t="str">
        <v>S1-17</v>
      </c>
      <c r="D32" t="str">
        <v>Incidents, complaints and severe human rights impacts</v>
      </c>
    </row>
    <row r="33" spans="1:4" ht="16" customHeight="1" x14ac:dyDescent="0.2">
      <c r="A33" t="str">
        <v>Bolton</v>
      </c>
      <c r="B33" t="str">
        <v xml:space="preserve">  S2</v>
      </c>
      <c r="C33" t="str">
        <v>S2-1</v>
      </c>
      <c r="D33" t="str">
        <v>Policies related to value chain workers</v>
      </c>
    </row>
    <row r="34" spans="1:4" ht="16" customHeight="1" x14ac:dyDescent="0.2">
      <c r="A34" t="str">
        <v>Bolton</v>
      </c>
      <c r="B34" t="str">
        <v xml:space="preserve">  S2</v>
      </c>
      <c r="C34" t="str">
        <v>S2-2</v>
      </c>
      <c r="D34" t="str">
        <v>Processes for engaging with value chain workers about impacts</v>
      </c>
    </row>
    <row r="35" spans="1:4" ht="16" customHeight="1" x14ac:dyDescent="0.2">
      <c r="A35" t="str">
        <v>Bolton</v>
      </c>
      <c r="B35" t="str">
        <v xml:space="preserve">  S2</v>
      </c>
      <c r="C35" t="str">
        <v>S2-3</v>
      </c>
      <c r="D35" t="str">
        <v>Processes to remediate negative impacts and channels for value chain workers to raise concerns</v>
      </c>
    </row>
    <row r="36" spans="1:4" ht="16" customHeight="1" x14ac:dyDescent="0.2">
      <c r="A36" t="str">
        <v>Bolton</v>
      </c>
      <c r="B36" t="str">
        <v xml:space="preserve">  S3</v>
      </c>
      <c r="C36" t="str">
        <v>S3-1</v>
      </c>
      <c r="D36" t="str">
        <v>Policies related to affected communities</v>
      </c>
    </row>
    <row r="37" spans="1:4" ht="16" customHeight="1" x14ac:dyDescent="0.2">
      <c r="A37" t="str">
        <v>Bolton</v>
      </c>
      <c r="B37" t="str">
        <v xml:space="preserve">  S3</v>
      </c>
      <c r="C37" t="str">
        <v>S3-2</v>
      </c>
      <c r="D37" t="str">
        <v>Processes for engaging with affected communities about impacts</v>
      </c>
    </row>
    <row r="38" spans="1:4" ht="16" customHeight="1" x14ac:dyDescent="0.2">
      <c r="A38" t="str">
        <v>Bolton</v>
      </c>
      <c r="B38" t="str">
        <v xml:space="preserve">  S3</v>
      </c>
      <c r="C38" t="str">
        <v>S3-3</v>
      </c>
      <c r="D38" t="str">
        <v>Processes to remediate negative impacts and channels for affected communities to raise concerns</v>
      </c>
    </row>
    <row r="39" spans="1:4" ht="16" customHeight="1"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ht="16" customHeight="1" x14ac:dyDescent="0.2">
      <c r="A40" t="str">
        <v>Bolton</v>
      </c>
      <c r="B40" t="str">
        <v xml:space="preserve">  S3</v>
      </c>
      <c r="C40" t="str">
        <v>S3-5</v>
      </c>
      <c r="D40" t="str">
        <v>Targets related to managing material negative impacts, advancing positive impacts, and managing material risks and opportunities</v>
      </c>
    </row>
    <row r="41" spans="1:4" ht="16" customHeight="1" x14ac:dyDescent="0.2">
      <c r="A41" t="str">
        <v>Bolton</v>
      </c>
      <c r="B41" t="str">
        <v xml:space="preserve">  S4</v>
      </c>
      <c r="C41" t="str">
        <v>S4-1</v>
      </c>
      <c r="D41" t="str">
        <v>Policies related to consumers and end-users</v>
      </c>
    </row>
    <row r="42" spans="1:4" ht="16" customHeight="1" x14ac:dyDescent="0.2">
      <c r="A42" t="str">
        <v>Bolton</v>
      </c>
      <c r="B42" t="str">
        <v xml:space="preserve">  S4</v>
      </c>
      <c r="C42" t="str">
        <v>S4-3</v>
      </c>
      <c r="D42" t="str">
        <v>Processes to remediate negative impacts and channels for consumers to raise concerns</v>
      </c>
    </row>
    <row r="43" spans="1:4" ht="16" customHeight="1"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ht="16" customHeight="1" x14ac:dyDescent="0.2">
      <c r="A44" t="str">
        <v>Bolton</v>
      </c>
      <c r="B44" t="str">
        <v xml:space="preserve">  G1</v>
      </c>
      <c r="C44" t="str">
        <v>G1-1</v>
      </c>
      <c r="D44" t="str">
        <v>Business conduct policies and corporate culture</v>
      </c>
    </row>
    <row r="45" spans="1:4" ht="16" customHeight="1" x14ac:dyDescent="0.2">
      <c r="A45" t="str">
        <v>Bolton</v>
      </c>
      <c r="B45" t="str">
        <v xml:space="preserve">  G1</v>
      </c>
      <c r="C45" t="str">
        <v>G1-2</v>
      </c>
      <c r="D45" t="str">
        <v>Management of relationships with suppliers</v>
      </c>
    </row>
    <row r="46" spans="1:4" ht="16" customHeight="1" x14ac:dyDescent="0.2">
      <c r="A46" t="str">
        <v>Bolton</v>
      </c>
      <c r="B46" t="str">
        <v xml:space="preserve">  G1</v>
      </c>
      <c r="C46" t="str">
        <v>G1-3</v>
      </c>
      <c r="D46" t="str">
        <v>Prevention and detection of corruption and bribery</v>
      </c>
    </row>
    <row r="47" spans="1:4" ht="16" customHeight="1" x14ac:dyDescent="0.2">
      <c r="A47" t="str">
        <v>Bolton</v>
      </c>
      <c r="B47" t="str">
        <v xml:space="preserve">  G1</v>
      </c>
      <c r="C47" t="str">
        <v>G1-5</v>
      </c>
      <c r="D47" t="str">
        <v>Political influence and lobbying activities</v>
      </c>
    </row>
    <row r="48" spans="1:4" ht="16" customHeight="1" x14ac:dyDescent="0.2">
      <c r="A48" t="str">
        <v>Espersen</v>
      </c>
      <c r="B48" t="str">
        <v xml:space="preserve">  E1</v>
      </c>
      <c r="C48" t="str">
        <v>E1-1</v>
      </c>
      <c r="D48" t="str">
        <v>Transition plan for climate change mitigation</v>
      </c>
    </row>
    <row r="49" spans="1:4" ht="16" customHeight="1" x14ac:dyDescent="0.2">
      <c r="A49" t="str">
        <v>Espersen</v>
      </c>
      <c r="B49" t="str">
        <v xml:space="preserve">  E1</v>
      </c>
      <c r="C49" t="str">
        <v>E1-2</v>
      </c>
      <c r="D49" t="str">
        <v>Policies related to climate change mitigation and adaptation</v>
      </c>
    </row>
    <row r="50" spans="1:4" ht="16" customHeight="1" x14ac:dyDescent="0.2">
      <c r="A50" t="str">
        <v>Espersen</v>
      </c>
      <c r="B50" t="str">
        <v xml:space="preserve">  E1</v>
      </c>
      <c r="C50" t="str">
        <v>E1-3</v>
      </c>
      <c r="D50" t="str">
        <v>Actions and resources in relation to climate change policies</v>
      </c>
    </row>
    <row r="51" spans="1:4" ht="16" customHeight="1" x14ac:dyDescent="0.2">
      <c r="A51" t="str">
        <v>Espersen</v>
      </c>
      <c r="B51" t="str">
        <v xml:space="preserve">  E1</v>
      </c>
      <c r="C51" t="str">
        <v>E1-4</v>
      </c>
      <c r="D51" t="str">
        <v>Targets related to climate change mitigation and adaptation</v>
      </c>
    </row>
    <row r="52" spans="1:4" ht="16" customHeight="1" x14ac:dyDescent="0.2">
      <c r="A52" t="str">
        <v>Espersen</v>
      </c>
      <c r="B52" t="str">
        <v xml:space="preserve">  E1</v>
      </c>
      <c r="C52" t="str">
        <v>E1-5</v>
      </c>
      <c r="D52" t="str">
        <v>Energy consumption and mix</v>
      </c>
    </row>
    <row r="53" spans="1:4" ht="16" customHeight="1" x14ac:dyDescent="0.2">
      <c r="A53" t="str">
        <v>Espersen</v>
      </c>
      <c r="B53" t="str">
        <v xml:space="preserve">  E1</v>
      </c>
      <c r="C53" t="str">
        <v>E1-6</v>
      </c>
      <c r="D53" t="str">
        <v>Gross scopes 1, 2, 3 and total GHG emissions</v>
      </c>
    </row>
    <row r="54" spans="1:4" ht="16" customHeight="1" x14ac:dyDescent="0.2">
      <c r="A54" t="str">
        <v>Espersen</v>
      </c>
      <c r="B54" t="str">
        <v xml:space="preserve">  E1</v>
      </c>
      <c r="C54" t="str">
        <v>E1-9</v>
      </c>
      <c r="D54" t="str">
        <v>Anticipated financial effects from material physical and transition risks and potential climate-related opportunities</v>
      </c>
    </row>
    <row r="55" spans="1:4" ht="16" customHeight="1" x14ac:dyDescent="0.2">
      <c r="A55" t="str">
        <v>Espersen</v>
      </c>
      <c r="B55" t="str">
        <v xml:space="preserve">  E3</v>
      </c>
      <c r="C55" t="str">
        <v>E3-1</v>
      </c>
      <c r="D55" t="str">
        <v>Policies related to water and marine resources</v>
      </c>
    </row>
    <row r="56" spans="1:4" ht="16" customHeight="1" x14ac:dyDescent="0.2">
      <c r="A56" t="str">
        <v>Espersen</v>
      </c>
      <c r="B56" t="str">
        <v xml:space="preserve">  E3</v>
      </c>
      <c r="C56" t="str">
        <v>E3-2</v>
      </c>
      <c r="D56" t="str">
        <v>Actions and resources related to water and marine resources</v>
      </c>
    </row>
    <row r="57" spans="1:4" ht="16" customHeight="1" x14ac:dyDescent="0.2">
      <c r="A57" t="str">
        <v>Espersen</v>
      </c>
      <c r="B57" t="str">
        <v xml:space="preserve">  E3</v>
      </c>
      <c r="C57" t="str">
        <v>E3-3</v>
      </c>
      <c r="D57" t="str">
        <v>Targets related to water and marine resources</v>
      </c>
    </row>
    <row r="58" spans="1:4" ht="16" customHeight="1" x14ac:dyDescent="0.2">
      <c r="A58" t="str">
        <v>Espersen</v>
      </c>
      <c r="B58" t="str">
        <v xml:space="preserve">  E3</v>
      </c>
      <c r="C58" t="str">
        <v>E3-4</v>
      </c>
      <c r="D58" t="str">
        <v>Water consumption</v>
      </c>
    </row>
    <row r="59" spans="1:4" ht="16" customHeight="1" x14ac:dyDescent="0.2">
      <c r="A59" t="str">
        <v>Espersen</v>
      </c>
      <c r="B59" t="str">
        <v xml:space="preserve">  E3</v>
      </c>
      <c r="C59" t="str">
        <v>E3-5</v>
      </c>
      <c r="D59" t="str">
        <v>Anticipated financial effects from water and marine resources-related impacts risks and opportunities</v>
      </c>
    </row>
    <row r="60" spans="1:4" ht="16" customHeight="1" x14ac:dyDescent="0.2">
      <c r="A60" t="str">
        <v>Espersen</v>
      </c>
      <c r="B60" t="str">
        <v xml:space="preserve">  E4</v>
      </c>
      <c r="C60" t="str">
        <v>E4-1</v>
      </c>
      <c r="D60" t="str">
        <v>Transition plan on biodiversity and ecosystems</v>
      </c>
    </row>
    <row r="61" spans="1:4" ht="16" customHeight="1" x14ac:dyDescent="0.2">
      <c r="A61" t="str">
        <v>Espersen</v>
      </c>
      <c r="B61" t="str">
        <v xml:space="preserve">  E4</v>
      </c>
      <c r="C61" t="str">
        <v>E4-2</v>
      </c>
      <c r="D61" t="str">
        <v>Policies related to biodiversity and ecosystems</v>
      </c>
    </row>
    <row r="62" spans="1:4" ht="16" customHeight="1" x14ac:dyDescent="0.2">
      <c r="A62" t="str">
        <v>Espersen</v>
      </c>
      <c r="B62" t="str">
        <v xml:space="preserve">  E4</v>
      </c>
      <c r="C62" t="str">
        <v>E4-3</v>
      </c>
      <c r="D62" t="str">
        <v>Actions and resources related to biodiversity and ecosystems</v>
      </c>
    </row>
    <row r="63" spans="1:4" ht="16" customHeight="1" x14ac:dyDescent="0.2">
      <c r="A63" t="str">
        <v>Espersen</v>
      </c>
      <c r="B63" t="str">
        <v xml:space="preserve">  E4</v>
      </c>
      <c r="C63" t="str">
        <v>E4-4</v>
      </c>
      <c r="D63" t="str">
        <v>Targets related to biodiversity and ecosystems</v>
      </c>
    </row>
    <row r="64" spans="1:4" ht="16" customHeight="1" x14ac:dyDescent="0.2">
      <c r="A64" t="str">
        <v>Espersen</v>
      </c>
      <c r="B64" t="str">
        <v xml:space="preserve">  E4</v>
      </c>
      <c r="C64" t="str">
        <v>E4-5</v>
      </c>
      <c r="D64" t="str">
        <v>Impact metrics related to biodiversity and ecosystems change</v>
      </c>
    </row>
    <row r="65" spans="1:4" ht="16" customHeight="1" x14ac:dyDescent="0.2">
      <c r="A65" t="str">
        <v>Espersen</v>
      </c>
      <c r="B65" t="str">
        <v xml:space="preserve">  E4</v>
      </c>
      <c r="C65" t="str">
        <v>E4-6</v>
      </c>
      <c r="D65" t="str">
        <v>Anticipated financial effects from biodiversity and ecosystems-related risks and opportunities</v>
      </c>
    </row>
    <row r="66" spans="1:4" ht="16" customHeight="1" x14ac:dyDescent="0.2">
      <c r="A66" t="str">
        <v>Espersen</v>
      </c>
      <c r="B66" t="str">
        <v xml:space="preserve">  E5</v>
      </c>
      <c r="C66" t="str">
        <v>E5-1</v>
      </c>
      <c r="D66" t="str">
        <v>Policies related to resource use and circular economy</v>
      </c>
    </row>
    <row r="67" spans="1:4" ht="16" customHeight="1" x14ac:dyDescent="0.2">
      <c r="A67" t="str">
        <v>Espersen</v>
      </c>
      <c r="B67" t="str">
        <v xml:space="preserve">  E5</v>
      </c>
      <c r="C67" t="str">
        <v>E5-2</v>
      </c>
      <c r="D67" t="str">
        <v>Actions and resources related to resource use and circular economy</v>
      </c>
    </row>
    <row r="68" spans="1:4" ht="16" customHeight="1" x14ac:dyDescent="0.2">
      <c r="A68" t="str">
        <v>Espersen</v>
      </c>
      <c r="B68" t="str">
        <v xml:space="preserve">  E5</v>
      </c>
      <c r="C68" t="str">
        <v>E5-3</v>
      </c>
      <c r="D68" t="str">
        <v>Targets related to resource use and circular economy</v>
      </c>
    </row>
    <row r="69" spans="1:4" ht="16" customHeight="1" x14ac:dyDescent="0.2">
      <c r="A69" t="str">
        <v>Espersen</v>
      </c>
      <c r="B69" t="str">
        <v xml:space="preserve">  E5</v>
      </c>
      <c r="C69" t="str">
        <v>E5-4</v>
      </c>
      <c r="D69" t="str">
        <v>Resource inflows</v>
      </c>
    </row>
    <row r="70" spans="1:4" ht="16" customHeight="1" x14ac:dyDescent="0.2">
      <c r="A70" t="str">
        <v>Espersen</v>
      </c>
      <c r="B70" t="str">
        <v xml:space="preserve">  E5</v>
      </c>
      <c r="C70" t="str">
        <v>E5-5</v>
      </c>
      <c r="D70" t="str">
        <v>Resource outflows</v>
      </c>
    </row>
    <row r="71" spans="1:4" ht="16" customHeight="1" x14ac:dyDescent="0.2">
      <c r="A71" t="str">
        <v>Espersen</v>
      </c>
      <c r="B71" t="str">
        <v xml:space="preserve">  E5</v>
      </c>
      <c r="C71" t="str">
        <v>E5-6</v>
      </c>
      <c r="D71" t="str">
        <v>Anticipated financial effects from material resource use and circular economy-related risks and opportunities</v>
      </c>
    </row>
    <row r="72" spans="1:4" ht="16" customHeight="1" x14ac:dyDescent="0.2">
      <c r="A72" t="str">
        <v>Espersen</v>
      </c>
      <c r="B72" t="str">
        <v xml:space="preserve">  S1</v>
      </c>
      <c r="C72" t="str">
        <v>S1-1</v>
      </c>
      <c r="D72" t="str">
        <v>Policies related to own workforce</v>
      </c>
    </row>
    <row r="73" spans="1:4" ht="16" customHeight="1" x14ac:dyDescent="0.2">
      <c r="A73" t="str">
        <v>Espersen</v>
      </c>
      <c r="B73" t="str">
        <v xml:space="preserve">  S1</v>
      </c>
      <c r="C73" t="str">
        <v>S1-2</v>
      </c>
      <c r="D73" t="str">
        <v>Processes for engaging with own workers and workers’ representatives about impacts</v>
      </c>
    </row>
    <row r="74" spans="1:4" ht="16" customHeight="1" x14ac:dyDescent="0.2">
      <c r="A74" t="str">
        <v>Espersen</v>
      </c>
      <c r="B74" t="str">
        <v xml:space="preserve">  S1</v>
      </c>
      <c r="C74" t="str">
        <v>S1-3</v>
      </c>
      <c r="D74" t="str">
        <v>Processes to remediate negative impacts and channels for own workers to raise concerns</v>
      </c>
    </row>
    <row r="75" spans="1:4" ht="16" customHeight="1" x14ac:dyDescent="0.2">
      <c r="A75" t="str">
        <v>Espersen</v>
      </c>
      <c r="B75" t="str">
        <v xml:space="preserve">  S1</v>
      </c>
      <c r="C75" t="str">
        <v>S1-4</v>
      </c>
      <c r="D75" t="str">
        <v>Taking action on material impacts on own workforce and approaches to mitigating material risks and pursuing material opportunities and effectiveness of those actions</v>
      </c>
    </row>
    <row r="76" spans="1:4" ht="16" customHeight="1" x14ac:dyDescent="0.2">
      <c r="A76" t="str">
        <v>Espersen</v>
      </c>
      <c r="B76" t="str">
        <v xml:space="preserve">  S1</v>
      </c>
      <c r="C76" t="str">
        <v>S1-5</v>
      </c>
      <c r="D76" t="str">
        <v>Targets related to managing material negative impacts advancing positive impacts and managing material risks and opportunities</v>
      </c>
    </row>
    <row r="77" spans="1:4" ht="16" customHeight="1" x14ac:dyDescent="0.2">
      <c r="A77" t="str">
        <v>Espersen</v>
      </c>
      <c r="B77" t="str">
        <v xml:space="preserve">  S1</v>
      </c>
      <c r="C77" t="str">
        <v>S1-6</v>
      </c>
      <c r="D77" t="str">
        <v>Characteristics of the undertaking’s employees</v>
      </c>
    </row>
    <row r="78" spans="1:4" ht="16" customHeight="1" x14ac:dyDescent="0.2">
      <c r="A78" t="str">
        <v>Espersen</v>
      </c>
      <c r="B78" t="str">
        <v xml:space="preserve">  S1</v>
      </c>
      <c r="C78" t="str">
        <v>S1-7</v>
      </c>
      <c r="D78" t="str">
        <v>Characteristics of non-employee workers in the undertaking’s own workforce</v>
      </c>
    </row>
    <row r="79" spans="1:4" ht="16" customHeight="1" x14ac:dyDescent="0.2">
      <c r="A79" t="str">
        <v>Espersen</v>
      </c>
      <c r="B79" t="str">
        <v xml:space="preserve">  S1</v>
      </c>
      <c r="C79" t="str">
        <v>S1-8</v>
      </c>
      <c r="D79" t="str">
        <v>Collective bargaining coverage and social dialogue</v>
      </c>
    </row>
    <row r="80" spans="1:4" ht="32" customHeight="1" x14ac:dyDescent="0.2">
      <c r="A80" t="str">
        <v>Espersen</v>
      </c>
      <c r="B80" t="str">
        <v xml:space="preserve">  S1</v>
      </c>
      <c r="C80" t="str">
        <v>S1-9</v>
      </c>
      <c r="D80" t="str">
        <v>Diversity metrics</v>
      </c>
    </row>
    <row r="81" spans="1:4" ht="16" customHeight="1" x14ac:dyDescent="0.2">
      <c r="A81" t="str">
        <v>Espersen</v>
      </c>
      <c r="B81" t="str">
        <v xml:space="preserve">  S1</v>
      </c>
      <c r="C81" t="str">
        <v>S1-10</v>
      </c>
      <c r="D81" t="str">
        <v>Adequate wages</v>
      </c>
    </row>
    <row r="82" spans="1:4" ht="16" customHeight="1" x14ac:dyDescent="0.2">
      <c r="A82" t="str">
        <v>Espersen</v>
      </c>
      <c r="B82" t="str">
        <v xml:space="preserve">  S1</v>
      </c>
      <c r="C82" t="str">
        <v>S1-11</v>
      </c>
      <c r="D82" t="str">
        <v>Social protection</v>
      </c>
    </row>
    <row r="83" spans="1:4" ht="16" customHeight="1" x14ac:dyDescent="0.2">
      <c r="A83" t="str">
        <v>Espersen</v>
      </c>
      <c r="B83" t="str">
        <v xml:space="preserve">  S1</v>
      </c>
      <c r="C83" t="str">
        <v>S1-12</v>
      </c>
      <c r="D83" t="str">
        <v>Persons with disabilities</v>
      </c>
    </row>
    <row r="84" spans="1:4" ht="16" customHeight="1" x14ac:dyDescent="0.2">
      <c r="A84" t="str">
        <v>Espersen</v>
      </c>
      <c r="B84" t="str">
        <v xml:space="preserve">  S1</v>
      </c>
      <c r="C84" t="str">
        <v>S1-13</v>
      </c>
      <c r="D84" t="str">
        <v>Training and skills development metrics</v>
      </c>
    </row>
    <row r="85" spans="1:4" ht="16" customHeight="1" x14ac:dyDescent="0.2">
      <c r="A85" t="str">
        <v>Espersen</v>
      </c>
      <c r="B85" t="str">
        <v xml:space="preserve">  S1</v>
      </c>
      <c r="C85" t="str">
        <v>S1-14</v>
      </c>
      <c r="D85" t="str">
        <v>Health and safety metrics</v>
      </c>
    </row>
    <row r="86" spans="1:4" ht="16" customHeight="1" x14ac:dyDescent="0.2">
      <c r="A86" t="str">
        <v>Espersen</v>
      </c>
      <c r="B86" t="str">
        <v xml:space="preserve">  S1</v>
      </c>
      <c r="C86" t="str">
        <v>S1-16</v>
      </c>
      <c r="D86" t="str">
        <v>Compensation metrics (pay gap and total compensation)</v>
      </c>
    </row>
    <row r="87" spans="1:4" ht="16" customHeight="1" x14ac:dyDescent="0.2">
      <c r="A87" t="str">
        <v>Espersen</v>
      </c>
      <c r="B87" t="str">
        <v xml:space="preserve">  S1</v>
      </c>
      <c r="C87" t="str">
        <v>S1-17</v>
      </c>
      <c r="D87" t="str">
        <v>Incidents complaints and severe human rights impacts</v>
      </c>
    </row>
    <row r="88" spans="1:4" ht="16" customHeight="1" x14ac:dyDescent="0.2">
      <c r="A88" t="str">
        <v>Espersen</v>
      </c>
      <c r="B88" t="str">
        <v xml:space="preserve">  S2</v>
      </c>
      <c r="C88" t="str">
        <v>S2-1</v>
      </c>
      <c r="D88" t="str">
        <v>Policies related to value chain workers</v>
      </c>
    </row>
    <row r="89" spans="1:4" ht="16" customHeight="1" x14ac:dyDescent="0.2">
      <c r="A89" t="str">
        <v>Espersen</v>
      </c>
      <c r="B89" t="str">
        <v xml:space="preserve">  S2</v>
      </c>
      <c r="C89" t="str">
        <v>S2-2</v>
      </c>
      <c r="D89" t="str">
        <v>Processes for engaging with value chain workers about impacts</v>
      </c>
    </row>
    <row r="90" spans="1:4" ht="16" customHeight="1" x14ac:dyDescent="0.2">
      <c r="A90" t="str">
        <v>Espersen</v>
      </c>
      <c r="B90" t="str">
        <v xml:space="preserve">  S2</v>
      </c>
      <c r="C90" t="str">
        <v>S2-3</v>
      </c>
      <c r="D90" t="str">
        <v>Processes to remediate negative impacts and channels for value chain workers to raise concerns</v>
      </c>
    </row>
    <row r="91" spans="1:4" ht="16" customHeight="1" x14ac:dyDescent="0.2">
      <c r="A91" t="str">
        <v>Espersen</v>
      </c>
      <c r="B91" t="str">
        <v xml:space="preserve">  S2</v>
      </c>
      <c r="C91" t="str">
        <v>S2-4</v>
      </c>
      <c r="D91" t="str">
        <v>Taking action on material impacts on value chain workers and approaches to managing material risks and pursuing material opportunities and effectiveness of those actions</v>
      </c>
    </row>
    <row r="92" spans="1:4" ht="16" customHeight="1" x14ac:dyDescent="0.2">
      <c r="A92" t="str">
        <v>Espersen</v>
      </c>
      <c r="B92" t="str">
        <v xml:space="preserve">  S2</v>
      </c>
      <c r="C92" t="str">
        <v>S2-5</v>
      </c>
      <c r="D92" t="str">
        <v>Targets related to managing material negative impacts advancing positive impacts and managing material risks and opportunities</v>
      </c>
    </row>
    <row r="93" spans="1:4" ht="16" customHeight="1" x14ac:dyDescent="0.2">
      <c r="A93" t="str">
        <v>Espersen</v>
      </c>
      <c r="B93" t="str">
        <v xml:space="preserve">  S4</v>
      </c>
      <c r="C93" t="str">
        <v>S4-1</v>
      </c>
      <c r="D93" t="str">
        <v>Policies related to consumers and end-users</v>
      </c>
    </row>
    <row r="94" spans="1:4" ht="16" customHeight="1" x14ac:dyDescent="0.2">
      <c r="A94" t="str">
        <v>Espersen</v>
      </c>
      <c r="B94" t="str">
        <v xml:space="preserve">  S4</v>
      </c>
      <c r="C94" t="str">
        <v>S4-2</v>
      </c>
      <c r="D94" t="str">
        <v>Processes for engaging with consumers and end-users about impacts</v>
      </c>
    </row>
    <row r="95" spans="1:4" ht="16" customHeight="1" x14ac:dyDescent="0.2">
      <c r="A95" t="str">
        <v>Espersen</v>
      </c>
      <c r="B95" t="str">
        <v xml:space="preserve">  S4</v>
      </c>
      <c r="C95" t="str">
        <v>S4-3</v>
      </c>
      <c r="D95" t="str">
        <v>Processes to remediate negative impacts and channels for consumers and end-users to raise concerns</v>
      </c>
    </row>
    <row r="96" spans="1:4" ht="16" customHeight="1" x14ac:dyDescent="0.2">
      <c r="A96" t="str">
        <v>Espersen</v>
      </c>
      <c r="B96" t="str">
        <v xml:space="preserve">  S4</v>
      </c>
      <c r="C96" t="str">
        <v>S4-4</v>
      </c>
      <c r="D96" t="str">
        <v>Taking action on material impacts on consumers and end-users and approaches to managing material risks and pursuing material opportunities and effectiveness of those actions</v>
      </c>
    </row>
    <row r="97" spans="1:4" ht="16" customHeight="1" x14ac:dyDescent="0.2">
      <c r="A97" t="str">
        <v>Espersen</v>
      </c>
      <c r="B97" t="str">
        <v xml:space="preserve">  S4</v>
      </c>
      <c r="C97" t="str">
        <v>S4-5</v>
      </c>
      <c r="D97" t="str">
        <v>Targets related to managing material negative impacts advancing positive impacts and managing material risks and opportunities</v>
      </c>
    </row>
    <row r="98" spans="1:4" ht="16" customHeight="1" x14ac:dyDescent="0.2">
      <c r="A98" t="str">
        <v>Espersen</v>
      </c>
      <c r="B98" t="str">
        <v xml:space="preserve">  G1</v>
      </c>
      <c r="C98" t="str">
        <v>G1-1</v>
      </c>
      <c r="D98" t="str">
        <v>Corporate culture and business conduct policies and corporate culture</v>
      </c>
    </row>
    <row r="99" spans="1:4" ht="16" customHeight="1" x14ac:dyDescent="0.2">
      <c r="A99" t="str">
        <v>Espersen</v>
      </c>
      <c r="B99" t="str">
        <v xml:space="preserve">  G1</v>
      </c>
      <c r="C99" t="str">
        <v>G1-2</v>
      </c>
      <c r="D99" t="str">
        <v>Management of relationships with suppliers</v>
      </c>
    </row>
    <row r="100" spans="1:4" ht="16" customHeight="1" x14ac:dyDescent="0.2">
      <c r="A100" t="str">
        <v>Espersen</v>
      </c>
      <c r="B100" t="str">
        <v xml:space="preserve">  G1</v>
      </c>
      <c r="C100" t="str">
        <v>G1-3</v>
      </c>
      <c r="D100" t="str">
        <v>Prevention and detection of corruption and bribery</v>
      </c>
    </row>
    <row r="101" spans="1:4" ht="16" customHeight="1" x14ac:dyDescent="0.2">
      <c r="A101" t="str">
        <v>Espersen</v>
      </c>
      <c r="B101" t="str">
        <v xml:space="preserve">  G1</v>
      </c>
      <c r="C101" t="str">
        <v>G1-4</v>
      </c>
      <c r="D101" t="str">
        <v>Confirmed incidents of corruption or bribery</v>
      </c>
    </row>
    <row r="102" spans="1:4" ht="16" customHeight="1" x14ac:dyDescent="0.2">
      <c r="A102" t="str">
        <v>Espersen</v>
      </c>
      <c r="B102" t="str">
        <v xml:space="preserve">  G1</v>
      </c>
      <c r="C102" t="str">
        <v>G1-5</v>
      </c>
      <c r="D102" t="str">
        <v>Political influence and lobbying activities</v>
      </c>
    </row>
    <row r="103" spans="1:4" ht="16" customHeight="1" x14ac:dyDescent="0.2">
      <c r="A103" t="str">
        <v>Espersen</v>
      </c>
      <c r="B103" t="str">
        <v xml:space="preserve">  G1</v>
      </c>
      <c r="C103" t="str">
        <v>G1-6</v>
      </c>
      <c r="D103" t="str">
        <v>Payment practices</v>
      </c>
    </row>
    <row r="104" spans="1:4" ht="16" customHeight="1" x14ac:dyDescent="0.2">
      <c r="A104" t="str">
        <v>Mowi</v>
      </c>
      <c r="B104" t="str">
        <v>E1</v>
      </c>
      <c r="C104" t="str">
        <v>E1-1</v>
      </c>
      <c r="D104" t="str">
        <v>Transition plan for climate change mitigation</v>
      </c>
    </row>
    <row r="105" spans="1:4" ht="16" customHeight="1" x14ac:dyDescent="0.2">
      <c r="A105" t="str">
        <v>Mowi</v>
      </c>
      <c r="B105" t="str">
        <v>E1</v>
      </c>
      <c r="C105" t="str">
        <v>E1 IRO-1</v>
      </c>
      <c r="D105" t="str">
        <v>Climate change related risks and opportunities</v>
      </c>
    </row>
    <row r="106" spans="1:4" ht="16" customHeight="1" x14ac:dyDescent="0.2">
      <c r="A106" t="str">
        <v>Mowi</v>
      </c>
      <c r="B106" t="str">
        <v>E1</v>
      </c>
      <c r="C106" t="str">
        <v>E1-3</v>
      </c>
      <c r="D106" t="str">
        <v>Actions and resources</v>
      </c>
    </row>
    <row r="107" spans="1:4" ht="16" customHeight="1" x14ac:dyDescent="0.2">
      <c r="A107" t="str">
        <v>Mowi</v>
      </c>
      <c r="B107" t="str">
        <v>E1</v>
      </c>
      <c r="C107" t="str">
        <v>E1-4</v>
      </c>
      <c r="D107" t="str">
        <v>Targets and metrics</v>
      </c>
    </row>
    <row r="108" spans="1:4" ht="16" customHeight="1" x14ac:dyDescent="0.2">
      <c r="A108" t="str">
        <v>Mowi</v>
      </c>
      <c r="B108" t="str">
        <v>E1</v>
      </c>
      <c r="C108" t="str">
        <v>E1-5</v>
      </c>
      <c r="D108" t="str">
        <v>Energy consumption and mix</v>
      </c>
    </row>
    <row r="109" spans="1:4" ht="16" customHeight="1" x14ac:dyDescent="0.2">
      <c r="A109" t="str">
        <v>Mowi</v>
      </c>
      <c r="B109" t="str">
        <v>E1</v>
      </c>
      <c r="C109" t="str">
        <v>E1-6</v>
      </c>
      <c r="D109" t="str">
        <v>Gross scopes 1, 2, 3 and total GHG emissions</v>
      </c>
    </row>
    <row r="110" spans="1:4" ht="16" customHeight="1" x14ac:dyDescent="0.2">
      <c r="A110" t="str">
        <v>Mowi</v>
      </c>
      <c r="B110" t="str">
        <v>E3</v>
      </c>
      <c r="C110" t="str">
        <v>E3 SBM-3</v>
      </c>
      <c r="D110" t="str">
        <v>Material impacts, risks, and opportunities related to water and marine resources</v>
      </c>
    </row>
    <row r="111" spans="1:4" ht="16" customHeight="1" x14ac:dyDescent="0.2">
      <c r="A111" t="str">
        <v>Mowi</v>
      </c>
      <c r="B111" t="str">
        <v>E3</v>
      </c>
      <c r="C111" t="str">
        <v>E3-1</v>
      </c>
      <c r="D111" t="str">
        <v>Management of impacts, risks and opportunities</v>
      </c>
    </row>
    <row r="112" spans="1:4" ht="16" customHeight="1" x14ac:dyDescent="0.2">
      <c r="A112" t="str">
        <v>Mowi</v>
      </c>
      <c r="B112" t="str">
        <v>E3</v>
      </c>
      <c r="C112" t="str">
        <v>E3-2</v>
      </c>
      <c r="D112" t="str">
        <v>Actions and resources</v>
      </c>
    </row>
    <row r="113" spans="1:4" ht="16" customHeight="1" x14ac:dyDescent="0.2">
      <c r="A113" t="str">
        <v>Mowi</v>
      </c>
      <c r="B113" t="str">
        <v>E3</v>
      </c>
      <c r="C113" t="str">
        <v>E3-3</v>
      </c>
      <c r="D113" t="str">
        <v>Targets and metrics</v>
      </c>
    </row>
    <row r="114" spans="1:4" ht="16" customHeight="1" x14ac:dyDescent="0.2">
      <c r="A114" t="str">
        <v>Mowi</v>
      </c>
      <c r="B114" t="str">
        <v>E3</v>
      </c>
      <c r="C114" t="str">
        <v>E3-4</v>
      </c>
      <c r="D114" t="str">
        <v>Water consumption and marine resource performance</v>
      </c>
    </row>
    <row r="115" spans="1:4" ht="16" customHeight="1" x14ac:dyDescent="0.2">
      <c r="A115" t="str">
        <v>Mowi</v>
      </c>
      <c r="B115" t="str">
        <v>E4</v>
      </c>
      <c r="C115" t="str">
        <v>E4-1</v>
      </c>
      <c r="D115" t="str">
        <v>Consideration of biodiversity and ecosystems in strategy and business model</v>
      </c>
    </row>
    <row r="116" spans="1:4" ht="16" customHeight="1" x14ac:dyDescent="0.2">
      <c r="A116" t="str">
        <v>Mowi</v>
      </c>
      <c r="B116" t="str">
        <v>E4</v>
      </c>
      <c r="C116" t="str">
        <v>E4 SBM-3</v>
      </c>
      <c r="D116" t="str">
        <v>Disclosure on biodiversity-sensitive areas</v>
      </c>
    </row>
    <row r="117" spans="1:4" ht="16" customHeight="1" x14ac:dyDescent="0.2">
      <c r="A117" t="str">
        <v>Mowi</v>
      </c>
      <c r="B117" t="str">
        <v>E4</v>
      </c>
      <c r="C117" t="str">
        <v>E4 IRO-1</v>
      </c>
      <c r="D117" t="str">
        <v>Material impacts, risks and opportunities related to biodiversity and ecosystems</v>
      </c>
    </row>
    <row r="118" spans="1:4" ht="16" customHeight="1" x14ac:dyDescent="0.2">
      <c r="A118" t="str">
        <v>Mowi</v>
      </c>
      <c r="B118" t="str">
        <v>E4</v>
      </c>
      <c r="C118" t="str">
        <v>E4-2</v>
      </c>
      <c r="D118" t="str">
        <v>Management of material impacts, risks and opportunities</v>
      </c>
    </row>
    <row r="119" spans="1:4" ht="16" customHeight="1" x14ac:dyDescent="0.2">
      <c r="A119" t="str">
        <v>Mowi</v>
      </c>
      <c r="B119" t="str">
        <v>E4</v>
      </c>
      <c r="C119" t="str">
        <v>E4-3</v>
      </c>
      <c r="D119" t="str">
        <v>Biodiversity and ecosystems-related actions and resources</v>
      </c>
    </row>
    <row r="120" spans="1:4" ht="16" customHeight="1" x14ac:dyDescent="0.2">
      <c r="A120" t="str">
        <v>Mowi</v>
      </c>
      <c r="B120" t="str">
        <v>E4</v>
      </c>
      <c r="C120" t="str">
        <v>E4-4</v>
      </c>
      <c r="D120" t="str">
        <v>Biodiversity and ecosystem-related targets</v>
      </c>
    </row>
    <row r="121" spans="1:4" ht="16" customHeight="1" x14ac:dyDescent="0.2">
      <c r="A121" t="str">
        <v>Mowi</v>
      </c>
      <c r="B121" t="str">
        <v>E4</v>
      </c>
      <c r="C121" t="str">
        <v>E4-5</v>
      </c>
      <c r="D121" t="str">
        <v>Biodiversity and ecosystems impacts disclosure</v>
      </c>
    </row>
    <row r="122" spans="1:4" ht="16" customHeight="1" x14ac:dyDescent="0.2">
      <c r="A122" t="str">
        <v>Mowi</v>
      </c>
      <c r="B122" t="str">
        <v>S1</v>
      </c>
      <c r="C122" t="str">
        <v>S1 SBM-3</v>
      </c>
      <c r="D122" t="str">
        <v>Impacts, risks and opportunities</v>
      </c>
    </row>
    <row r="123" spans="1:4" ht="16" customHeight="1" x14ac:dyDescent="0.2">
      <c r="A123" t="str">
        <v>Mowi</v>
      </c>
      <c r="B123" t="str">
        <v>S1</v>
      </c>
      <c r="C123" t="str">
        <v>S1-1</v>
      </c>
      <c r="D123" t="str">
        <v>Management of impacts, risks and opportunities</v>
      </c>
    </row>
    <row r="124" spans="1:4" ht="16" customHeight="1" x14ac:dyDescent="0.2">
      <c r="A124" t="str">
        <v>Mowi</v>
      </c>
      <c r="B124" t="str">
        <v>S1</v>
      </c>
      <c r="C124" t="str">
        <v>S1-2</v>
      </c>
      <c r="D124" t="str">
        <v>Processes for engaging with own workforce</v>
      </c>
    </row>
    <row r="125" spans="1:4" ht="16" customHeight="1" x14ac:dyDescent="0.2">
      <c r="A125" t="str">
        <v>Mowi</v>
      </c>
      <c r="B125" t="str">
        <v>S1</v>
      </c>
      <c r="C125" t="str">
        <v>S1-3</v>
      </c>
      <c r="D125" t="str">
        <v>Channels for own workforce to raise concerns</v>
      </c>
    </row>
    <row r="126" spans="1:4" ht="16" customHeight="1" x14ac:dyDescent="0.2">
      <c r="A126" t="str">
        <v>Mowi</v>
      </c>
      <c r="B126" t="str">
        <v>S1</v>
      </c>
      <c r="C126" t="str">
        <v>S1-4</v>
      </c>
      <c r="D126" t="str">
        <v>Actions and resources</v>
      </c>
    </row>
    <row r="127" spans="1:4" ht="16" customHeight="1" x14ac:dyDescent="0.2">
      <c r="A127" t="str">
        <v>Mowi</v>
      </c>
      <c r="B127" t="str">
        <v>S1</v>
      </c>
      <c r="C127" t="str">
        <v>S1-5</v>
      </c>
      <c r="D127" t="str">
        <v>Targets and metrics</v>
      </c>
    </row>
    <row r="128" spans="1:4" ht="16" customHeight="1" x14ac:dyDescent="0.2">
      <c r="A128" t="str">
        <v>Mowi</v>
      </c>
      <c r="B128" t="str">
        <v>S1</v>
      </c>
      <c r="C128" t="str">
        <v>S1-14</v>
      </c>
      <c r="D128" t="str">
        <v>Health and safety metrics</v>
      </c>
    </row>
    <row r="129" spans="1:4" ht="16" customHeight="1" x14ac:dyDescent="0.2">
      <c r="A129" t="str">
        <v>Mowi</v>
      </c>
      <c r="B129" t="str">
        <v>S1</v>
      </c>
      <c r="C129" t="str">
        <v>S1-8</v>
      </c>
      <c r="D129" t="str">
        <v>Collective Bargaining Coverage</v>
      </c>
    </row>
    <row r="130" spans="1:4" ht="16" customHeight="1" x14ac:dyDescent="0.2">
      <c r="A130" t="str">
        <v>Mowi</v>
      </c>
      <c r="B130" t="str">
        <v>S1</v>
      </c>
      <c r="C130" t="str">
        <v>S1 SBM-3</v>
      </c>
      <c r="D130" t="str">
        <v>Impacts, risks and opportunities</v>
      </c>
    </row>
    <row r="131" spans="1:4" ht="16" customHeight="1" x14ac:dyDescent="0.2">
      <c r="A131" t="str">
        <v>Mowi</v>
      </c>
      <c r="B131" t="str">
        <v>S1</v>
      </c>
      <c r="C131" t="str">
        <v>S1-1</v>
      </c>
      <c r="D131" t="str">
        <v>Management of impacts, risks and opportunities</v>
      </c>
    </row>
    <row r="132" spans="1:4" ht="16" customHeight="1" x14ac:dyDescent="0.2">
      <c r="A132" t="str">
        <v>Mowi</v>
      </c>
      <c r="B132" t="str">
        <v>S1</v>
      </c>
      <c r="C132" t="str">
        <v>S1-4</v>
      </c>
      <c r="D132" t="str">
        <v>Actions and resources</v>
      </c>
    </row>
    <row r="133" spans="1:4" ht="16" customHeight="1" x14ac:dyDescent="0.2">
      <c r="A133" t="str">
        <v>Mowi</v>
      </c>
      <c r="B133" t="str">
        <v>S1</v>
      </c>
      <c r="C133" t="str">
        <v>S1-5</v>
      </c>
      <c r="D133" t="str">
        <v>Targets and metrics</v>
      </c>
    </row>
    <row r="134" spans="1:4" ht="16" customHeight="1" x14ac:dyDescent="0.2">
      <c r="A134" t="str">
        <v>Mowi</v>
      </c>
      <c r="B134" t="str">
        <v>S1</v>
      </c>
      <c r="C134" t="str">
        <v>S1-16</v>
      </c>
      <c r="D134" t="str">
        <v>Remuneration metrics</v>
      </c>
    </row>
    <row r="135" spans="1:4" ht="16" customHeight="1" x14ac:dyDescent="0.2">
      <c r="A135" t="str">
        <v>Mowi</v>
      </c>
      <c r="B135" t="str">
        <v>S1</v>
      </c>
      <c r="C135" t="str">
        <v>S1 SBM-3</v>
      </c>
      <c r="D135" t="str">
        <v>Impacts, risks and opportunities</v>
      </c>
    </row>
    <row r="136" spans="1:4" ht="16" customHeight="1" x14ac:dyDescent="0.2">
      <c r="A136" t="str">
        <v>Mowi</v>
      </c>
      <c r="B136" t="str">
        <v>S1</v>
      </c>
      <c r="C136" t="str">
        <v>S1-1</v>
      </c>
      <c r="D136" t="str">
        <v>Management of impacts, risks and opportunities</v>
      </c>
    </row>
    <row r="137" spans="1:4" ht="16" customHeight="1" x14ac:dyDescent="0.2">
      <c r="A137" t="str">
        <v>Mowi</v>
      </c>
      <c r="B137" t="str">
        <v>S1</v>
      </c>
      <c r="C137" t="str">
        <v>S1-4</v>
      </c>
      <c r="D137" t="str">
        <v>Actions and resources</v>
      </c>
    </row>
    <row r="138" spans="1:4" ht="16" customHeight="1" x14ac:dyDescent="0.2">
      <c r="A138" t="str">
        <v>Mowi</v>
      </c>
      <c r="B138" t="str">
        <v>S1</v>
      </c>
      <c r="C138" t="str">
        <v>S1-5</v>
      </c>
      <c r="D138" t="str">
        <v>Targets and metrics</v>
      </c>
    </row>
    <row r="139" spans="1:4" ht="16" customHeight="1" x14ac:dyDescent="0.2">
      <c r="A139" t="str">
        <v>Mowi</v>
      </c>
      <c r="B139" t="str">
        <v>S1</v>
      </c>
      <c r="C139" t="str">
        <v>S1-17</v>
      </c>
      <c r="D139" t="str">
        <v>Incidents, complaints and severe human rights impacts</v>
      </c>
    </row>
    <row r="140" spans="1:4" ht="16" customHeight="1" x14ac:dyDescent="0.2">
      <c r="A140" t="str">
        <v>Mowi</v>
      </c>
      <c r="B140" t="str">
        <v>S1</v>
      </c>
      <c r="C140" t="str">
        <v>S1-6</v>
      </c>
      <c r="D140" t="str">
        <v>Our people insights / Characteristics of own employees</v>
      </c>
    </row>
    <row r="141" spans="1:4" ht="16" customHeight="1" x14ac:dyDescent="0.2">
      <c r="A141" t="str">
        <v>Mowi</v>
      </c>
      <c r="B141" t="str">
        <v>S1</v>
      </c>
      <c r="C141" t="str">
        <v>S1-7</v>
      </c>
      <c r="D141" t="str">
        <v>Characteristics of non-employees</v>
      </c>
    </row>
    <row r="142" spans="1:4" ht="16" customHeight="1" x14ac:dyDescent="0.2">
      <c r="A142" t="str">
        <v>Mowi</v>
      </c>
      <c r="B142" t="str">
        <v>S2</v>
      </c>
      <c r="C142" t="str">
        <v>S2 SBM-2</v>
      </c>
      <c r="D142" t="str">
        <v>Interests and views of stakeholders</v>
      </c>
    </row>
    <row r="143" spans="1:4" ht="16" customHeight="1" x14ac:dyDescent="0.2">
      <c r="A143" t="str">
        <v>Mowi</v>
      </c>
      <c r="B143" t="str">
        <v>S2</v>
      </c>
      <c r="C143" t="str">
        <v>S2 SBM-3</v>
      </c>
      <c r="D143" t="str">
        <v>Impacts, risks and opportunities</v>
      </c>
    </row>
    <row r="144" spans="1:4" ht="16" customHeight="1" x14ac:dyDescent="0.2">
      <c r="A144" t="str">
        <v>Mowi</v>
      </c>
      <c r="B144" t="str">
        <v>S2</v>
      </c>
      <c r="C144" t="str">
        <v>S2-1</v>
      </c>
      <c r="D144" t="str">
        <v>Management of impacts, risks and opportunities</v>
      </c>
    </row>
    <row r="145" spans="1:4" ht="16" customHeight="1" x14ac:dyDescent="0.2">
      <c r="A145" t="str">
        <v>Mowi</v>
      </c>
      <c r="B145" t="str">
        <v>S2</v>
      </c>
      <c r="C145" t="str">
        <v>S2-2</v>
      </c>
      <c r="D145" t="str">
        <v>Processes for engaging with value chain workers</v>
      </c>
    </row>
    <row r="146" spans="1:4" ht="16" customHeight="1" x14ac:dyDescent="0.2">
      <c r="A146" t="str">
        <v>Mowi</v>
      </c>
      <c r="B146" t="str">
        <v>S2</v>
      </c>
      <c r="C146" t="str">
        <v>S2-3</v>
      </c>
      <c r="D146" t="str">
        <v>Channels for value chain workers to raise concerns</v>
      </c>
    </row>
    <row r="147" spans="1:4" ht="16" customHeight="1" x14ac:dyDescent="0.2">
      <c r="A147" t="str">
        <v>Mowi</v>
      </c>
      <c r="B147" t="str">
        <v>S2</v>
      </c>
      <c r="C147" t="str">
        <v>S2-4</v>
      </c>
      <c r="D147" t="str">
        <v>Actions and resources</v>
      </c>
    </row>
    <row r="148" spans="1:4" ht="16" customHeight="1" x14ac:dyDescent="0.2">
      <c r="A148" t="str">
        <v>Mowi</v>
      </c>
      <c r="B148" t="str">
        <v>S2</v>
      </c>
      <c r="C148" t="str">
        <v>S2-5</v>
      </c>
      <c r="D148" t="str">
        <v>Targets and metrics</v>
      </c>
    </row>
    <row r="149" spans="1:4" ht="16" customHeight="1" x14ac:dyDescent="0.2">
      <c r="A149" t="str">
        <v>Mowi</v>
      </c>
      <c r="B149" t="str">
        <v>G1</v>
      </c>
      <c r="C149" t="str">
        <v>G1 IRO-1</v>
      </c>
      <c r="D149" t="str">
        <v>Impacts, risks and opportunities</v>
      </c>
    </row>
    <row r="150" spans="1:4" ht="16" customHeight="1" x14ac:dyDescent="0.2">
      <c r="A150" t="str">
        <v>Mowi</v>
      </c>
      <c r="B150" t="str">
        <v>G1</v>
      </c>
      <c r="C150" t="str">
        <v>G1-1</v>
      </c>
      <c r="D150" t="str">
        <v>Business conduct policies and corporate culture</v>
      </c>
    </row>
    <row r="151" spans="1:4" ht="16" customHeight="1" x14ac:dyDescent="0.2">
      <c r="A151" t="str">
        <v>Mowi</v>
      </c>
      <c r="B151" t="str">
        <v>G1</v>
      </c>
      <c r="C151" t="str">
        <v>G1-3</v>
      </c>
      <c r="D151" t="str">
        <v>Prevention and detection of corruption or bribery</v>
      </c>
    </row>
    <row r="152" spans="1:4" ht="16" customHeight="1" x14ac:dyDescent="0.2">
      <c r="A152" t="str">
        <v>Mowi</v>
      </c>
      <c r="B152" t="str">
        <v>G1</v>
      </c>
      <c r="C152" t="str">
        <v>G1-4</v>
      </c>
      <c r="D152" t="str">
        <v>Confirmed incidents of corruption or bribery</v>
      </c>
    </row>
    <row r="153" spans="1:4" ht="16" customHeight="1" x14ac:dyDescent="0.2">
      <c r="A153" t="str">
        <v>Nomad</v>
      </c>
      <c r="B153" t="str">
        <v>S1</v>
      </c>
      <c r="C153" t="str">
        <v>S1-6</v>
      </c>
      <c r="D153" t="str">
        <v>Total number of employees</v>
      </c>
    </row>
    <row r="154" spans="1:4" ht="16" customHeight="1" x14ac:dyDescent="0.2">
      <c r="A154" t="str">
        <v>Nomad</v>
      </c>
      <c r="B154" t="str">
        <v>S1</v>
      </c>
      <c r="C154" t="str">
        <v>S1-6</v>
      </c>
      <c r="D154" t="str">
        <v>Employee breakdown by gender and region</v>
      </c>
    </row>
    <row r="155" spans="1:4" ht="16" customHeight="1" x14ac:dyDescent="0.2">
      <c r="A155" t="str">
        <v>Nomad</v>
      </c>
      <c r="B155" t="str">
        <v>G1</v>
      </c>
      <c r="C155" t="str">
        <v>G1-3</v>
      </c>
      <c r="D155" t="str">
        <v>Delegation of responsibility</v>
      </c>
    </row>
    <row r="156" spans="1:4" ht="16" customHeight="1" x14ac:dyDescent="0.2">
      <c r="A156" t="str">
        <v>Nomad</v>
      </c>
      <c r="B156" t="str">
        <v>S1</v>
      </c>
      <c r="C156" t="str">
        <v>S1-1</v>
      </c>
      <c r="D156" t="str">
        <v>Policy commitments for responsible business conduct</v>
      </c>
    </row>
    <row r="157" spans="1:4" ht="16" customHeight="1" x14ac:dyDescent="0.2">
      <c r="A157" t="str">
        <v>Nomad</v>
      </c>
      <c r="B157" t="str">
        <v>S2</v>
      </c>
      <c r="C157" t="str">
        <v>S2-1</v>
      </c>
      <c r="D157" t="str">
        <v>Policy commitments for responsible business conduct</v>
      </c>
    </row>
    <row r="158" spans="1:4" ht="16" customHeight="1" x14ac:dyDescent="0.2">
      <c r="A158" t="str">
        <v>Nomad</v>
      </c>
      <c r="B158" t="str">
        <v>G1</v>
      </c>
      <c r="C158" t="str">
        <v>G1-1</v>
      </c>
      <c r="D158" t="str">
        <v>Policy commitments for responsible business conduct</v>
      </c>
    </row>
    <row r="159" spans="1:4" ht="16" customHeight="1" x14ac:dyDescent="0.2">
      <c r="A159" t="str">
        <v>Nomad</v>
      </c>
      <c r="B159" t="str">
        <v>G1</v>
      </c>
      <c r="C159" t="str">
        <v>G1-1</v>
      </c>
      <c r="D159" t="str">
        <v>Embedding policy commitments for responsible business conduct</v>
      </c>
    </row>
    <row r="160" spans="1:4" ht="16" customHeight="1" x14ac:dyDescent="0.2">
      <c r="A160" t="str">
        <v>Nomad</v>
      </c>
      <c r="B160" t="str">
        <v>S1</v>
      </c>
      <c r="C160" t="str">
        <v>S1-3</v>
      </c>
      <c r="D160" t="str">
        <v>Mechanisms for seeking advice and raising concerns</v>
      </c>
    </row>
    <row r="161" spans="1:4" ht="16" customHeight="1" x14ac:dyDescent="0.2">
      <c r="A161" t="str">
        <v>Nomad</v>
      </c>
      <c r="B161" t="str">
        <v>S2</v>
      </c>
      <c r="C161" t="str">
        <v>S2-3</v>
      </c>
      <c r="D161" t="str">
        <v>Mechanisms for seeking advice and raising concerns</v>
      </c>
    </row>
    <row r="162" spans="1:4" ht="16" customHeight="1" x14ac:dyDescent="0.2">
      <c r="A162" t="str">
        <v>Nomad</v>
      </c>
      <c r="B162" t="str">
        <v>G1</v>
      </c>
      <c r="C162" t="str">
        <v>G1-1</v>
      </c>
      <c r="D162" t="str">
        <v>Mechanisms for seeking advice and raising concerns</v>
      </c>
    </row>
    <row r="163" spans="1:4" ht="16" customHeight="1" x14ac:dyDescent="0.2">
      <c r="A163" t="str">
        <v>Nomad</v>
      </c>
      <c r="B163" t="str">
        <v>G1</v>
      </c>
      <c r="C163" t="str">
        <v>G1-3</v>
      </c>
      <c r="D163" t="str">
        <v>Mechanisms for seeking advice and raising concerns</v>
      </c>
    </row>
    <row r="164" spans="1:4" ht="16" customHeight="1" x14ac:dyDescent="0.2">
      <c r="A164" t="str">
        <v>Nomad</v>
      </c>
      <c r="B164" t="str">
        <v>E2</v>
      </c>
      <c r="C164" t="str">
        <v>E2-4</v>
      </c>
      <c r="D164" t="str">
        <v>Commitment to legal compliance and anti-bribery outlined</v>
      </c>
    </row>
    <row r="165" spans="1:4" ht="16" customHeight="1" x14ac:dyDescent="0.2">
      <c r="A165" t="str">
        <v>Nomad</v>
      </c>
      <c r="B165" t="str">
        <v>S1</v>
      </c>
      <c r="C165" t="str">
        <v>S1-17</v>
      </c>
      <c r="D165" t="str">
        <v>Commitment to legal compliance and anti-bribery outlined</v>
      </c>
    </row>
    <row r="166" spans="1:4" ht="16" customHeight="1" x14ac:dyDescent="0.2">
      <c r="A166" t="str">
        <v>Nomad</v>
      </c>
      <c r="B166" t="str">
        <v>G1</v>
      </c>
      <c r="C166" t="str">
        <v>G1-4</v>
      </c>
      <c r="D166" t="str">
        <v>Commitment to legal compliance and anti-bribery outlined</v>
      </c>
    </row>
    <row r="167" spans="1:4" ht="16" customHeight="1" x14ac:dyDescent="0.2">
      <c r="A167" t="str">
        <v>Nomad</v>
      </c>
      <c r="B167" t="str">
        <v>G1</v>
      </c>
      <c r="C167" t="str">
        <v>G1-5</v>
      </c>
      <c r="D167" t="str">
        <v>Participation in industry associations and advocacy organizations</v>
      </c>
    </row>
    <row r="168" spans="1:4" ht="16" customHeight="1" x14ac:dyDescent="0.2">
      <c r="A168" t="str">
        <v>Nomad</v>
      </c>
      <c r="B168" t="str">
        <v>S1</v>
      </c>
      <c r="C168" t="str">
        <v>S1-2</v>
      </c>
      <c r="D168" t="str">
        <v>Approach to stakeholder engagement</v>
      </c>
    </row>
    <row r="169" spans="1:4" ht="16" customHeight="1" x14ac:dyDescent="0.2">
      <c r="A169" t="str">
        <v>Nomad</v>
      </c>
      <c r="B169" t="str">
        <v>S2</v>
      </c>
      <c r="C169" t="str">
        <v>S2-2</v>
      </c>
      <c r="D169" t="str">
        <v>Approach to stakeholder engagement</v>
      </c>
    </row>
    <row r="170" spans="1:4" ht="16" customHeight="1" x14ac:dyDescent="0.2">
      <c r="A170" t="str">
        <v>Nomad</v>
      </c>
      <c r="B170" t="str">
        <v>E2</v>
      </c>
      <c r="C170" t="str">
        <v>E2-2</v>
      </c>
      <c r="D170" t="str">
        <v>Actions taken to manage negative biodiversity impacts</v>
      </c>
    </row>
    <row r="171" spans="1:4" ht="16" customHeight="1" x14ac:dyDescent="0.2">
      <c r="A171" t="str">
        <v>Nomad</v>
      </c>
      <c r="B171" t="str">
        <v>E3</v>
      </c>
      <c r="C171" t="str">
        <v>E3-2</v>
      </c>
      <c r="D171" t="str">
        <v>Actions taken to manage negative biodiversity impacts</v>
      </c>
    </row>
    <row r="172" spans="1:4" ht="16" customHeight="1" x14ac:dyDescent="0.2">
      <c r="A172" t="str">
        <v>Nomad</v>
      </c>
      <c r="B172" t="str">
        <v>E4</v>
      </c>
      <c r="C172" t="str">
        <v>E4-2</v>
      </c>
      <c r="D172" t="str">
        <v>Actions taken to manage negative biodiversity impacts</v>
      </c>
    </row>
    <row r="173" spans="1:4" ht="16" customHeight="1" x14ac:dyDescent="0.2">
      <c r="A173" t="str">
        <v>Nomad</v>
      </c>
      <c r="B173" t="str">
        <v>E4</v>
      </c>
      <c r="C173" t="str">
        <v>E4-3</v>
      </c>
      <c r="D173" t="str">
        <v>Actions taken to manage negative biodiversity impacts</v>
      </c>
    </row>
    <row r="174" spans="1:4" ht="16" customHeight="1" x14ac:dyDescent="0.2">
      <c r="A174" t="str">
        <v>Nomad</v>
      </c>
      <c r="B174" t="str">
        <v>E1</v>
      </c>
      <c r="C174" t="str">
        <v>E1-3</v>
      </c>
      <c r="D174" t="str">
        <v>Financial implications and other risks/opportunities due to climate change</v>
      </c>
    </row>
    <row r="175" spans="1:4" ht="16" customHeight="1" x14ac:dyDescent="0.2">
      <c r="A175" t="str">
        <v>Nomad</v>
      </c>
      <c r="B175" t="str">
        <v>E1</v>
      </c>
      <c r="C175" t="str">
        <v>E1-9</v>
      </c>
      <c r="D175" t="str">
        <v>Financial implications and other risks/opportunities due to climate change</v>
      </c>
    </row>
    <row r="176" spans="1:4" ht="16" customHeight="1" x14ac:dyDescent="0.2">
      <c r="A176" t="str">
        <v>Nomad</v>
      </c>
      <c r="B176" t="str">
        <v>G1</v>
      </c>
      <c r="C176" t="str">
        <v>G1-3</v>
      </c>
      <c r="D176" t="str">
        <v>Management approach — Anti-corruption</v>
      </c>
    </row>
    <row r="177" spans="1:4" ht="16" customHeight="1" x14ac:dyDescent="0.2">
      <c r="A177" t="str">
        <v>Nomad</v>
      </c>
      <c r="B177" t="str">
        <v>G1</v>
      </c>
      <c r="C177" t="str">
        <v>G1-4</v>
      </c>
      <c r="D177" t="str">
        <v>Confirmed incidents of corruption and actions taken</v>
      </c>
    </row>
    <row r="178" spans="1:4" ht="16" customHeight="1" x14ac:dyDescent="0.2">
      <c r="A178" t="str">
        <v>Nomad</v>
      </c>
      <c r="B178" t="str">
        <v>E5</v>
      </c>
      <c r="C178" t="str">
        <v>E5-1</v>
      </c>
      <c r="D178" t="str">
        <v>Management approach — Materials</v>
      </c>
    </row>
    <row r="179" spans="1:4" ht="16" customHeight="1" x14ac:dyDescent="0.2">
      <c r="A179" t="str">
        <v>Nomad</v>
      </c>
      <c r="B179" t="str">
        <v>E5</v>
      </c>
      <c r="C179" t="str">
        <v>E5-2</v>
      </c>
      <c r="D179" t="str">
        <v>Management approach — Materials</v>
      </c>
    </row>
    <row r="180" spans="1:4" ht="16" customHeight="1" x14ac:dyDescent="0.2">
      <c r="A180" t="str">
        <v>Nomad</v>
      </c>
      <c r="B180" t="str">
        <v>E5</v>
      </c>
      <c r="C180" t="str">
        <v>E5-3</v>
      </c>
      <c r="D180" t="str">
        <v>Management approach — Materials</v>
      </c>
    </row>
    <row r="181" spans="1:4" ht="16" customHeight="1" x14ac:dyDescent="0.2">
      <c r="A181" t="str">
        <v>Nomad</v>
      </c>
      <c r="B181" t="str">
        <v>E5</v>
      </c>
      <c r="C181" t="str">
        <v>E5-4</v>
      </c>
      <c r="D181" t="str">
        <v>Recycled input materials used</v>
      </c>
    </row>
    <row r="182" spans="1:4" ht="16" customHeight="1" x14ac:dyDescent="0.2">
      <c r="A182" t="str">
        <v>Nomad</v>
      </c>
      <c r="B182" t="str">
        <v>E1</v>
      </c>
      <c r="C182" t="str">
        <v>E1-2</v>
      </c>
      <c r="D182" t="str">
        <v>Management approach — Energy</v>
      </c>
    </row>
    <row r="183" spans="1:4" ht="16" customHeight="1" x14ac:dyDescent="0.2">
      <c r="A183" t="str">
        <v>Nomad</v>
      </c>
      <c r="B183" t="str">
        <v>E1</v>
      </c>
      <c r="C183" t="str">
        <v>E1-3</v>
      </c>
      <c r="D183" t="str">
        <v>Management approach — Energy</v>
      </c>
    </row>
    <row r="184" spans="1:4" ht="16" customHeight="1" x14ac:dyDescent="0.2">
      <c r="A184" t="str">
        <v>Nomad</v>
      </c>
      <c r="B184" t="str">
        <v>E1</v>
      </c>
      <c r="C184" t="str">
        <v>E1-4</v>
      </c>
      <c r="D184" t="str">
        <v>Management approach — Energy</v>
      </c>
    </row>
    <row r="185" spans="1:4" ht="16" customHeight="1" x14ac:dyDescent="0.2">
      <c r="A185" t="str">
        <v>Nomad</v>
      </c>
      <c r="B185" t="str">
        <v>E1</v>
      </c>
      <c r="C185" t="str">
        <v>E1-5</v>
      </c>
      <c r="D185" t="str">
        <v>Energy consumption within the organisation</v>
      </c>
    </row>
    <row r="186" spans="1:4" ht="16" customHeight="1" x14ac:dyDescent="0.2">
      <c r="A186" t="str">
        <v>Nomad</v>
      </c>
      <c r="B186" t="str">
        <v>E3</v>
      </c>
      <c r="C186" t="str">
        <v>E3-1</v>
      </c>
      <c r="D186" t="str">
        <v>Management approach — Water</v>
      </c>
    </row>
    <row r="187" spans="1:4" ht="16" customHeight="1" x14ac:dyDescent="0.2">
      <c r="A187" t="str">
        <v>Nomad</v>
      </c>
      <c r="B187" t="str">
        <v>E3</v>
      </c>
      <c r="C187" t="str">
        <v>E3-2</v>
      </c>
      <c r="D187" t="str">
        <v>Management approach — Water</v>
      </c>
    </row>
    <row r="188" spans="1:4" ht="16" customHeight="1" x14ac:dyDescent="0.2">
      <c r="A188" t="str">
        <v>Nomad</v>
      </c>
      <c r="B188" t="str">
        <v>E3</v>
      </c>
      <c r="C188" t="str">
        <v>E3-3</v>
      </c>
      <c r="D188" t="str">
        <v>Management approach — Water</v>
      </c>
    </row>
    <row r="189" spans="1:4" ht="16" customHeight="1" x14ac:dyDescent="0.2">
      <c r="A189" t="str">
        <v>Nomad</v>
      </c>
      <c r="B189" t="str">
        <v>E3</v>
      </c>
      <c r="C189" t="str">
        <v>E3-4</v>
      </c>
      <c r="D189" t="str">
        <v>Water withdrawal</v>
      </c>
    </row>
    <row r="190" spans="1:4" ht="16" customHeight="1" x14ac:dyDescent="0.2">
      <c r="A190" t="str">
        <v>Nomad</v>
      </c>
      <c r="B190" t="str">
        <v>E3</v>
      </c>
      <c r="C190" t="str">
        <v>E3-4</v>
      </c>
      <c r="D190" t="str">
        <v>Water discharge</v>
      </c>
    </row>
    <row r="191" spans="1:4" ht="16" customHeight="1" x14ac:dyDescent="0.2">
      <c r="A191" t="str">
        <v>Nomad</v>
      </c>
      <c r="B191" t="str">
        <v>E3</v>
      </c>
      <c r="C191" t="str">
        <v>E3-4</v>
      </c>
      <c r="D191" t="str">
        <v>Water consumption</v>
      </c>
    </row>
    <row r="192" spans="1:4" ht="16" customHeight="1" x14ac:dyDescent="0.2">
      <c r="A192" t="str">
        <v>Nomad</v>
      </c>
      <c r="B192" t="str">
        <v>E1</v>
      </c>
      <c r="C192" t="str">
        <v>E1-2</v>
      </c>
      <c r="D192" t="str">
        <v>Management approach — Emissions</v>
      </c>
    </row>
    <row r="193" spans="1:4" ht="16" customHeight="1" x14ac:dyDescent="0.2">
      <c r="A193" t="str">
        <v>Nomad</v>
      </c>
      <c r="B193" t="str">
        <v>E1</v>
      </c>
      <c r="C193" t="str">
        <v>E1-3</v>
      </c>
      <c r="D193" t="str">
        <v>Management approach — Emissions</v>
      </c>
    </row>
    <row r="194" spans="1:4" ht="16" customHeight="1" x14ac:dyDescent="0.2">
      <c r="A194" t="str">
        <v>Nomad</v>
      </c>
      <c r="B194" t="str">
        <v>E1</v>
      </c>
      <c r="C194" t="str">
        <v>E1-4</v>
      </c>
      <c r="D194" t="str">
        <v>Management approach — Emissions</v>
      </c>
    </row>
    <row r="195" spans="1:4" ht="16" customHeight="1" x14ac:dyDescent="0.2">
      <c r="A195" t="str">
        <v>Nomad</v>
      </c>
      <c r="B195" t="str">
        <v>E1</v>
      </c>
      <c r="C195" t="str">
        <v>E1-4</v>
      </c>
      <c r="D195" t="str">
        <v>Direct (Scope 1) GHG emissions</v>
      </c>
    </row>
    <row r="196" spans="1:4" ht="16" customHeight="1" x14ac:dyDescent="0.2">
      <c r="A196" t="str">
        <v>Nomad</v>
      </c>
      <c r="B196" t="str">
        <v>E1</v>
      </c>
      <c r="C196" t="str">
        <v>E1-6</v>
      </c>
      <c r="D196" t="str">
        <v>Direct (Scope 1) GHG emissions</v>
      </c>
    </row>
    <row r="197" spans="1:4" ht="16" customHeight="1" x14ac:dyDescent="0.2">
      <c r="A197" t="str">
        <v>Nomad</v>
      </c>
      <c r="B197" t="str">
        <v>E1</v>
      </c>
      <c r="C197" t="str">
        <v>E1-4</v>
      </c>
      <c r="D197" t="str">
        <v>Energy indirect (Scope 2) GHG emissions</v>
      </c>
    </row>
    <row r="198" spans="1:4" ht="16" customHeight="1" x14ac:dyDescent="0.2">
      <c r="A198" t="str">
        <v>Nomad</v>
      </c>
      <c r="B198" t="str">
        <v>E1</v>
      </c>
      <c r="C198" t="str">
        <v>E1-6</v>
      </c>
      <c r="D198" t="str">
        <v>Energy indirect (Scope 2) GHG emissions</v>
      </c>
    </row>
    <row r="199" spans="1:4" ht="16" customHeight="1" x14ac:dyDescent="0.2">
      <c r="A199" t="str">
        <v>Nomad</v>
      </c>
      <c r="B199" t="str">
        <v>E1</v>
      </c>
      <c r="C199" t="str">
        <v>E1-4</v>
      </c>
      <c r="D199" t="str">
        <v>Other indirect (Scope 3) GHG emissions</v>
      </c>
    </row>
    <row r="200" spans="1:4" ht="16" customHeight="1" x14ac:dyDescent="0.2">
      <c r="A200" t="str">
        <v>Nomad</v>
      </c>
      <c r="B200" t="str">
        <v>E1</v>
      </c>
      <c r="C200" t="str">
        <v>E1-6</v>
      </c>
      <c r="D200" t="str">
        <v>Other indirect (Scope 3) GHG emissions</v>
      </c>
    </row>
    <row r="201" spans="1:4" ht="16" customHeight="1" x14ac:dyDescent="0.2">
      <c r="A201" t="str">
        <v>Nomad</v>
      </c>
      <c r="B201" t="str">
        <v>E1</v>
      </c>
      <c r="C201" t="str">
        <v>E1-6</v>
      </c>
      <c r="D201" t="str">
        <v>GHG emissions intensity</v>
      </c>
    </row>
    <row r="202" spans="1:4" ht="16" customHeight="1" x14ac:dyDescent="0.2">
      <c r="A202" t="str">
        <v>Nomad</v>
      </c>
      <c r="B202" t="str">
        <v>E1</v>
      </c>
      <c r="C202" t="str">
        <v>E1-3</v>
      </c>
      <c r="D202" t="str">
        <v>Reduction of GHG emissions</v>
      </c>
    </row>
    <row r="203" spans="1:4" ht="16" customHeight="1" x14ac:dyDescent="0.2">
      <c r="A203" t="str">
        <v>Nomad</v>
      </c>
      <c r="B203" t="str">
        <v>E1</v>
      </c>
      <c r="C203" t="str">
        <v>E1-4</v>
      </c>
      <c r="D203" t="str">
        <v>Reduction of GHG emissions</v>
      </c>
    </row>
    <row r="204" spans="1:4" ht="16" customHeight="1" x14ac:dyDescent="0.2">
      <c r="A204" t="str">
        <v>Nomad</v>
      </c>
      <c r="B204" t="str">
        <v>E5</v>
      </c>
      <c r="C204" t="str">
        <v>E5-1</v>
      </c>
      <c r="D204" t="str">
        <v>Management approach — Waste</v>
      </c>
    </row>
    <row r="205" spans="1:4" ht="16" customHeight="1" x14ac:dyDescent="0.2">
      <c r="A205" t="str">
        <v>Nomad</v>
      </c>
      <c r="B205" t="str">
        <v>E5</v>
      </c>
      <c r="C205" t="str">
        <v>E5-2</v>
      </c>
      <c r="D205" t="str">
        <v>Management approach — Waste</v>
      </c>
    </row>
    <row r="206" spans="1:4" ht="16" customHeight="1" x14ac:dyDescent="0.2">
      <c r="A206" t="str">
        <v>Nomad</v>
      </c>
      <c r="B206" t="str">
        <v>E5</v>
      </c>
      <c r="C206" t="str">
        <v>E5-3</v>
      </c>
      <c r="D206" t="str">
        <v>Management approach — Waste</v>
      </c>
    </row>
    <row r="207" spans="1:4" ht="16" customHeight="1" x14ac:dyDescent="0.2">
      <c r="A207" t="str">
        <v>Nomad</v>
      </c>
      <c r="B207" t="str">
        <v>E5</v>
      </c>
      <c r="C207" t="str">
        <v>E5-4</v>
      </c>
      <c r="D207" t="str">
        <v>Operational waste profile and significant environmental impact</v>
      </c>
    </row>
    <row r="208" spans="1:4" ht="16" customHeight="1" x14ac:dyDescent="0.2">
      <c r="A208" t="str">
        <v>Nomad</v>
      </c>
      <c r="B208" t="str">
        <v>E5</v>
      </c>
      <c r="C208" t="str">
        <v>E5-2</v>
      </c>
      <c r="D208" t="str">
        <v>Management of significant waste related impacts</v>
      </c>
    </row>
    <row r="209" spans="1:6" ht="16" customHeight="1" x14ac:dyDescent="0.2">
      <c r="A209" t="str">
        <v>Nomad</v>
      </c>
      <c r="B209" t="str">
        <v>E5</v>
      </c>
      <c r="C209" t="str">
        <v>E5-5</v>
      </c>
      <c r="D209" t="str">
        <v>Management of significant waste related impacts</v>
      </c>
    </row>
    <row r="210" spans="1:6" ht="16" customHeight="1" x14ac:dyDescent="0.2">
      <c r="A210" t="str">
        <v>Nomad</v>
      </c>
      <c r="B210" t="str">
        <v>E5</v>
      </c>
      <c r="C210" t="str">
        <v>E5-5</v>
      </c>
      <c r="D210" t="str">
        <v>Waste generated</v>
      </c>
    </row>
    <row r="211" spans="1:6" ht="16" customHeight="1" x14ac:dyDescent="0.2">
      <c r="A211" t="str">
        <v>Nomad</v>
      </c>
      <c r="B211" t="str">
        <v>E5</v>
      </c>
      <c r="C211" t="str">
        <v>E5-5</v>
      </c>
      <c r="D211" t="str">
        <v>Waste diverted from disposal</v>
      </c>
    </row>
    <row r="212" spans="1:6" ht="16" customHeight="1" x14ac:dyDescent="0.2">
      <c r="A212" t="str">
        <v>Nomad</v>
      </c>
      <c r="B212" t="str">
        <v>E5</v>
      </c>
      <c r="C212" t="str">
        <v>E5-5</v>
      </c>
      <c r="D212" t="str">
        <v>Waste directed to disposal</v>
      </c>
    </row>
    <row r="213" spans="1:6" ht="16" customHeight="1" x14ac:dyDescent="0.2">
      <c r="A213" t="str">
        <v>Nomad</v>
      </c>
      <c r="B213" t="str">
        <v>S1</v>
      </c>
      <c r="C213" t="str">
        <v>S1-1</v>
      </c>
      <c r="D213" t="str">
        <v>Management approach — OHS</v>
      </c>
    </row>
    <row r="214" spans="1:6" ht="16" customHeight="1" x14ac:dyDescent="0.2">
      <c r="A214" t="str">
        <v>Nomad</v>
      </c>
      <c r="B214" t="str">
        <v>S1</v>
      </c>
      <c r="C214" t="str">
        <v>S1-4</v>
      </c>
      <c r="D214" t="str">
        <v>Management approach — OHS</v>
      </c>
    </row>
    <row r="215" spans="1:6" ht="16" customHeight="1" x14ac:dyDescent="0.2">
      <c r="A215" t="str">
        <v>Nomad</v>
      </c>
      <c r="B215" t="str">
        <v>S1</v>
      </c>
      <c r="C215" t="str">
        <v>S1-5</v>
      </c>
      <c r="D215" t="str">
        <v>Management approach — OHS</v>
      </c>
    </row>
    <row r="216" spans="1:6" ht="16" customHeight="1" x14ac:dyDescent="0.2">
      <c r="A216" t="str">
        <v>Nomad</v>
      </c>
      <c r="B216" t="str">
        <v>S1</v>
      </c>
      <c r="C216" t="str">
        <v>S1-3</v>
      </c>
      <c r="D216" t="str">
        <v>Hazard identification, risk assessment, and incident investigation</v>
      </c>
      <c r="F216" s="8"/>
    </row>
    <row r="217" spans="1:6" ht="16" customHeight="1" x14ac:dyDescent="0.2">
      <c r="A217" t="str">
        <v>Nomad</v>
      </c>
      <c r="B217" t="str">
        <v>S2</v>
      </c>
      <c r="C217" t="str">
        <v>S2-4</v>
      </c>
      <c r="D217" t="str">
        <v>Prevention and mitigation of OH&amp;S impacts linked by business relationships</v>
      </c>
      <c r="F217" s="8"/>
    </row>
    <row r="218" spans="1:6" ht="16" customHeight="1" x14ac:dyDescent="0.2">
      <c r="A218" t="str">
        <v>Nomad</v>
      </c>
      <c r="B218" t="str">
        <v>S1</v>
      </c>
      <c r="C218" t="str">
        <v>S1-4</v>
      </c>
      <c r="D218" t="str">
        <v>Work-related injuries</v>
      </c>
      <c r="F218" s="8"/>
    </row>
    <row r="219" spans="1:6" ht="16" customHeight="1" x14ac:dyDescent="0.2">
      <c r="A219" t="str">
        <v>Nomad</v>
      </c>
      <c r="B219" t="str">
        <v>S1</v>
      </c>
      <c r="C219" t="str">
        <v>S1-14</v>
      </c>
      <c r="D219" t="str">
        <v>Work-related injuries</v>
      </c>
      <c r="F219" s="8"/>
    </row>
    <row r="220" spans="1:6" ht="32" customHeight="1" x14ac:dyDescent="0.2">
      <c r="A220" t="str">
        <v>Nomad</v>
      </c>
      <c r="B220" t="str">
        <v>S1</v>
      </c>
      <c r="C220" t="str">
        <v>S1-1</v>
      </c>
      <c r="D220" t="str">
        <v>Management approach — Training</v>
      </c>
      <c r="F220" s="8"/>
    </row>
    <row r="221" spans="1:6" ht="32" customHeight="1" x14ac:dyDescent="0.2">
      <c r="A221" t="str">
        <v>Nomad</v>
      </c>
      <c r="B221" t="str">
        <v>S1</v>
      </c>
      <c r="C221" t="str">
        <v>S1-4</v>
      </c>
      <c r="D221" t="str">
        <v>Management approach — Training</v>
      </c>
      <c r="F221" s="8"/>
    </row>
    <row r="222" spans="1:6" ht="32" customHeight="1" x14ac:dyDescent="0.2">
      <c r="A222" t="str">
        <v>Nomad</v>
      </c>
      <c r="B222" t="str">
        <v>S1</v>
      </c>
      <c r="C222" t="str">
        <v>S1-5</v>
      </c>
      <c r="D222" t="str">
        <v>Management approach — Training</v>
      </c>
      <c r="F222" s="8"/>
    </row>
    <row r="223" spans="1:6" ht="32" customHeight="1" x14ac:dyDescent="0.2">
      <c r="A223" t="str">
        <v>Nomad</v>
      </c>
      <c r="B223" t="str">
        <v>S1</v>
      </c>
      <c r="C223" t="str">
        <v>S1-13</v>
      </c>
      <c r="D223" t="str">
        <v>Average hours of training per year per employee</v>
      </c>
      <c r="F223" s="8"/>
    </row>
    <row r="224" spans="1:6" ht="32" customHeight="1" x14ac:dyDescent="0.2">
      <c r="A224" t="str">
        <v>Nomad</v>
      </c>
      <c r="B224" t="str">
        <v>S1</v>
      </c>
      <c r="C224" t="str">
        <v>S1-1</v>
      </c>
      <c r="D224" t="str">
        <v>Programmes for upgrading employee skills and transition assistance programmes</v>
      </c>
      <c r="F224" s="8"/>
    </row>
    <row r="225" spans="1:6" ht="32" customHeight="1" x14ac:dyDescent="0.2">
      <c r="A225" t="str">
        <v>Nomad</v>
      </c>
      <c r="B225" t="str">
        <v>S1</v>
      </c>
      <c r="C225" t="str">
        <v>S1-1</v>
      </c>
      <c r="D225" t="str">
        <v>Management approach — Diversity</v>
      </c>
      <c r="F225" s="8"/>
    </row>
    <row r="226" spans="1:6" ht="16" customHeight="1" x14ac:dyDescent="0.2">
      <c r="A226" t="str">
        <v>Nomad</v>
      </c>
      <c r="B226" t="str">
        <v>S1</v>
      </c>
      <c r="C226" t="str">
        <v>S1-4</v>
      </c>
      <c r="D226" t="str">
        <v>Management approach — Diversity</v>
      </c>
      <c r="F226" s="8"/>
    </row>
    <row r="227" spans="1:6" ht="32" customHeight="1" x14ac:dyDescent="0.2">
      <c r="A227" t="str">
        <v>Nomad</v>
      </c>
      <c r="B227" t="str">
        <v>S1</v>
      </c>
      <c r="C227" t="str">
        <v>S1-5</v>
      </c>
      <c r="D227" t="str">
        <v>Management approach — Diversity</v>
      </c>
      <c r="F227" s="8"/>
    </row>
    <row r="228" spans="1:6" ht="32" customHeight="1" x14ac:dyDescent="0.2">
      <c r="A228" t="str">
        <v>Nomad</v>
      </c>
      <c r="B228" t="str">
        <v>S1</v>
      </c>
      <c r="C228" t="str">
        <v>S1-6</v>
      </c>
      <c r="D228" t="str">
        <v>Diversity of governance bodies and employees</v>
      </c>
      <c r="F228" s="8"/>
    </row>
    <row r="229" spans="1:6" ht="16" customHeight="1" x14ac:dyDescent="0.2">
      <c r="A229" t="str">
        <v>Nomad</v>
      </c>
      <c r="B229" t="str">
        <v>S1</v>
      </c>
      <c r="C229" t="str">
        <v>S1-9</v>
      </c>
      <c r="D229" t="str">
        <v>Diversity of governance bodies and employees</v>
      </c>
      <c r="F229" s="8"/>
    </row>
    <row r="230" spans="1:6" ht="16" customHeight="1" x14ac:dyDescent="0.2">
      <c r="A230" t="str">
        <v>Nomad</v>
      </c>
      <c r="B230" t="str">
        <v>S1</v>
      </c>
      <c r="C230" t="str">
        <v>S1-12</v>
      </c>
      <c r="D230" t="str">
        <v>Diversity of governance bodies and employees</v>
      </c>
      <c r="F230" s="8"/>
    </row>
    <row r="231" spans="1:6" ht="32" customHeight="1" x14ac:dyDescent="0.2">
      <c r="A231" t="str">
        <v>Nomad</v>
      </c>
      <c r="B231" t="str">
        <v>S1</v>
      </c>
      <c r="C231" t="str">
        <v>S1-1</v>
      </c>
      <c r="D231" t="str">
        <v>Operations and suppliers at significant risk of incidents of child labour</v>
      </c>
      <c r="F231" s="8"/>
    </row>
    <row r="232" spans="1:6" ht="16" customHeight="1" x14ac:dyDescent="0.2">
      <c r="A232" t="str">
        <v>Nomad</v>
      </c>
      <c r="B232" t="str">
        <v>S2</v>
      </c>
      <c r="C232" t="str">
        <v>S2-1</v>
      </c>
      <c r="D232" t="str">
        <v>Operations and suppliers at significant risk of incidents of child labour</v>
      </c>
      <c r="F232" s="8"/>
    </row>
    <row r="233" spans="1:6" ht="32" customHeight="1" x14ac:dyDescent="0.2">
      <c r="A233" t="str">
        <v>Nomad</v>
      </c>
      <c r="B233" t="str">
        <v>S1</v>
      </c>
      <c r="C233" t="str">
        <v>S1-1</v>
      </c>
      <c r="D233" t="str">
        <v>Operations and suppliers at significant risk for incidents of forced labour</v>
      </c>
      <c r="F233" s="8"/>
    </row>
    <row r="234" spans="1:6" ht="32" customHeight="1" x14ac:dyDescent="0.2">
      <c r="A234" t="str">
        <v>Nomad</v>
      </c>
      <c r="B234" t="str">
        <v>S2</v>
      </c>
      <c r="C234" t="str">
        <v>S2-1</v>
      </c>
      <c r="D234" t="str">
        <v>Operations and suppliers at significant risk for incidents of forced labour</v>
      </c>
      <c r="F234" s="8"/>
    </row>
    <row r="235" spans="1:6" ht="16" customHeight="1" x14ac:dyDescent="0.2">
      <c r="A235" t="str">
        <v>Nomad</v>
      </c>
      <c r="B235" t="str">
        <v>S1</v>
      </c>
      <c r="C235" t="str">
        <v>S1-1</v>
      </c>
      <c r="D235" t="str">
        <v>Employee training on human rights policies or procedures</v>
      </c>
      <c r="F235" s="8"/>
    </row>
    <row r="236" spans="1:6" ht="32" customHeight="1" x14ac:dyDescent="0.2">
      <c r="A236" t="str">
        <v>Nomad</v>
      </c>
      <c r="B236" t="str">
        <v>S2</v>
      </c>
      <c r="C236" t="str">
        <v>S2-1</v>
      </c>
      <c r="D236" t="str">
        <v>Management approach — Supplier social assessment</v>
      </c>
      <c r="F236" s="8"/>
    </row>
    <row r="237" spans="1:6" ht="32" customHeight="1" x14ac:dyDescent="0.2">
      <c r="A237" t="str">
        <v>Nomad</v>
      </c>
      <c r="B237" t="str">
        <v>S2</v>
      </c>
      <c r="C237" t="str">
        <v>S2-2</v>
      </c>
      <c r="D237" t="str">
        <v>Management approach — Supplier social assessment</v>
      </c>
      <c r="F237" s="8"/>
    </row>
    <row r="238" spans="1:6" ht="16" customHeight="1" x14ac:dyDescent="0.2">
      <c r="A238" t="str">
        <v>Nomad</v>
      </c>
      <c r="B238" t="str">
        <v>G1</v>
      </c>
      <c r="C238" t="str">
        <v>G1-2</v>
      </c>
      <c r="D238" t="str">
        <v>New suppliers screened using social criteria</v>
      </c>
      <c r="F238" s="8"/>
    </row>
    <row r="239" spans="1:6" ht="32" customHeight="1" x14ac:dyDescent="0.2">
      <c r="A239" t="str">
        <v>Nomad</v>
      </c>
      <c r="B239" t="str">
        <v>S4</v>
      </c>
      <c r="C239" t="str">
        <v>S4-1</v>
      </c>
      <c r="D239" t="str">
        <v>Management approach — Customer health and safety</v>
      </c>
      <c r="F239" s="8"/>
    </row>
    <row r="240" spans="1:6" ht="16" customHeight="1" x14ac:dyDescent="0.2">
      <c r="A240" t="str">
        <v>Nomad</v>
      </c>
      <c r="B240" t="str">
        <v>S4</v>
      </c>
      <c r="C240" t="str">
        <v>S4-2</v>
      </c>
      <c r="D240" t="str">
        <v>Management approach — Customer health and safety</v>
      </c>
      <c r="F240" s="8"/>
    </row>
    <row r="241" spans="1:6" ht="32" customHeight="1" x14ac:dyDescent="0.2">
      <c r="A241" t="str">
        <v>Nomad</v>
      </c>
      <c r="B241" t="str">
        <v>S4</v>
      </c>
      <c r="C241" t="str">
        <v>S4-4</v>
      </c>
      <c r="D241" t="str">
        <v>Management approach — Customer health and safety</v>
      </c>
      <c r="F241" s="8"/>
    </row>
    <row r="242" spans="1:6" ht="16" customHeight="1" x14ac:dyDescent="0.2">
      <c r="A242" t="str">
        <v>Nomad</v>
      </c>
      <c r="B242" t="str">
        <v>E4</v>
      </c>
      <c r="C242" t="str">
        <v>E4-1</v>
      </c>
      <c r="D242" t="str">
        <v>Management approach — Fish and seafood sourcing</v>
      </c>
      <c r="F242" s="8"/>
    </row>
    <row r="243" spans="1:6" ht="16" customHeight="1" x14ac:dyDescent="0.2">
      <c r="A243" t="str">
        <v>Nomad</v>
      </c>
      <c r="B243" t="str">
        <v>E4</v>
      </c>
      <c r="C243" t="str">
        <v>E4-2</v>
      </c>
      <c r="D243" t="str">
        <v>Management approach — Fish and seafood sourcing</v>
      </c>
      <c r="F243" s="8"/>
    </row>
    <row r="244" spans="1:6" ht="32" customHeight="1" x14ac:dyDescent="0.2">
      <c r="A244" t="str">
        <v>Nomad</v>
      </c>
      <c r="B244" t="str">
        <v>E4</v>
      </c>
      <c r="C244" t="str">
        <v>E4-1</v>
      </c>
      <c r="D244" t="str">
        <v>Management approach — Agriculture sourcing</v>
      </c>
      <c r="F244" s="8"/>
    </row>
    <row r="245" spans="1:6" ht="32" customHeight="1" x14ac:dyDescent="0.2">
      <c r="A245" t="str">
        <v>Nomad</v>
      </c>
      <c r="B245" t="str">
        <v>E4</v>
      </c>
      <c r="C245" t="str">
        <v>E4-2</v>
      </c>
      <c r="D245" t="str">
        <v>Management approach — Agriculture sourcing</v>
      </c>
      <c r="F245" s="8"/>
    </row>
    <row r="246" spans="1:6" ht="16" customHeight="1" x14ac:dyDescent="0.2">
      <c r="A246" t="str">
        <v>Nomad</v>
      </c>
      <c r="B246" t="str">
        <v>G1</v>
      </c>
      <c r="C246" t="str">
        <v>G1-1</v>
      </c>
      <c r="D246" t="str">
        <v>Management approach — Animal welfare</v>
      </c>
      <c r="F246" s="8"/>
    </row>
    <row r="247" spans="1:6" ht="16" customHeight="1" x14ac:dyDescent="0.2">
      <c r="A247" t="str">
        <v>Nomad</v>
      </c>
      <c r="B247" t="str">
        <v>S4</v>
      </c>
      <c r="C247" t="str">
        <v>S4-1</v>
      </c>
      <c r="D247" t="str">
        <v>Management approach — Health and nutrition</v>
      </c>
      <c r="F247" s="8"/>
    </row>
    <row r="248" spans="1:6" ht="16" customHeight="1" x14ac:dyDescent="0.2">
      <c r="A248" t="str">
        <v>Nomad</v>
      </c>
      <c r="B248" t="str">
        <v>S4</v>
      </c>
      <c r="C248" t="str">
        <v>S4-1</v>
      </c>
      <c r="D248" t="str">
        <v>Management approach — Ingredient selection</v>
      </c>
      <c r="F248" s="8"/>
    </row>
    <row r="249" spans="1:6" ht="16" customHeight="1" x14ac:dyDescent="0.2">
      <c r="A249" t="str">
        <v>Profand</v>
      </c>
      <c r="B249" t="str">
        <v>S1</v>
      </c>
      <c r="C249" t="str">
        <v>S1-6</v>
      </c>
      <c r="D249" t="str">
        <v>Employees</v>
      </c>
      <c r="F249" s="8"/>
    </row>
    <row r="250" spans="1:6" ht="32" customHeight="1" x14ac:dyDescent="0.2">
      <c r="A250" t="str">
        <v>Profand</v>
      </c>
      <c r="B250" t="str">
        <v>S1</v>
      </c>
      <c r="C250" t="str">
        <v>S1-7</v>
      </c>
      <c r="D250" t="str">
        <v>Non-employee workers</v>
      </c>
      <c r="F250" s="8"/>
    </row>
    <row r="251" spans="1:6" ht="16" customHeight="1" x14ac:dyDescent="0.2">
      <c r="A251" t="str">
        <v>Profand</v>
      </c>
      <c r="B251" t="str">
        <v>G1</v>
      </c>
      <c r="C251" t="str">
        <v>G1-3</v>
      </c>
      <c r="D251" t="str">
        <v>Delegation of responsibility for impact management</v>
      </c>
      <c r="F251" s="8"/>
    </row>
    <row r="252" spans="1:6" ht="16" customHeight="1" x14ac:dyDescent="0.2">
      <c r="A252" t="str">
        <v>Profand</v>
      </c>
      <c r="B252" t="str">
        <v>S1</v>
      </c>
      <c r="C252" t="str">
        <v>S1-16</v>
      </c>
      <c r="D252" t="str">
        <v>Total annual compensation ratio</v>
      </c>
      <c r="F252" s="8"/>
    </row>
    <row r="253" spans="1:6" ht="32" customHeight="1" x14ac:dyDescent="0.2">
      <c r="A253" t="str">
        <v>Profand</v>
      </c>
      <c r="B253" t="str">
        <v>S1</v>
      </c>
      <c r="C253" t="str">
        <v>S1-1</v>
      </c>
      <c r="D253" t="str">
        <v>Commitments and policies</v>
      </c>
      <c r="F253" s="8"/>
    </row>
    <row r="254" spans="1:6" ht="32" customHeight="1" x14ac:dyDescent="0.2">
      <c r="A254" t="str">
        <v>Profand</v>
      </c>
      <c r="B254" t="str">
        <v>S2</v>
      </c>
      <c r="C254" t="str">
        <v>S2-1</v>
      </c>
      <c r="D254" t="str">
        <v>Commitments and policies</v>
      </c>
      <c r="F254" s="8"/>
    </row>
    <row r="255" spans="1:6" ht="16" customHeight="1" x14ac:dyDescent="0.2">
      <c r="A255" t="str">
        <v>Profand</v>
      </c>
      <c r="B255" t="str">
        <v>G1</v>
      </c>
      <c r="C255" t="str">
        <v>G1-1</v>
      </c>
      <c r="D255" t="str">
        <v>Commitments and policies</v>
      </c>
      <c r="F255" s="8"/>
    </row>
    <row r="256" spans="1:6" ht="32" customHeight="1" x14ac:dyDescent="0.2">
      <c r="A256" t="str">
        <v>Profand</v>
      </c>
      <c r="B256" t="str">
        <v>G1</v>
      </c>
      <c r="C256" t="str">
        <v>G1-1</v>
      </c>
      <c r="D256" t="str">
        <v>Incorporating commitments and policies</v>
      </c>
      <c r="F256" s="8"/>
    </row>
    <row r="257" spans="1:6" ht="16" customHeight="1" x14ac:dyDescent="0.2">
      <c r="A257" t="str">
        <v>Profand</v>
      </c>
      <c r="B257" t="str">
        <v>S1</v>
      </c>
      <c r="C257" t="str">
        <v>S1-1</v>
      </c>
      <c r="D257" t="str">
        <v>Processes to remedy negative impacts</v>
      </c>
      <c r="F257" s="8"/>
    </row>
    <row r="258" spans="1:6" ht="32" customHeight="1" x14ac:dyDescent="0.2">
      <c r="A258" t="str">
        <v>Profand</v>
      </c>
      <c r="B258" t="str">
        <v>S1</v>
      </c>
      <c r="C258" t="str">
        <v>S1-3</v>
      </c>
      <c r="D258" t="str">
        <v>Processes to remedy negative impacts</v>
      </c>
      <c r="F258" s="8"/>
    </row>
    <row r="259" spans="1:6" ht="16" customHeight="1" x14ac:dyDescent="0.2">
      <c r="A259" t="str">
        <v>Profand</v>
      </c>
      <c r="B259" t="str">
        <v>S2</v>
      </c>
      <c r="C259" t="str">
        <v>S2-1</v>
      </c>
      <c r="D259" t="str">
        <v>Processes to remedy negative impacts</v>
      </c>
      <c r="F259" s="8"/>
    </row>
    <row r="260" spans="1:6" ht="16" customHeight="1" x14ac:dyDescent="0.2">
      <c r="A260" t="str">
        <v>Profand</v>
      </c>
      <c r="B260" t="str">
        <v>S2</v>
      </c>
      <c r="C260" t="str">
        <v>S2-3</v>
      </c>
      <c r="D260" t="str">
        <v>Processes to remedy negative impacts</v>
      </c>
      <c r="F260" s="8"/>
    </row>
    <row r="261" spans="1:6" ht="32" customHeight="1" x14ac:dyDescent="0.2">
      <c r="A261" t="str">
        <v>Profand</v>
      </c>
      <c r="B261" t="str">
        <v>S3</v>
      </c>
      <c r="C261" t="str">
        <v>S3-1</v>
      </c>
      <c r="D261" t="str">
        <v>Processes to remedy negative impacts</v>
      </c>
      <c r="F261" s="8"/>
    </row>
    <row r="262" spans="1:6" ht="16" customHeight="1" x14ac:dyDescent="0.2">
      <c r="A262" t="str">
        <v>Profand</v>
      </c>
      <c r="B262" t="str">
        <v>S4</v>
      </c>
      <c r="C262" t="str">
        <v>S4-1</v>
      </c>
      <c r="D262" t="str">
        <v>Processes to remedy negative impacts</v>
      </c>
      <c r="F262" s="8"/>
    </row>
    <row r="263" spans="1:6" ht="16" customHeight="1" x14ac:dyDescent="0.2">
      <c r="A263" t="str">
        <v>Profand</v>
      </c>
      <c r="B263" t="str">
        <v>S1</v>
      </c>
      <c r="C263" t="str">
        <v>S1-3</v>
      </c>
      <c r="D263" t="str">
        <v>Mechanisms for seeking advice and raising concerns</v>
      </c>
      <c r="F263" s="8"/>
    </row>
    <row r="264" spans="1:6" ht="16" customHeight="1" x14ac:dyDescent="0.2">
      <c r="A264" t="str">
        <v>Profand</v>
      </c>
      <c r="B264" t="str">
        <v>S2</v>
      </c>
      <c r="C264" t="str">
        <v>S2-3</v>
      </c>
      <c r="D264" t="str">
        <v>Mechanisms for seeking advice and raising concerns</v>
      </c>
      <c r="F264" s="8"/>
    </row>
    <row r="265" spans="1:6" ht="16" customHeight="1" x14ac:dyDescent="0.2">
      <c r="A265" t="str">
        <v>Profand</v>
      </c>
      <c r="B265" t="str">
        <v>G1</v>
      </c>
      <c r="C265" t="str">
        <v>G1-1</v>
      </c>
      <c r="D265" t="str">
        <v>Mechanisms for seeking advice and raising concerns</v>
      </c>
      <c r="F265" s="8"/>
    </row>
    <row r="266" spans="1:6" ht="32" customHeight="1" x14ac:dyDescent="0.2">
      <c r="A266" t="str">
        <v>Profand</v>
      </c>
      <c r="B266" t="str">
        <v>G1</v>
      </c>
      <c r="C266" t="str">
        <v>G1-3</v>
      </c>
      <c r="D266" t="str">
        <v>Mechanisms for seeking advice and raising concerns</v>
      </c>
      <c r="F266" s="8"/>
    </row>
    <row r="267" spans="1:6" ht="32" customHeight="1" x14ac:dyDescent="0.2">
      <c r="A267" t="str">
        <v>Profand</v>
      </c>
      <c r="B267" t="str">
        <v>E2</v>
      </c>
      <c r="C267" t="str">
        <v>E2-4</v>
      </c>
      <c r="D267" t="str">
        <v>Compliance with legislation and regulations</v>
      </c>
      <c r="F267" s="8"/>
    </row>
    <row r="268" spans="1:6" ht="16" customHeight="1" x14ac:dyDescent="0.2">
      <c r="A268" t="str">
        <v>Profand</v>
      </c>
      <c r="B268" t="str">
        <v>S1</v>
      </c>
      <c r="C268" t="str">
        <v>S1-17</v>
      </c>
      <c r="D268" t="str">
        <v>Compliance with legislation and regulations</v>
      </c>
      <c r="F268" s="8"/>
    </row>
    <row r="269" spans="1:6" ht="16" customHeight="1" x14ac:dyDescent="0.2">
      <c r="A269" t="str">
        <v>Profand</v>
      </c>
      <c r="B269" t="str">
        <v>G1</v>
      </c>
      <c r="C269" t="str">
        <v>G1-4</v>
      </c>
      <c r="D269" t="str">
        <v>Compliance with legislation and regulations</v>
      </c>
      <c r="F269" s="8"/>
    </row>
    <row r="270" spans="1:6" ht="32" customHeight="1" x14ac:dyDescent="0.2">
      <c r="A270" t="str">
        <v>Profand</v>
      </c>
      <c r="B270" t="str">
        <v>G1</v>
      </c>
      <c r="C270" t="str">
        <v>G1-5</v>
      </c>
      <c r="D270" t="str">
        <v>Membership of associations</v>
      </c>
      <c r="F270" s="8"/>
    </row>
    <row r="271" spans="1:6" ht="32" customHeight="1" x14ac:dyDescent="0.2">
      <c r="A271" t="str">
        <v>Profand</v>
      </c>
      <c r="B271" t="str">
        <v>S1</v>
      </c>
      <c r="C271" t="str">
        <v>S1-2</v>
      </c>
      <c r="D271" t="str">
        <v>Approach to stakeholder engagement</v>
      </c>
      <c r="F271" s="8"/>
    </row>
    <row r="272" spans="1:6" ht="16" customHeight="1" x14ac:dyDescent="0.2">
      <c r="A272" t="str">
        <v>Profand</v>
      </c>
      <c r="B272" t="str">
        <v>S2</v>
      </c>
      <c r="C272" t="str">
        <v>S2-2</v>
      </c>
      <c r="D272" t="str">
        <v>Approach to stakeholder engagement</v>
      </c>
      <c r="F272" s="8"/>
    </row>
    <row r="273" spans="1:6" ht="32" customHeight="1" x14ac:dyDescent="0.2">
      <c r="A273" t="str">
        <v>Profand</v>
      </c>
      <c r="B273" t="str">
        <v>S1</v>
      </c>
      <c r="C273" t="str">
        <v>S1-8</v>
      </c>
      <c r="D273" t="str">
        <v>Collective bargaining agreements</v>
      </c>
      <c r="F273" s="8"/>
    </row>
    <row r="274" spans="1:6" ht="32" customHeight="1" x14ac:dyDescent="0.2">
      <c r="A274" t="str">
        <v>Profand</v>
      </c>
      <c r="B274" t="str">
        <v>G1</v>
      </c>
      <c r="C274" t="str">
        <v>G1-1</v>
      </c>
      <c r="D274" t="str">
        <v>Animal health and welfare</v>
      </c>
      <c r="F274" s="8"/>
    </row>
    <row r="275" spans="1:6" ht="16" customHeight="1" x14ac:dyDescent="0.2">
      <c r="A275" t="str">
        <v>Profand</v>
      </c>
      <c r="B275" t="str">
        <v>S2</v>
      </c>
      <c r="C275" t="str">
        <v>S2-1</v>
      </c>
      <c r="D275" t="str">
        <v>Traceability in the supply chain</v>
      </c>
      <c r="F275" s="8"/>
    </row>
    <row r="276" spans="1:6" ht="16" customHeight="1" x14ac:dyDescent="0.2">
      <c r="A276" t="str">
        <v>Profand</v>
      </c>
      <c r="B276" t="str">
        <v>E5</v>
      </c>
      <c r="C276" t="str">
        <v>E5-4</v>
      </c>
      <c r="D276" t="str">
        <v>Materials used by weight or volume</v>
      </c>
      <c r="F276" s="8"/>
    </row>
    <row r="277" spans="1:6" ht="16" customHeight="1" x14ac:dyDescent="0.2">
      <c r="A277" t="str">
        <v>Profand</v>
      </c>
      <c r="B277" t="str">
        <v>E5</v>
      </c>
      <c r="C277" t="str">
        <v>E5-4</v>
      </c>
      <c r="D277" t="str">
        <v>Recycled inputs used</v>
      </c>
      <c r="F277" s="8"/>
    </row>
    <row r="278" spans="1:6" ht="16" customHeight="1" x14ac:dyDescent="0.2">
      <c r="A278" t="str">
        <v>Profand</v>
      </c>
      <c r="B278" t="str">
        <v>E3</v>
      </c>
      <c r="C278" t="str">
        <v>E3-2</v>
      </c>
      <c r="D278" t="str">
        <v>Interaction with water as a shared resource</v>
      </c>
      <c r="F278" s="8"/>
    </row>
    <row r="279" spans="1:6" ht="32" customHeight="1" x14ac:dyDescent="0.2">
      <c r="A279" t="str">
        <v>Profand</v>
      </c>
      <c r="B279" t="str">
        <v>E3</v>
      </c>
      <c r="C279" t="str">
        <v>E3-3</v>
      </c>
      <c r="D279" t="str">
        <v>Interaction with water as a shared resource</v>
      </c>
      <c r="F279" s="8"/>
    </row>
    <row r="280" spans="1:6" ht="16" customHeight="1" x14ac:dyDescent="0.2">
      <c r="A280" t="str">
        <v>Profand</v>
      </c>
      <c r="B280" t="str">
        <v>E2</v>
      </c>
      <c r="C280" t="str">
        <v>E2-3</v>
      </c>
      <c r="D280" t="str">
        <v>Management of impacts related to water discharges</v>
      </c>
      <c r="F280" s="8"/>
    </row>
    <row r="281" spans="1:6" ht="16" customHeight="1" x14ac:dyDescent="0.2">
      <c r="A281" t="str">
        <v>Profand</v>
      </c>
      <c r="B281" t="str">
        <v>E3</v>
      </c>
      <c r="C281" t="str">
        <v>E3-4</v>
      </c>
      <c r="D281" t="str">
        <v>Water consumption</v>
      </c>
      <c r="F281" s="8"/>
    </row>
    <row r="282" spans="1:6" ht="16" customHeight="1" x14ac:dyDescent="0.2">
      <c r="A282" t="str">
        <v>Profand</v>
      </c>
      <c r="B282" t="str">
        <v>E5</v>
      </c>
      <c r="C282" t="str">
        <v>E5-2</v>
      </c>
      <c r="D282" t="str">
        <v>Waste by type and disposal method</v>
      </c>
      <c r="F282" s="8"/>
    </row>
    <row r="283" spans="1:6" ht="16" customHeight="1" x14ac:dyDescent="0.2">
      <c r="A283" t="str">
        <v>Profand</v>
      </c>
      <c r="B283" t="str">
        <v>E5</v>
      </c>
      <c r="C283" t="str">
        <v>E5-5</v>
      </c>
      <c r="D283" t="str">
        <v>Waste by type and disposal method</v>
      </c>
      <c r="F283" s="8"/>
    </row>
    <row r="284" spans="1:6" ht="32" customHeight="1" x14ac:dyDescent="0.2">
      <c r="A284" t="str">
        <v>Profand</v>
      </c>
      <c r="B284" t="str">
        <v>E1</v>
      </c>
      <c r="C284" t="str">
        <v>E1-5</v>
      </c>
      <c r="D284" t="str">
        <v>Energy consumption within the organization</v>
      </c>
      <c r="F284" s="8"/>
    </row>
    <row r="285" spans="1:6" ht="16" customHeight="1" x14ac:dyDescent="0.2">
      <c r="A285" t="str">
        <v>Profand</v>
      </c>
      <c r="B285" t="str">
        <v>E1</v>
      </c>
      <c r="C285" t="str">
        <v>E1-5</v>
      </c>
      <c r="D285" t="str">
        <v>Energy intensity</v>
      </c>
      <c r="F285" s="8"/>
    </row>
    <row r="286" spans="1:6" ht="32" customHeight="1" x14ac:dyDescent="0.2">
      <c r="A286" t="str">
        <v>Profand</v>
      </c>
      <c r="B286" t="str">
        <v>E1</v>
      </c>
      <c r="C286" t="str">
        <v>E1-4</v>
      </c>
      <c r="D286" t="str">
        <v>Direct GHG emissions (Scope 1)</v>
      </c>
      <c r="F286" s="8"/>
    </row>
    <row r="287" spans="1:6" ht="16" customHeight="1" x14ac:dyDescent="0.2">
      <c r="A287" t="str">
        <v>Profand</v>
      </c>
      <c r="B287" t="str">
        <v>E1</v>
      </c>
      <c r="C287" t="str">
        <v>E1-6</v>
      </c>
      <c r="D287" t="str">
        <v>Direct GHG emissions (Scope 1)</v>
      </c>
    </row>
    <row r="288" spans="1:6" ht="16" customHeight="1" x14ac:dyDescent="0.2">
      <c r="A288" t="str">
        <v>Profand</v>
      </c>
      <c r="B288" t="str">
        <v>E1</v>
      </c>
      <c r="C288" t="str">
        <v>E1-4</v>
      </c>
      <c r="D288" t="str">
        <v>Energy-related indirect GHG emissions (Scope 2)</v>
      </c>
    </row>
    <row r="289" spans="1:4" ht="16" customHeight="1" x14ac:dyDescent="0.2">
      <c r="A289" t="str">
        <v>Profand</v>
      </c>
      <c r="B289" t="str">
        <v>E1</v>
      </c>
      <c r="C289" t="str">
        <v>E1-6</v>
      </c>
      <c r="D289" t="str">
        <v>Energy-related indirect GHG emissions (Scope 2)</v>
      </c>
    </row>
    <row r="290" spans="1:4" ht="16" customHeight="1" x14ac:dyDescent="0.2">
      <c r="A290" t="str">
        <v>Profand</v>
      </c>
      <c r="B290" t="str">
        <v>E1</v>
      </c>
      <c r="C290" t="str">
        <v>E1-4</v>
      </c>
      <c r="D290" t="str">
        <v>Other indirect GHG emissions (Scope 3)</v>
      </c>
    </row>
    <row r="291" spans="1:4" ht="16" customHeight="1" x14ac:dyDescent="0.2">
      <c r="A291" t="str">
        <v>Profand</v>
      </c>
      <c r="B291" t="str">
        <v>E1</v>
      </c>
      <c r="C291" t="str">
        <v>E1-6</v>
      </c>
      <c r="D291" t="str">
        <v>Other indirect GHG emissions (Scope 3)</v>
      </c>
    </row>
    <row r="292" spans="1:4" ht="16" customHeight="1" x14ac:dyDescent="0.2">
      <c r="A292" t="str">
        <v>Profand</v>
      </c>
      <c r="B292" t="str">
        <v>E4</v>
      </c>
      <c r="C292" t="str">
        <v>E4-5</v>
      </c>
      <c r="D292" t="str">
        <v>Operational sites owned, leased or managed within or adjacent to protected areas, or areas of high biodiversity value outside protected areas</v>
      </c>
    </row>
    <row r="293" spans="1:4" ht="16" customHeight="1" x14ac:dyDescent="0.2">
      <c r="A293" t="str">
        <v>Profand</v>
      </c>
      <c r="B293" t="str">
        <v>S3</v>
      </c>
      <c r="C293" t="str">
        <v>S3-1</v>
      </c>
      <c r="D293" t="str">
        <v>Cases of violations of the rights of indigenous peoples</v>
      </c>
    </row>
    <row r="294" spans="1:4" ht="16" customHeight="1" x14ac:dyDescent="0.2">
      <c r="A294" t="str">
        <v>Profand</v>
      </c>
      <c r="B294" t="str">
        <v>S3</v>
      </c>
      <c r="C294" t="str">
        <v>S3-4</v>
      </c>
      <c r="D294" t="str">
        <v>Cases of violations of the rights of indigenous peoples</v>
      </c>
    </row>
    <row r="295" spans="1:4" ht="16" customHeight="1" x14ac:dyDescent="0.2">
      <c r="A295" t="str">
        <v>Profand</v>
      </c>
      <c r="B295" t="str">
        <v>S3</v>
      </c>
      <c r="C295" t="str">
        <v>S3-2</v>
      </c>
      <c r="D295" t="str">
        <v>Operations with local community engagement, impact assessments and development programs</v>
      </c>
    </row>
    <row r="296" spans="1:4" ht="16" customHeight="1" x14ac:dyDescent="0.2">
      <c r="A296" t="str">
        <v>Profand</v>
      </c>
      <c r="B296" t="str">
        <v>S3</v>
      </c>
      <c r="C296" t="str">
        <v>S3-3</v>
      </c>
      <c r="D296" t="str">
        <v>Operations with local community engagement, impact assessments and development programs</v>
      </c>
    </row>
    <row r="297" spans="1:4" ht="16" customHeight="1" x14ac:dyDescent="0.2">
      <c r="A297" t="str">
        <v>Profand</v>
      </c>
      <c r="B297" t="str">
        <v>S3</v>
      </c>
      <c r="C297" t="str">
        <v>S3-4</v>
      </c>
      <c r="D297" t="str">
        <v>Operations with local community engagement, impact assessments and development programs</v>
      </c>
    </row>
    <row r="298" spans="1:4" ht="16" customHeight="1" x14ac:dyDescent="0.2">
      <c r="A298" t="str">
        <v>Profand</v>
      </c>
      <c r="B298" t="str">
        <v>S1</v>
      </c>
      <c r="C298" t="str">
        <v>S1-6</v>
      </c>
      <c r="D298" t="str">
        <v>Recruitment of new employees and staff turnover</v>
      </c>
    </row>
    <row r="299" spans="1:4" ht="16" customHeight="1" x14ac:dyDescent="0.2">
      <c r="A299" t="str">
        <v>Profand</v>
      </c>
      <c r="B299" t="str">
        <v>S1</v>
      </c>
      <c r="C299" t="str">
        <v>S1-15</v>
      </c>
      <c r="D299" t="str">
        <v>Parental leave</v>
      </c>
    </row>
    <row r="300" spans="1:4" ht="16" customHeight="1" x14ac:dyDescent="0.2">
      <c r="A300" t="str">
        <v>Profand</v>
      </c>
      <c r="B300" t="str">
        <v>S1</v>
      </c>
      <c r="C300" t="str">
        <v>S1-6</v>
      </c>
      <c r="D300" t="str">
        <v>Diversity of governing bodies and employees</v>
      </c>
    </row>
    <row r="301" spans="1:4" ht="16" customHeight="1" x14ac:dyDescent="0.2">
      <c r="A301" t="str">
        <v>Profand</v>
      </c>
      <c r="B301" t="str">
        <v>S1</v>
      </c>
      <c r="C301" t="str">
        <v>S1-9</v>
      </c>
      <c r="D301" t="str">
        <v>Diversity of governing bodies and employees</v>
      </c>
    </row>
    <row r="302" spans="1:4" ht="16" customHeight="1" x14ac:dyDescent="0.2">
      <c r="A302" t="str">
        <v>Profand</v>
      </c>
      <c r="B302" t="str">
        <v>S1</v>
      </c>
      <c r="C302" t="str">
        <v>S1-12</v>
      </c>
      <c r="D302" t="str">
        <v>Diversity of governing bodies and employees</v>
      </c>
    </row>
    <row r="303" spans="1:4" ht="16" customHeight="1" x14ac:dyDescent="0.2">
      <c r="A303" t="str">
        <v>Profand</v>
      </c>
      <c r="B303" t="str">
        <v>S1</v>
      </c>
      <c r="C303" t="str">
        <v>S1-16</v>
      </c>
      <c r="D303" t="str">
        <v>Ratio of basic salary and remuneration of women versus men</v>
      </c>
    </row>
    <row r="304" spans="1:4" ht="16" customHeight="1" x14ac:dyDescent="0.2">
      <c r="A304" t="str">
        <v>Profand</v>
      </c>
      <c r="B304" t="str">
        <v>S1</v>
      </c>
      <c r="C304" t="str">
        <v>S1-1</v>
      </c>
      <c r="D304" t="str">
        <v>Occupational health and safety management system</v>
      </c>
    </row>
    <row r="305" spans="1:6" ht="16" customHeight="1" x14ac:dyDescent="0.2">
      <c r="A305" t="str">
        <v>Profand</v>
      </c>
      <c r="B305" t="str">
        <v>S1</v>
      </c>
      <c r="C305" t="str">
        <v>S1-3</v>
      </c>
      <c r="D305" t="str">
        <v>Hazard identification, risk assessment and incident investigation</v>
      </c>
      <c r="F305" s="9"/>
    </row>
    <row r="306" spans="1:6" ht="16" customHeight="1" x14ac:dyDescent="0.2">
      <c r="A306" t="str">
        <v>Profand</v>
      </c>
      <c r="B306" t="str">
        <v>S1</v>
      </c>
      <c r="C306" t="str">
        <v>S1-1</v>
      </c>
      <c r="D306" t="str">
        <v>Occupational health services</v>
      </c>
      <c r="F306" s="9"/>
    </row>
    <row r="307" spans="1:6" ht="16" customHeight="1" x14ac:dyDescent="0.2">
      <c r="A307" t="str">
        <v>Profand</v>
      </c>
      <c r="B307" t="str">
        <v>S1</v>
      </c>
      <c r="C307" t="str">
        <v>S1-4</v>
      </c>
      <c r="D307" t="str">
        <v>Work-related injuries</v>
      </c>
    </row>
    <row r="308" spans="1:6" ht="16" customHeight="1" x14ac:dyDescent="0.2">
      <c r="A308" t="str">
        <v>Profand</v>
      </c>
      <c r="B308" t="str">
        <v>S1</v>
      </c>
      <c r="C308" t="str">
        <v>S1-14</v>
      </c>
      <c r="D308" t="str">
        <v>Work-related injuries</v>
      </c>
    </row>
    <row r="309" spans="1:6" ht="16" customHeight="1" x14ac:dyDescent="0.2">
      <c r="A309" t="str">
        <v>Profand</v>
      </c>
      <c r="B309" t="str">
        <v>S1</v>
      </c>
      <c r="C309" t="str">
        <v>S1-4</v>
      </c>
      <c r="D309" t="str">
        <v>Occupational diseases and illnesses</v>
      </c>
    </row>
    <row r="310" spans="1:6" ht="16" customHeight="1" x14ac:dyDescent="0.2">
      <c r="A310" t="str">
        <v>Profand</v>
      </c>
      <c r="B310" t="str">
        <v>S1</v>
      </c>
      <c r="C310" t="str">
        <v>S1-14</v>
      </c>
      <c r="D310" t="str">
        <v>Occupational diseases and illnesses</v>
      </c>
    </row>
    <row r="311" spans="1:6" ht="16" customHeight="1" x14ac:dyDescent="0.2">
      <c r="A311" t="str">
        <v>Profand</v>
      </c>
      <c r="B311" t="str">
        <v>S1</v>
      </c>
      <c r="C311" t="str">
        <v>S1-13</v>
      </c>
      <c r="D311" t="str">
        <v>Average hours of training per employee per year</v>
      </c>
    </row>
    <row r="312" spans="1:6" ht="16" customHeight="1" x14ac:dyDescent="0.2">
      <c r="A312" t="str">
        <v>Profand</v>
      </c>
      <c r="B312" t="str">
        <v>S1</v>
      </c>
      <c r="C312" t="str">
        <v>S1-1</v>
      </c>
      <c r="D312" t="str">
        <v>Employee skills enhancement program and transition assistance programs</v>
      </c>
    </row>
    <row r="313" spans="1:6" ht="16" customHeight="1" x14ac:dyDescent="0.2">
      <c r="A313" t="str">
        <v>Profand</v>
      </c>
      <c r="B313" t="str">
        <v>S4</v>
      </c>
      <c r="C313" t="str">
        <v>S4-4</v>
      </c>
      <c r="D313" t="str">
        <v>Cases of non-compliance relating to the health and safety impacts of product and service categories</v>
      </c>
    </row>
    <row r="314" spans="1:6" ht="16" customHeight="1" x14ac:dyDescent="0.2">
      <c r="A314" t="str">
        <v>Profand</v>
      </c>
      <c r="B314" t="str">
        <v>S4</v>
      </c>
      <c r="C314" t="str">
        <v>S4-4</v>
      </c>
      <c r="D314" t="str">
        <v>Cases of non-compliance concerning health and safety impacts of product and service categories</v>
      </c>
    </row>
    <row r="315" spans="1:6" ht="16" customHeight="1" x14ac:dyDescent="0.2">
      <c r="A315" t="str">
        <v>Profand</v>
      </c>
      <c r="B315" t="str">
        <v>G1</v>
      </c>
      <c r="C315" t="str">
        <v>G1-3</v>
      </c>
      <c r="D315" t="str">
        <v>Communication and training on anti-corruption policies and procedures</v>
      </c>
    </row>
    <row r="316" spans="1:6" ht="16" customHeight="1" x14ac:dyDescent="0.2">
      <c r="A316" t="str">
        <v>Profand</v>
      </c>
      <c r="B316" t="str">
        <v>G1</v>
      </c>
      <c r="C316" t="str">
        <v>G1-4</v>
      </c>
      <c r="D316" t="str">
        <v>Confirmed incidents of corruption and measures taken</v>
      </c>
    </row>
    <row r="317" spans="1:6" ht="16" customHeight="1" x14ac:dyDescent="0.2">
      <c r="A317" t="str">
        <v>Profand</v>
      </c>
      <c r="B317" t="str">
        <v>S1</v>
      </c>
      <c r="C317" t="str">
        <v>S1-17</v>
      </c>
      <c r="D317" t="str">
        <v>Cases of discrimination and corrective actions taken</v>
      </c>
    </row>
    <row r="318" spans="1:6" ht="16" customHeight="1" x14ac:dyDescent="0.2">
      <c r="A318" t="str">
        <v>Profand</v>
      </c>
      <c r="B318" t="str">
        <v>S1</v>
      </c>
      <c r="C318" t="str">
        <v>S1-1</v>
      </c>
      <c r="D318" t="str">
        <v>Operations and suppliers with significant risk of child labor cases</v>
      </c>
    </row>
    <row r="319" spans="1:6" ht="16" customHeight="1" x14ac:dyDescent="0.2">
      <c r="A319" t="str">
        <v>Profand</v>
      </c>
      <c r="B319" t="str">
        <v>S2</v>
      </c>
      <c r="C319" t="str">
        <v>S2-1</v>
      </c>
      <c r="D319" t="str">
        <v>Operations and suppliers with significant risk of child labor cases</v>
      </c>
    </row>
    <row r="320" spans="1:6" ht="16" customHeight="1" x14ac:dyDescent="0.2">
      <c r="A320" t="str">
        <v>Profand</v>
      </c>
      <c r="B320" t="str">
        <v>S1</v>
      </c>
      <c r="C320" t="str">
        <v>S1-1</v>
      </c>
      <c r="D320" t="str">
        <v>Operations and suppliers with significant risk of cases of forced or compulsory labor</v>
      </c>
    </row>
    <row r="321" spans="1:4" ht="16" customHeight="1" x14ac:dyDescent="0.2">
      <c r="A321" t="str">
        <v>Profand</v>
      </c>
      <c r="B321" t="str">
        <v>S2</v>
      </c>
      <c r="C321" t="str">
        <v>S2-1</v>
      </c>
      <c r="D321" t="str">
        <v>Operations and suppliers with significant risk of cases of forced or compulsory labor</v>
      </c>
    </row>
    <row r="322" spans="1:4" ht="16" customHeight="1" x14ac:dyDescent="0.2">
      <c r="A322" t="str">
        <v>Profand</v>
      </c>
      <c r="B322" t="str">
        <v>G1</v>
      </c>
      <c r="C322" t="str">
        <v>G1-5</v>
      </c>
      <c r="D322" t="str">
        <v>Political contributions</v>
      </c>
    </row>
    <row r="323" spans="1:4" ht="16" customHeight="1" x14ac:dyDescent="0.2">
      <c r="A323" t="str">
        <v>Profand</v>
      </c>
      <c r="B323" t="str">
        <v>S4</v>
      </c>
      <c r="C323" t="str">
        <v>S4-3</v>
      </c>
      <c r="D323" t="str">
        <v>Substantiated complaints regarding breaches of customer privacy and loss of customer data</v>
      </c>
    </row>
    <row r="324" spans="1:4" ht="16" customHeight="1" x14ac:dyDescent="0.2">
      <c r="A324" t="str">
        <v>Profand</v>
      </c>
      <c r="B324" t="str">
        <v>S4</v>
      </c>
      <c r="C324" t="str">
        <v>S4-4</v>
      </c>
      <c r="D324" t="str">
        <v>Substantiated complaints regarding breaches of customer privacy and loss of customer data</v>
      </c>
    </row>
    <row r="325" spans="1:4" ht="16" customHeight="1" x14ac:dyDescent="0.2"/>
    <row r="326" spans="1:4" ht="16" customHeight="1" x14ac:dyDescent="0.2"/>
    <row r="327" spans="1:4" ht="16" customHeight="1" x14ac:dyDescent="0.2"/>
    <row r="328" spans="1:4" ht="16" customHeight="1" x14ac:dyDescent="0.2"/>
    <row r="329" spans="1:4" ht="16" customHeight="1" x14ac:dyDescent="0.2"/>
    <row r="330" spans="1:4" ht="16" customHeight="1" x14ac:dyDescent="0.2"/>
    <row r="331" spans="1:4" ht="16" customHeight="1" x14ac:dyDescent="0.2"/>
    <row r="332" spans="1:4" ht="16" customHeight="1" x14ac:dyDescent="0.2"/>
    <row r="333" spans="1:4" ht="16" customHeight="1" x14ac:dyDescent="0.2"/>
    <row r="334" spans="1:4" ht="16" customHeight="1" x14ac:dyDescent="0.2"/>
    <row r="335" spans="1:4" ht="16" customHeight="1" x14ac:dyDescent="0.2"/>
    <row r="336" spans="1:4" ht="16" customHeight="1" x14ac:dyDescent="0.2"/>
    <row r="337" spans="6:6" ht="16" customHeight="1" x14ac:dyDescent="0.2">
      <c r="F337" s="9"/>
    </row>
    <row r="338" spans="6:6" ht="16" customHeight="1" x14ac:dyDescent="0.2"/>
    <row r="339" spans="6:6" ht="16" customHeight="1" x14ac:dyDescent="0.2"/>
    <row r="340" spans="6:6" ht="16" customHeight="1" x14ac:dyDescent="0.2"/>
    <row r="341" spans="6:6" ht="16" customHeight="1" x14ac:dyDescent="0.2"/>
    <row r="342" spans="6:6" ht="16" customHeight="1" x14ac:dyDescent="0.2"/>
    <row r="343" spans="6:6" ht="16" customHeight="1" x14ac:dyDescent="0.2"/>
    <row r="344" spans="6:6" ht="16" customHeight="1" x14ac:dyDescent="0.2"/>
    <row r="345" spans="6:6" ht="16" customHeight="1" x14ac:dyDescent="0.2"/>
    <row r="346" spans="6:6" ht="16" customHeight="1" x14ac:dyDescent="0.2"/>
    <row r="347" spans="6:6" ht="16" customHeight="1" x14ac:dyDescent="0.2"/>
    <row r="348" spans="6:6" ht="16" customHeight="1" x14ac:dyDescent="0.2"/>
    <row r="349" spans="6:6" ht="16" customHeight="1" x14ac:dyDescent="0.2"/>
    <row r="350" spans="6:6" ht="16" customHeight="1" x14ac:dyDescent="0.2"/>
    <row r="351" spans="6:6" ht="16" customHeight="1" x14ac:dyDescent="0.2"/>
    <row r="352" spans="6:6" ht="16" customHeight="1" x14ac:dyDescent="0.2"/>
    <row r="353" spans="6:6" ht="16" customHeight="1" x14ac:dyDescent="0.2"/>
    <row r="354" spans="6:6" ht="16" customHeight="1" x14ac:dyDescent="0.2"/>
    <row r="355" spans="6:6" ht="16" customHeight="1" x14ac:dyDescent="0.2"/>
    <row r="356" spans="6:6" ht="16" customHeight="1" x14ac:dyDescent="0.2"/>
    <row r="357" spans="6:6" ht="16" customHeight="1" x14ac:dyDescent="0.2"/>
    <row r="358" spans="6:6" ht="16" customHeight="1" x14ac:dyDescent="0.2"/>
    <row r="359" spans="6:6" ht="16" customHeight="1" x14ac:dyDescent="0.2"/>
    <row r="360" spans="6:6" ht="16" customHeight="1" x14ac:dyDescent="0.2"/>
    <row r="361" spans="6:6" ht="16" customHeight="1" x14ac:dyDescent="0.2">
      <c r="F361" s="10"/>
    </row>
    <row r="362" spans="6:6" ht="16" customHeight="1" x14ac:dyDescent="0.2"/>
    <row r="363" spans="6:6" ht="16" customHeight="1" x14ac:dyDescent="0.2"/>
    <row r="364" spans="6:6" ht="16" customHeight="1" x14ac:dyDescent="0.2"/>
    <row r="365" spans="6:6" ht="16" customHeight="1" x14ac:dyDescent="0.2"/>
    <row r="366" spans="6:6" ht="16" customHeight="1" x14ac:dyDescent="0.2">
      <c r="F366" s="10"/>
    </row>
    <row r="367" spans="6:6" ht="16" customHeight="1" x14ac:dyDescent="0.2"/>
    <row r="368" spans="6:6" ht="16" customHeight="1" x14ac:dyDescent="0.2">
      <c r="F368" s="10"/>
    </row>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spans="5:6" ht="16" customHeight="1" x14ac:dyDescent="0.2"/>
    <row r="386" spans="5:6" ht="16" customHeight="1" x14ac:dyDescent="0.2"/>
    <row r="387" spans="5:6" ht="16" customHeight="1" x14ac:dyDescent="0.2"/>
    <row r="388" spans="5:6" ht="16" customHeight="1" x14ac:dyDescent="0.2"/>
    <row r="389" spans="5:6" ht="16" customHeight="1" x14ac:dyDescent="0.2"/>
    <row r="390" spans="5:6" ht="16" customHeight="1" x14ac:dyDescent="0.2">
      <c r="E390" s="8"/>
      <c r="F390" s="8"/>
    </row>
    <row r="391" spans="5:6" ht="16" customHeight="1" x14ac:dyDescent="0.2">
      <c r="E391" s="8"/>
      <c r="F391" s="8"/>
    </row>
    <row r="392" spans="5:6" ht="16" customHeight="1" x14ac:dyDescent="0.2">
      <c r="E392" s="8"/>
      <c r="F392" s="8"/>
    </row>
    <row r="393" spans="5:6" ht="16" customHeight="1" x14ac:dyDescent="0.2">
      <c r="E393" s="8"/>
      <c r="F393" s="8"/>
    </row>
    <row r="394" spans="5:6" ht="16" customHeight="1" x14ac:dyDescent="0.2">
      <c r="E394" s="8"/>
      <c r="F394" s="8"/>
    </row>
    <row r="395" spans="5:6" ht="16" customHeight="1" x14ac:dyDescent="0.2">
      <c r="E395" s="8"/>
      <c r="F395" s="8"/>
    </row>
    <row r="396" spans="5:6" ht="16" customHeight="1" x14ac:dyDescent="0.2">
      <c r="E396" s="8"/>
      <c r="F396" s="8"/>
    </row>
    <row r="397" spans="5:6" ht="16" customHeight="1" x14ac:dyDescent="0.2">
      <c r="E397" s="8"/>
      <c r="F397" s="8"/>
    </row>
    <row r="398" spans="5:6" ht="16" customHeight="1" x14ac:dyDescent="0.2">
      <c r="E398" s="8"/>
      <c r="F398" s="8"/>
    </row>
    <row r="399" spans="5:6" ht="16" customHeight="1" x14ac:dyDescent="0.2">
      <c r="E399" s="8"/>
      <c r="F399" s="8"/>
    </row>
    <row r="400" spans="5:6" ht="16" customHeight="1" x14ac:dyDescent="0.2">
      <c r="E400" s="8"/>
      <c r="F400" s="8"/>
    </row>
    <row r="401" spans="5:6" ht="16" customHeight="1" x14ac:dyDescent="0.2">
      <c r="E401" s="8"/>
      <c r="F401" s="8"/>
    </row>
    <row r="402" spans="5:6" ht="16" customHeight="1" x14ac:dyDescent="0.2">
      <c r="E402" s="8"/>
      <c r="F402" s="8"/>
    </row>
    <row r="403" spans="5:6" ht="16" customHeight="1" x14ac:dyDescent="0.2">
      <c r="E403" s="8"/>
      <c r="F403" s="8"/>
    </row>
    <row r="404" spans="5:6" ht="16" customHeight="1" x14ac:dyDescent="0.2">
      <c r="E404" s="8"/>
      <c r="F404" s="8"/>
    </row>
    <row r="405" spans="5:6" ht="32" customHeight="1" x14ac:dyDescent="0.2">
      <c r="E405" s="8"/>
      <c r="F405" s="8"/>
    </row>
    <row r="406" spans="5:6" ht="16" customHeight="1" x14ac:dyDescent="0.2">
      <c r="E406" s="8"/>
      <c r="F406" s="8"/>
    </row>
    <row r="407" spans="5:6" ht="16" customHeight="1" x14ac:dyDescent="0.2">
      <c r="E407" s="8"/>
      <c r="F407" s="8"/>
    </row>
    <row r="408" spans="5:6" ht="16" customHeight="1" x14ac:dyDescent="0.2">
      <c r="E408" s="8"/>
      <c r="F408" s="8"/>
    </row>
    <row r="409" spans="5:6" ht="16" customHeight="1" x14ac:dyDescent="0.2">
      <c r="E409" s="8"/>
      <c r="F409" s="8"/>
    </row>
    <row r="410" spans="5:6" ht="16" customHeight="1" x14ac:dyDescent="0.2">
      <c r="E410" s="8"/>
      <c r="F410" s="8"/>
    </row>
    <row r="411" spans="5:6" ht="16" customHeight="1" x14ac:dyDescent="0.2">
      <c r="E411" s="8"/>
      <c r="F411" s="8"/>
    </row>
    <row r="412" spans="5:6" ht="16" customHeight="1" x14ac:dyDescent="0.2">
      <c r="E412" s="8"/>
      <c r="F412" s="8"/>
    </row>
    <row r="413" spans="5:6" ht="16" customHeight="1" x14ac:dyDescent="0.2">
      <c r="E413" s="8"/>
      <c r="F413" s="8"/>
    </row>
    <row r="414" spans="5:6" ht="16" customHeight="1" x14ac:dyDescent="0.2">
      <c r="E414" s="8"/>
      <c r="F414" s="8"/>
    </row>
    <row r="415" spans="5:6" ht="16" customHeight="1" x14ac:dyDescent="0.2">
      <c r="E415" s="8"/>
      <c r="F415" s="8"/>
    </row>
    <row r="416" spans="5:6" ht="16" customHeight="1" x14ac:dyDescent="0.2">
      <c r="E416" s="8"/>
      <c r="F416" s="8"/>
    </row>
    <row r="417" spans="5:6" ht="16" customHeight="1" x14ac:dyDescent="0.2">
      <c r="E417" s="8"/>
      <c r="F417" s="8"/>
    </row>
    <row r="418" spans="5:6" ht="16" customHeight="1" x14ac:dyDescent="0.2">
      <c r="E418" s="8"/>
      <c r="F418" s="8"/>
    </row>
    <row r="419" spans="5:6" ht="32" customHeight="1" x14ac:dyDescent="0.2">
      <c r="E419" s="8"/>
      <c r="F419" s="8"/>
    </row>
    <row r="420" spans="5:6" ht="16" customHeight="1" x14ac:dyDescent="0.2">
      <c r="E420" s="8"/>
      <c r="F420" s="8"/>
    </row>
    <row r="421" spans="5:6" ht="32" customHeight="1" x14ac:dyDescent="0.2">
      <c r="E421" s="8"/>
      <c r="F421" s="8"/>
    </row>
    <row r="422" spans="5:6" ht="16" customHeight="1" x14ac:dyDescent="0.2">
      <c r="E422" s="8"/>
      <c r="F422" s="8"/>
    </row>
    <row r="423" spans="5:6" ht="16" customHeight="1" x14ac:dyDescent="0.2">
      <c r="E423" s="8"/>
      <c r="F423" s="8"/>
    </row>
    <row r="424" spans="5:6" ht="16" customHeight="1" x14ac:dyDescent="0.2">
      <c r="E424" s="8"/>
      <c r="F424" s="8"/>
    </row>
    <row r="425" spans="5:6" ht="16" customHeight="1" x14ac:dyDescent="0.2">
      <c r="E425" s="8"/>
      <c r="F425" s="8"/>
    </row>
    <row r="426" spans="5:6" ht="16" customHeight="1" x14ac:dyDescent="0.2">
      <c r="E426" s="8"/>
      <c r="F426" s="8"/>
    </row>
    <row r="427" spans="5:6" ht="16" customHeight="1" x14ac:dyDescent="0.2">
      <c r="E427" s="8"/>
      <c r="F427" s="8"/>
    </row>
    <row r="428" spans="5:6" ht="16" customHeight="1" x14ac:dyDescent="0.2">
      <c r="E428" s="8"/>
      <c r="F428" s="8"/>
    </row>
    <row r="429" spans="5:6" ht="16" customHeight="1" x14ac:dyDescent="0.2">
      <c r="E429" s="8"/>
      <c r="F429" s="8"/>
    </row>
    <row r="430" spans="5:6" ht="16" customHeight="1" x14ac:dyDescent="0.2">
      <c r="E430" s="8"/>
      <c r="F430" s="8"/>
    </row>
    <row r="431" spans="5:6" ht="16" customHeight="1" x14ac:dyDescent="0.2">
      <c r="E431" s="8"/>
      <c r="F431" s="8"/>
    </row>
    <row r="432" spans="5:6" ht="16" customHeight="1" x14ac:dyDescent="0.2">
      <c r="E432" s="8"/>
      <c r="F432" s="8"/>
    </row>
    <row r="433" spans="5:6" ht="16" customHeight="1" x14ac:dyDescent="0.2">
      <c r="E433" s="8"/>
      <c r="F433" s="8"/>
    </row>
    <row r="434" spans="5:6" ht="32" customHeight="1" x14ac:dyDescent="0.2">
      <c r="E434" s="8"/>
      <c r="F434" s="8"/>
    </row>
    <row r="435" spans="5:6" ht="16" customHeight="1" x14ac:dyDescent="0.2">
      <c r="E435" s="8"/>
      <c r="F435" s="8"/>
    </row>
    <row r="436" spans="5:6" ht="16" customHeight="1" x14ac:dyDescent="0.2">
      <c r="E436" s="8"/>
      <c r="F436" s="8"/>
    </row>
    <row r="437" spans="5:6" ht="16" customHeight="1" x14ac:dyDescent="0.2">
      <c r="E437" s="8"/>
      <c r="F437" s="8"/>
    </row>
    <row r="438" spans="5:6" ht="16" customHeight="1" x14ac:dyDescent="0.2">
      <c r="E438" s="8"/>
      <c r="F438" s="8"/>
    </row>
    <row r="439" spans="5:6" ht="16" customHeight="1" x14ac:dyDescent="0.2">
      <c r="E439" s="8"/>
      <c r="F439" s="8"/>
    </row>
    <row r="440" spans="5:6" ht="16" customHeight="1" x14ac:dyDescent="0.2">
      <c r="E440" s="8"/>
      <c r="F440" s="8"/>
    </row>
    <row r="441" spans="5:6" ht="16" customHeight="1" x14ac:dyDescent="0.2">
      <c r="E441" s="8"/>
      <c r="F441" s="8"/>
    </row>
    <row r="442" spans="5:6" ht="16" customHeight="1" x14ac:dyDescent="0.2">
      <c r="E442" s="8"/>
      <c r="F442" s="8"/>
    </row>
    <row r="443" spans="5:6" ht="16" customHeight="1" x14ac:dyDescent="0.2">
      <c r="E443" s="8"/>
      <c r="F443" s="8"/>
    </row>
    <row r="444" spans="5:6" ht="16" customHeight="1" x14ac:dyDescent="0.2">
      <c r="E444" s="8"/>
      <c r="F444" s="8"/>
    </row>
    <row r="445" spans="5:6" ht="16" customHeight="1" x14ac:dyDescent="0.2">
      <c r="E445" s="8"/>
      <c r="F445" s="8"/>
    </row>
    <row r="446" spans="5:6" ht="16" customHeight="1" x14ac:dyDescent="0.2">
      <c r="E446" s="8"/>
      <c r="F446" s="8"/>
    </row>
    <row r="447" spans="5:6" ht="16" customHeight="1" x14ac:dyDescent="0.2">
      <c r="E447" s="8"/>
      <c r="F447" s="8"/>
    </row>
    <row r="448" spans="5:6" ht="16" customHeight="1" x14ac:dyDescent="0.2">
      <c r="E448" s="8"/>
      <c r="F448" s="8"/>
    </row>
    <row r="449" spans="5:6" ht="32" customHeight="1" x14ac:dyDescent="0.2">
      <c r="E449" s="8"/>
      <c r="F449" s="8"/>
    </row>
    <row r="450" spans="5:6" ht="16" customHeight="1" x14ac:dyDescent="0.2">
      <c r="E450" s="8"/>
      <c r="F450" s="8"/>
    </row>
    <row r="451" spans="5:6" ht="16" customHeight="1" x14ac:dyDescent="0.2">
      <c r="E451" s="8"/>
      <c r="F451" s="8"/>
    </row>
    <row r="452" spans="5:6" ht="16" customHeight="1" x14ac:dyDescent="0.2">
      <c r="E452" s="8"/>
      <c r="F452" s="8"/>
    </row>
    <row r="453" spans="5:6" ht="16" customHeight="1" x14ac:dyDescent="0.2">
      <c r="E453" s="8"/>
      <c r="F453" s="8"/>
    </row>
    <row r="454" spans="5:6" ht="16" customHeight="1" x14ac:dyDescent="0.2">
      <c r="E454" s="8"/>
      <c r="F454" s="8"/>
    </row>
    <row r="455" spans="5:6" ht="16" customHeight="1" x14ac:dyDescent="0.2">
      <c r="E455" s="8"/>
      <c r="F455" s="8"/>
    </row>
    <row r="456" spans="5:6" ht="16" customHeight="1" x14ac:dyDescent="0.2">
      <c r="E456" s="8"/>
      <c r="F456" s="8"/>
    </row>
    <row r="457" spans="5:6" ht="16" customHeight="1" x14ac:dyDescent="0.2">
      <c r="E457" s="8"/>
      <c r="F457" s="8"/>
    </row>
    <row r="458" spans="5:6" ht="32" customHeight="1" x14ac:dyDescent="0.2">
      <c r="E458" s="8"/>
      <c r="F458" s="8"/>
    </row>
    <row r="459" spans="5:6" ht="16" customHeight="1" x14ac:dyDescent="0.2">
      <c r="E459" s="8"/>
      <c r="F459" s="8"/>
    </row>
    <row r="460" spans="5:6" ht="16" customHeight="1" x14ac:dyDescent="0.2">
      <c r="E460" s="8"/>
      <c r="F460" s="8"/>
    </row>
    <row r="461" spans="5:6" ht="16" customHeight="1" x14ac:dyDescent="0.2">
      <c r="E461" s="8"/>
      <c r="F461" s="8"/>
    </row>
    <row r="462" spans="5:6" ht="16" customHeight="1" x14ac:dyDescent="0.2">
      <c r="E462" s="8"/>
      <c r="F462" s="8"/>
    </row>
    <row r="463" spans="5:6" ht="16" customHeight="1" x14ac:dyDescent="0.2">
      <c r="E463" s="8"/>
      <c r="F463" s="8"/>
    </row>
    <row r="464" spans="5:6" ht="16" customHeight="1" x14ac:dyDescent="0.2">
      <c r="E464" s="8"/>
      <c r="F464" s="8"/>
    </row>
    <row r="465" spans="5:6" ht="16" customHeight="1" x14ac:dyDescent="0.2">
      <c r="E465" s="8"/>
      <c r="F465" s="8"/>
    </row>
    <row r="466" spans="5:6" ht="16" customHeight="1" x14ac:dyDescent="0.2">
      <c r="E466" s="8"/>
      <c r="F466" s="8"/>
    </row>
    <row r="467" spans="5:6" ht="16" customHeight="1" x14ac:dyDescent="0.2">
      <c r="E467" s="8"/>
      <c r="F467" s="8"/>
    </row>
    <row r="468" spans="5:6" ht="16" customHeight="1" x14ac:dyDescent="0.2">
      <c r="E468" s="8"/>
      <c r="F468" s="8"/>
    </row>
    <row r="469" spans="5:6" ht="16" customHeight="1" x14ac:dyDescent="0.2">
      <c r="E469" s="8"/>
      <c r="F469" s="8"/>
    </row>
    <row r="470" spans="5:6" ht="16" customHeight="1" x14ac:dyDescent="0.2">
      <c r="E470" s="8"/>
      <c r="F470" s="8"/>
    </row>
    <row r="471" spans="5:6" ht="16" customHeight="1" x14ac:dyDescent="0.2">
      <c r="E471" s="8"/>
      <c r="F471" s="8"/>
    </row>
    <row r="472" spans="5:6" ht="32" customHeight="1" x14ac:dyDescent="0.2">
      <c r="E472" s="8"/>
      <c r="F472" s="8"/>
    </row>
    <row r="473" spans="5:6" ht="16" customHeight="1" x14ac:dyDescent="0.2">
      <c r="E473" s="8"/>
      <c r="F473" s="8"/>
    </row>
    <row r="474" spans="5:6" ht="32" customHeight="1" x14ac:dyDescent="0.2">
      <c r="E474" s="8"/>
      <c r="F474" s="8"/>
    </row>
    <row r="475" spans="5:6" ht="16" customHeight="1" x14ac:dyDescent="0.2">
      <c r="E475" s="8"/>
      <c r="F475" s="8"/>
    </row>
    <row r="476" spans="5:6" ht="32" customHeight="1" x14ac:dyDescent="0.2">
      <c r="E476" s="8"/>
      <c r="F476" s="8"/>
    </row>
    <row r="477" spans="5:6" ht="16" customHeight="1" x14ac:dyDescent="0.2">
      <c r="E477" s="8"/>
      <c r="F477" s="8"/>
    </row>
    <row r="478" spans="5:6" ht="16" customHeight="1" x14ac:dyDescent="0.2">
      <c r="E478" s="8"/>
      <c r="F478" s="8"/>
    </row>
    <row r="479" spans="5:6" ht="16" customHeight="1" x14ac:dyDescent="0.2">
      <c r="E479" s="8"/>
      <c r="F479" s="8"/>
    </row>
    <row r="480" spans="5:6" ht="16" customHeight="1" x14ac:dyDescent="0.2">
      <c r="E480" s="8"/>
      <c r="F480" s="8"/>
    </row>
    <row r="481" spans="5:6" ht="16" customHeight="1" x14ac:dyDescent="0.2">
      <c r="E481" s="8"/>
      <c r="F481" s="8"/>
    </row>
    <row r="482" spans="5:6" ht="16" customHeight="1" x14ac:dyDescent="0.2">
      <c r="E482" s="8"/>
      <c r="F482" s="8"/>
    </row>
    <row r="483" spans="5:6" ht="16" customHeight="1" x14ac:dyDescent="0.2">
      <c r="E483" s="8"/>
      <c r="F483" s="8"/>
    </row>
    <row r="484" spans="5:6" ht="16" customHeight="1" x14ac:dyDescent="0.2">
      <c r="E484" s="8"/>
      <c r="F484" s="8"/>
    </row>
    <row r="485" spans="5:6" ht="32" customHeight="1" x14ac:dyDescent="0.2">
      <c r="E485" s="8"/>
      <c r="F485" s="8"/>
    </row>
    <row r="486" spans="5:6" ht="16" customHeight="1" x14ac:dyDescent="0.2">
      <c r="E486" s="8"/>
      <c r="F486" s="8"/>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R1501"/>
  <sheetViews>
    <sheetView showGridLines="0" tabSelected="1" workbookViewId="0">
      <pane ySplit="1" topLeftCell="A2" activePane="bottomLeft" state="frozen"/>
      <selection pane="bottomLeft" activeCell="G12" sqref="G12"/>
    </sheetView>
  </sheetViews>
  <sheetFormatPr baseColWidth="10" defaultColWidth="8.83203125" defaultRowHeight="15" x14ac:dyDescent="0.2"/>
  <cols>
    <col min="1" max="1" width="12" customWidth="1"/>
    <col min="2" max="2" width="24" customWidth="1"/>
    <col min="3" max="3" width="13.33203125" customWidth="1"/>
    <col min="4" max="4" width="58.6640625" customWidth="1"/>
    <col min="5" max="5" width="15.6640625" customWidth="1"/>
    <col min="6" max="6" width="28" customWidth="1"/>
    <col min="7" max="7" width="66.33203125" customWidth="1"/>
    <col min="8" max="8" width="8" customWidth="1"/>
    <col min="9" max="9" width="14" customWidth="1"/>
    <col min="10" max="10" width="48" customWidth="1"/>
    <col min="11" max="11" width="14" customWidth="1"/>
    <col min="12" max="12" width="18" customWidth="1"/>
    <col min="13" max="13" width="12" customWidth="1"/>
    <col min="14" max="14" width="28" customWidth="1"/>
    <col min="15" max="16" width="16" customWidth="1"/>
    <col min="17" max="17" width="32" customWidth="1"/>
    <col min="18" max="18" width="20" hidden="1" customWidth="1"/>
  </cols>
  <sheetData>
    <row r="1" spans="1:7" ht="32" customHeight="1" x14ac:dyDescent="0.2">
      <c r="A1" s="26" t="s">
        <v>3873</v>
      </c>
      <c r="B1" s="27" t="s">
        <v>4913</v>
      </c>
      <c r="C1" s="27" t="s">
        <v>3889</v>
      </c>
      <c r="D1" s="27" t="s">
        <v>4914</v>
      </c>
      <c r="E1" s="27" t="s">
        <v>4968</v>
      </c>
      <c r="F1" s="27" t="s">
        <v>4915</v>
      </c>
      <c r="G1" s="35" t="s">
        <v>4967</v>
      </c>
    </row>
    <row r="2" spans="1:7" x14ac:dyDescent="0.2">
      <c r="A2" s="28" t="s">
        <v>3885</v>
      </c>
      <c r="B2" s="29" t="s">
        <v>4916</v>
      </c>
      <c r="C2" s="29">
        <v>2025</v>
      </c>
      <c r="D2" s="29" t="s">
        <v>4918</v>
      </c>
      <c r="E2" s="29"/>
      <c r="F2" s="29"/>
      <c r="G2" t="s">
        <v>4966</v>
      </c>
    </row>
    <row r="3" spans="1:7" x14ac:dyDescent="0.2">
      <c r="A3" s="30" t="s">
        <v>3881</v>
      </c>
      <c r="B3" s="29" t="s">
        <v>4917</v>
      </c>
      <c r="C3" s="29">
        <v>2024</v>
      </c>
      <c r="D3" s="29" t="s">
        <v>4918</v>
      </c>
      <c r="E3" s="29">
        <v>2025</v>
      </c>
      <c r="F3" s="29" t="s">
        <v>4920</v>
      </c>
    </row>
    <row r="4" spans="1:7" x14ac:dyDescent="0.2">
      <c r="A4" s="28" t="s">
        <v>3882</v>
      </c>
      <c r="B4" s="29" t="s">
        <v>4917</v>
      </c>
      <c r="C4" s="29">
        <v>2024</v>
      </c>
      <c r="D4" s="29" t="s">
        <v>4918</v>
      </c>
      <c r="E4" s="29">
        <v>2025</v>
      </c>
      <c r="F4" s="29" t="s">
        <v>4921</v>
      </c>
    </row>
    <row r="5" spans="1:7" x14ac:dyDescent="0.2">
      <c r="A5" s="30" t="s">
        <v>3888</v>
      </c>
      <c r="B5" s="29" t="s">
        <v>4917</v>
      </c>
      <c r="C5" s="29">
        <v>2024</v>
      </c>
      <c r="D5" s="29" t="s">
        <v>4919</v>
      </c>
      <c r="E5" s="29"/>
      <c r="F5" s="29" t="s">
        <v>4965</v>
      </c>
    </row>
    <row r="6" spans="1:7" x14ac:dyDescent="0.2">
      <c r="A6" s="28" t="s">
        <v>3886</v>
      </c>
      <c r="B6" s="29" t="s">
        <v>4917</v>
      </c>
      <c r="C6" s="29">
        <v>2024</v>
      </c>
      <c r="D6" s="29" t="s">
        <v>4919</v>
      </c>
      <c r="E6" s="29"/>
      <c r="F6" s="29"/>
    </row>
    <row r="7" spans="1:7" x14ac:dyDescent="0.2">
      <c r="A7" s="33" t="s">
        <v>4964</v>
      </c>
      <c r="B7" s="34" t="s">
        <v>4917</v>
      </c>
      <c r="C7" s="34">
        <v>2024</v>
      </c>
      <c r="D7" s="29" t="s">
        <v>4972</v>
      </c>
      <c r="E7" s="29"/>
      <c r="F7" s="29" t="s">
        <v>4973</v>
      </c>
      <c r="G7" t="s">
        <v>4974</v>
      </c>
    </row>
    <row r="8" spans="1:7" x14ac:dyDescent="0.2">
      <c r="F8" s="36"/>
    </row>
    <row r="13" spans="1:7" x14ac:dyDescent="0.2">
      <c r="A13" t="s">
        <v>4970</v>
      </c>
    </row>
    <row r="14" spans="1:7" x14ac:dyDescent="0.2">
      <c r="A14" t="s">
        <v>4969</v>
      </c>
    </row>
    <row r="15" spans="1:7" x14ac:dyDescent="0.2">
      <c r="A15" t="s">
        <v>4971</v>
      </c>
    </row>
    <row r="688" spans="1:6" x14ac:dyDescent="0.2">
      <c r="A688" s="28" t="s">
        <v>3891</v>
      </c>
      <c r="B688" s="29"/>
      <c r="C688" s="29"/>
      <c r="D688" s="29"/>
      <c r="E688" s="29"/>
      <c r="F688" s="29"/>
    </row>
    <row r="689" spans="1:6" x14ac:dyDescent="0.2">
      <c r="A689" s="30" t="s">
        <v>3892</v>
      </c>
      <c r="B689" s="29"/>
      <c r="C689" s="29"/>
      <c r="D689" s="29"/>
      <c r="E689" s="29"/>
      <c r="F689" s="29"/>
    </row>
    <row r="690" spans="1:6" x14ac:dyDescent="0.2">
      <c r="A690" s="28" t="s">
        <v>3893</v>
      </c>
      <c r="B690" s="29"/>
      <c r="C690" s="29"/>
      <c r="D690" s="29"/>
      <c r="E690" s="29"/>
      <c r="F690" s="29"/>
    </row>
    <row r="691" spans="1:6" x14ac:dyDescent="0.2">
      <c r="A691" s="30" t="s">
        <v>3894</v>
      </c>
      <c r="B691" s="29"/>
      <c r="C691" s="29"/>
      <c r="D691" s="29"/>
      <c r="E691" s="29"/>
      <c r="F691" s="29"/>
    </row>
    <row r="692" spans="1:6" x14ac:dyDescent="0.2">
      <c r="A692" s="28" t="s">
        <v>3895</v>
      </c>
      <c r="B692" s="29"/>
      <c r="C692" s="29"/>
      <c r="D692" s="29"/>
      <c r="E692" s="29"/>
      <c r="F692" s="29"/>
    </row>
    <row r="693" spans="1:6" x14ac:dyDescent="0.2">
      <c r="A693" s="30" t="s">
        <v>3896</v>
      </c>
      <c r="B693" s="29"/>
      <c r="C693" s="29"/>
      <c r="D693" s="29"/>
      <c r="E693" s="29"/>
      <c r="F693" s="29"/>
    </row>
    <row r="694" spans="1:6" x14ac:dyDescent="0.2">
      <c r="A694" s="28" t="s">
        <v>3897</v>
      </c>
      <c r="B694" s="29"/>
      <c r="C694" s="29"/>
      <c r="D694" s="29"/>
      <c r="E694" s="29"/>
      <c r="F694" s="29"/>
    </row>
    <row r="695" spans="1:6" x14ac:dyDescent="0.2">
      <c r="A695" s="30" t="s">
        <v>3898</v>
      </c>
      <c r="B695" s="29"/>
      <c r="C695" s="29"/>
      <c r="D695" s="29"/>
      <c r="E695" s="29"/>
      <c r="F695" s="29"/>
    </row>
    <row r="696" spans="1:6" x14ac:dyDescent="0.2">
      <c r="A696" s="28" t="s">
        <v>3899</v>
      </c>
      <c r="B696" s="29"/>
      <c r="C696" s="29"/>
      <c r="D696" s="29"/>
      <c r="E696" s="29"/>
      <c r="F696" s="29"/>
    </row>
    <row r="697" spans="1:6" x14ac:dyDescent="0.2">
      <c r="A697" s="30" t="s">
        <v>3900</v>
      </c>
      <c r="B697" s="29"/>
      <c r="C697" s="29"/>
      <c r="D697" s="29"/>
      <c r="E697" s="29"/>
      <c r="F697" s="29"/>
    </row>
    <row r="698" spans="1:6" x14ac:dyDescent="0.2">
      <c r="A698" s="28" t="s">
        <v>3901</v>
      </c>
      <c r="B698" s="29"/>
      <c r="C698" s="29"/>
      <c r="D698" s="29"/>
      <c r="E698" s="29"/>
      <c r="F698" s="29"/>
    </row>
    <row r="699" spans="1:6" x14ac:dyDescent="0.2">
      <c r="A699" s="30" t="s">
        <v>3902</v>
      </c>
      <c r="B699" s="29"/>
      <c r="C699" s="29"/>
      <c r="D699" s="29"/>
      <c r="E699" s="29"/>
      <c r="F699" s="29"/>
    </row>
    <row r="700" spans="1:6" x14ac:dyDescent="0.2">
      <c r="A700" s="28" t="s">
        <v>3903</v>
      </c>
      <c r="B700" s="29"/>
      <c r="C700" s="29"/>
      <c r="D700" s="29"/>
      <c r="E700" s="29"/>
      <c r="F700" s="29"/>
    </row>
    <row r="701" spans="1:6" x14ac:dyDescent="0.2">
      <c r="A701" s="30" t="s">
        <v>3904</v>
      </c>
      <c r="B701" s="29"/>
      <c r="C701" s="29"/>
      <c r="D701" s="29"/>
      <c r="E701" s="29"/>
      <c r="F701" s="29"/>
    </row>
    <row r="702" spans="1:6" x14ac:dyDescent="0.2">
      <c r="A702" s="28" t="s">
        <v>3905</v>
      </c>
      <c r="B702" s="29"/>
      <c r="C702" s="29"/>
      <c r="D702" s="29"/>
      <c r="E702" s="29"/>
      <c r="F702" s="29"/>
    </row>
    <row r="703" spans="1:6" x14ac:dyDescent="0.2">
      <c r="A703" s="30" t="s">
        <v>3906</v>
      </c>
      <c r="B703" s="29"/>
      <c r="C703" s="29"/>
      <c r="D703" s="29"/>
      <c r="E703" s="29"/>
      <c r="F703" s="29"/>
    </row>
    <row r="704" spans="1:6" x14ac:dyDescent="0.2">
      <c r="A704" s="28" t="s">
        <v>3907</v>
      </c>
      <c r="B704" s="29"/>
      <c r="C704" s="29"/>
      <c r="D704" s="29"/>
      <c r="E704" s="29"/>
      <c r="F704" s="29"/>
    </row>
    <row r="705" spans="1:6" x14ac:dyDescent="0.2">
      <c r="A705" s="30" t="s">
        <v>3908</v>
      </c>
      <c r="B705" s="29"/>
      <c r="C705" s="29"/>
      <c r="D705" s="29"/>
      <c r="E705" s="29"/>
      <c r="F705" s="29"/>
    </row>
    <row r="706" spans="1:6" x14ac:dyDescent="0.2">
      <c r="A706" s="28" t="s">
        <v>3909</v>
      </c>
      <c r="B706" s="29"/>
      <c r="C706" s="29"/>
      <c r="D706" s="29"/>
      <c r="E706" s="29"/>
      <c r="F706" s="29"/>
    </row>
    <row r="707" spans="1:6" x14ac:dyDescent="0.2">
      <c r="A707" s="30" t="s">
        <v>3910</v>
      </c>
      <c r="B707" s="29"/>
      <c r="C707" s="29"/>
      <c r="D707" s="29"/>
      <c r="E707" s="29"/>
      <c r="F707" s="29"/>
    </row>
    <row r="708" spans="1:6" x14ac:dyDescent="0.2">
      <c r="A708" s="28" t="s">
        <v>3911</v>
      </c>
      <c r="B708" s="29"/>
      <c r="C708" s="29"/>
      <c r="D708" s="29"/>
      <c r="E708" s="29"/>
      <c r="F708" s="29"/>
    </row>
    <row r="709" spans="1:6" x14ac:dyDescent="0.2">
      <c r="A709" s="30" t="s">
        <v>3912</v>
      </c>
      <c r="B709" s="29"/>
      <c r="C709" s="29"/>
      <c r="D709" s="29"/>
      <c r="E709" s="29"/>
      <c r="F709" s="29"/>
    </row>
    <row r="710" spans="1:6" x14ac:dyDescent="0.2">
      <c r="A710" s="28" t="s">
        <v>3913</v>
      </c>
      <c r="B710" s="29"/>
      <c r="C710" s="29"/>
      <c r="D710" s="29"/>
      <c r="E710" s="29"/>
      <c r="F710" s="29"/>
    </row>
    <row r="711" spans="1:6" x14ac:dyDescent="0.2">
      <c r="A711" s="30" t="s">
        <v>3914</v>
      </c>
      <c r="B711" s="29"/>
      <c r="C711" s="29"/>
      <c r="D711" s="29"/>
      <c r="E711" s="29"/>
      <c r="F711" s="29"/>
    </row>
    <row r="712" spans="1:6" x14ac:dyDescent="0.2">
      <c r="A712" s="28" t="s">
        <v>3915</v>
      </c>
      <c r="B712" s="29"/>
      <c r="C712" s="29"/>
      <c r="D712" s="29"/>
      <c r="E712" s="29"/>
      <c r="F712" s="29"/>
    </row>
    <row r="713" spans="1:6" x14ac:dyDescent="0.2">
      <c r="A713" s="30" t="s">
        <v>3916</v>
      </c>
      <c r="B713" s="29"/>
      <c r="C713" s="29"/>
      <c r="D713" s="29"/>
      <c r="E713" s="29"/>
      <c r="F713" s="29"/>
    </row>
    <row r="714" spans="1:6" x14ac:dyDescent="0.2">
      <c r="A714" s="28" t="s">
        <v>3917</v>
      </c>
      <c r="B714" s="29"/>
      <c r="C714" s="29"/>
      <c r="D714" s="29"/>
      <c r="E714" s="29"/>
      <c r="F714" s="29"/>
    </row>
    <row r="715" spans="1:6" x14ac:dyDescent="0.2">
      <c r="A715" s="30" t="s">
        <v>3918</v>
      </c>
      <c r="B715" s="29"/>
      <c r="C715" s="29"/>
      <c r="D715" s="29"/>
      <c r="E715" s="29"/>
      <c r="F715" s="29"/>
    </row>
    <row r="716" spans="1:6" x14ac:dyDescent="0.2">
      <c r="A716" s="28" t="s">
        <v>3919</v>
      </c>
      <c r="B716" s="29"/>
      <c r="C716" s="29"/>
      <c r="D716" s="29"/>
      <c r="E716" s="29"/>
      <c r="F716" s="29"/>
    </row>
    <row r="717" spans="1:6" x14ac:dyDescent="0.2">
      <c r="A717" s="30" t="s">
        <v>3920</v>
      </c>
      <c r="B717" s="29"/>
      <c r="C717" s="29"/>
      <c r="D717" s="29"/>
      <c r="E717" s="29"/>
      <c r="F717" s="29"/>
    </row>
    <row r="718" spans="1:6" x14ac:dyDescent="0.2">
      <c r="A718" s="28" t="s">
        <v>3921</v>
      </c>
      <c r="B718" s="29"/>
      <c r="C718" s="29"/>
      <c r="D718" s="29"/>
      <c r="E718" s="29"/>
      <c r="F718" s="29"/>
    </row>
    <row r="719" spans="1:6" x14ac:dyDescent="0.2">
      <c r="A719" s="30" t="s">
        <v>3922</v>
      </c>
      <c r="B719" s="29"/>
      <c r="C719" s="29"/>
      <c r="D719" s="29"/>
      <c r="E719" s="29"/>
      <c r="F719" s="29"/>
    </row>
    <row r="720" spans="1:6" x14ac:dyDescent="0.2">
      <c r="A720" s="28" t="s">
        <v>3923</v>
      </c>
      <c r="B720" s="29"/>
      <c r="C720" s="29"/>
      <c r="D720" s="29"/>
      <c r="E720" s="29"/>
      <c r="F720" s="29"/>
    </row>
    <row r="721" spans="1:6" x14ac:dyDescent="0.2">
      <c r="A721" s="30" t="s">
        <v>3924</v>
      </c>
      <c r="B721" s="29"/>
      <c r="C721" s="29"/>
      <c r="D721" s="29"/>
      <c r="E721" s="29"/>
      <c r="F721" s="29"/>
    </row>
    <row r="722" spans="1:6" x14ac:dyDescent="0.2">
      <c r="A722" s="28" t="s">
        <v>3925</v>
      </c>
      <c r="B722" s="29"/>
      <c r="C722" s="29"/>
      <c r="D722" s="29"/>
      <c r="E722" s="29"/>
      <c r="F722" s="29"/>
    </row>
    <row r="723" spans="1:6" x14ac:dyDescent="0.2">
      <c r="A723" s="30" t="s">
        <v>3926</v>
      </c>
      <c r="B723" s="29"/>
      <c r="C723" s="29"/>
      <c r="D723" s="29"/>
      <c r="E723" s="29"/>
      <c r="F723" s="29"/>
    </row>
    <row r="724" spans="1:6" x14ac:dyDescent="0.2">
      <c r="A724" s="28" t="s">
        <v>3927</v>
      </c>
      <c r="B724" s="29"/>
      <c r="C724" s="29"/>
      <c r="D724" s="29"/>
      <c r="E724" s="29"/>
      <c r="F724" s="29"/>
    </row>
    <row r="725" spans="1:6" x14ac:dyDescent="0.2">
      <c r="A725" s="30" t="s">
        <v>3928</v>
      </c>
      <c r="B725" s="29"/>
      <c r="C725" s="29"/>
      <c r="D725" s="29"/>
      <c r="E725" s="29"/>
      <c r="F725" s="29"/>
    </row>
    <row r="726" spans="1:6" x14ac:dyDescent="0.2">
      <c r="A726" s="28" t="s">
        <v>3929</v>
      </c>
      <c r="B726" s="29"/>
      <c r="C726" s="29"/>
      <c r="D726" s="29"/>
      <c r="E726" s="29"/>
      <c r="F726" s="29"/>
    </row>
    <row r="727" spans="1:6" x14ac:dyDescent="0.2">
      <c r="A727" s="30" t="s">
        <v>3930</v>
      </c>
      <c r="B727" s="29"/>
      <c r="C727" s="29"/>
      <c r="D727" s="29"/>
      <c r="E727" s="29"/>
      <c r="F727" s="29"/>
    </row>
    <row r="728" spans="1:6" x14ac:dyDescent="0.2">
      <c r="A728" s="28" t="s">
        <v>3931</v>
      </c>
      <c r="B728" s="29"/>
      <c r="C728" s="29"/>
      <c r="D728" s="29"/>
      <c r="E728" s="29"/>
      <c r="F728" s="29"/>
    </row>
    <row r="729" spans="1:6" x14ac:dyDescent="0.2">
      <c r="A729" s="30" t="s">
        <v>3932</v>
      </c>
      <c r="B729" s="29"/>
      <c r="C729" s="29"/>
      <c r="D729" s="29"/>
      <c r="E729" s="29"/>
      <c r="F729" s="29"/>
    </row>
    <row r="730" spans="1:6" x14ac:dyDescent="0.2">
      <c r="A730" s="28" t="s">
        <v>3933</v>
      </c>
      <c r="B730" s="29"/>
      <c r="C730" s="29"/>
      <c r="D730" s="29"/>
      <c r="E730" s="29"/>
      <c r="F730" s="29"/>
    </row>
    <row r="731" spans="1:6" x14ac:dyDescent="0.2">
      <c r="A731" s="30" t="s">
        <v>3934</v>
      </c>
      <c r="B731" s="29"/>
      <c r="C731" s="29"/>
      <c r="D731" s="29"/>
      <c r="E731" s="29"/>
      <c r="F731" s="29"/>
    </row>
    <row r="732" spans="1:6" x14ac:dyDescent="0.2">
      <c r="A732" s="28" t="s">
        <v>3935</v>
      </c>
      <c r="B732" s="29"/>
      <c r="C732" s="29"/>
      <c r="D732" s="29"/>
      <c r="E732" s="29"/>
      <c r="F732" s="29"/>
    </row>
    <row r="733" spans="1:6" x14ac:dyDescent="0.2">
      <c r="A733" s="30" t="s">
        <v>3936</v>
      </c>
      <c r="B733" s="29"/>
      <c r="C733" s="29"/>
      <c r="D733" s="29"/>
      <c r="E733" s="29"/>
      <c r="F733" s="29"/>
    </row>
    <row r="734" spans="1:6" x14ac:dyDescent="0.2">
      <c r="A734" s="28" t="s">
        <v>3937</v>
      </c>
      <c r="B734" s="29"/>
      <c r="C734" s="29"/>
      <c r="D734" s="29"/>
      <c r="E734" s="29"/>
      <c r="F734" s="29"/>
    </row>
    <row r="735" spans="1:6" x14ac:dyDescent="0.2">
      <c r="A735" s="30" t="s">
        <v>3938</v>
      </c>
      <c r="B735" s="29"/>
      <c r="C735" s="29"/>
      <c r="D735" s="29"/>
      <c r="E735" s="29"/>
      <c r="F735" s="29"/>
    </row>
    <row r="736" spans="1:6" x14ac:dyDescent="0.2">
      <c r="A736" s="28" t="s">
        <v>3939</v>
      </c>
      <c r="B736" s="29"/>
      <c r="C736" s="29"/>
      <c r="D736" s="29"/>
      <c r="E736" s="29"/>
      <c r="F736" s="29"/>
    </row>
    <row r="737" spans="1:6" x14ac:dyDescent="0.2">
      <c r="A737" s="30" t="s">
        <v>3940</v>
      </c>
      <c r="B737" s="29"/>
      <c r="C737" s="29"/>
      <c r="D737" s="29"/>
      <c r="E737" s="29"/>
      <c r="F737" s="29"/>
    </row>
    <row r="738" spans="1:6" x14ac:dyDescent="0.2">
      <c r="A738" s="28" t="s">
        <v>3941</v>
      </c>
      <c r="B738" s="29"/>
      <c r="C738" s="29"/>
      <c r="D738" s="29"/>
      <c r="E738" s="29"/>
      <c r="F738" s="29"/>
    </row>
    <row r="739" spans="1:6" x14ac:dyDescent="0.2">
      <c r="A739" s="30" t="s">
        <v>3942</v>
      </c>
      <c r="B739" s="29"/>
      <c r="C739" s="29"/>
      <c r="D739" s="29"/>
      <c r="E739" s="29"/>
      <c r="F739" s="29"/>
    </row>
    <row r="740" spans="1:6" x14ac:dyDescent="0.2">
      <c r="A740" s="28" t="s">
        <v>3943</v>
      </c>
      <c r="B740" s="29"/>
      <c r="C740" s="29"/>
      <c r="D740" s="29"/>
      <c r="E740" s="29"/>
      <c r="F740" s="29"/>
    </row>
    <row r="741" spans="1:6" x14ac:dyDescent="0.2">
      <c r="A741" s="30" t="s">
        <v>3944</v>
      </c>
      <c r="B741" s="29"/>
      <c r="C741" s="29"/>
      <c r="D741" s="29"/>
      <c r="E741" s="29"/>
      <c r="F741" s="29"/>
    </row>
    <row r="742" spans="1:6" x14ac:dyDescent="0.2">
      <c r="A742" s="28" t="s">
        <v>3945</v>
      </c>
      <c r="B742" s="29"/>
      <c r="C742" s="29"/>
      <c r="D742" s="29"/>
      <c r="E742" s="29"/>
      <c r="F742" s="29"/>
    </row>
    <row r="743" spans="1:6" x14ac:dyDescent="0.2">
      <c r="A743" s="30" t="s">
        <v>3946</v>
      </c>
      <c r="B743" s="29"/>
      <c r="C743" s="29"/>
      <c r="D743" s="29"/>
      <c r="E743" s="29"/>
      <c r="F743" s="29"/>
    </row>
    <row r="744" spans="1:6" x14ac:dyDescent="0.2">
      <c r="A744" s="28" t="s">
        <v>3947</v>
      </c>
      <c r="B744" s="29"/>
      <c r="C744" s="29"/>
      <c r="D744" s="29"/>
      <c r="E744" s="29"/>
      <c r="F744" s="29"/>
    </row>
    <row r="745" spans="1:6" x14ac:dyDescent="0.2">
      <c r="A745" s="30" t="s">
        <v>3948</v>
      </c>
      <c r="B745" s="29"/>
      <c r="C745" s="29"/>
      <c r="D745" s="29"/>
      <c r="E745" s="29"/>
      <c r="F745" s="29"/>
    </row>
    <row r="746" spans="1:6" x14ac:dyDescent="0.2">
      <c r="A746" s="28" t="s">
        <v>3949</v>
      </c>
      <c r="B746" s="29"/>
      <c r="C746" s="29"/>
      <c r="D746" s="29"/>
      <c r="E746" s="29"/>
      <c r="F746" s="29"/>
    </row>
    <row r="747" spans="1:6" x14ac:dyDescent="0.2">
      <c r="A747" s="30" t="s">
        <v>3950</v>
      </c>
      <c r="B747" s="29"/>
      <c r="C747" s="29"/>
      <c r="D747" s="29"/>
      <c r="E747" s="29"/>
      <c r="F747" s="29"/>
    </row>
    <row r="748" spans="1:6" x14ac:dyDescent="0.2">
      <c r="A748" s="28" t="s">
        <v>3951</v>
      </c>
      <c r="B748" s="29"/>
      <c r="C748" s="29"/>
      <c r="D748" s="29"/>
      <c r="E748" s="29"/>
      <c r="F748" s="29"/>
    </row>
    <row r="749" spans="1:6" x14ac:dyDescent="0.2">
      <c r="A749" s="30" t="s">
        <v>3952</v>
      </c>
      <c r="B749" s="29"/>
      <c r="C749" s="29"/>
      <c r="D749" s="29"/>
      <c r="E749" s="29"/>
      <c r="F749" s="29"/>
    </row>
    <row r="750" spans="1:6" x14ac:dyDescent="0.2">
      <c r="A750" s="28" t="s">
        <v>3953</v>
      </c>
      <c r="B750" s="29"/>
      <c r="C750" s="29"/>
      <c r="D750" s="29"/>
      <c r="E750" s="29"/>
      <c r="F750" s="29"/>
    </row>
    <row r="751" spans="1:6" x14ac:dyDescent="0.2">
      <c r="A751" s="30" t="s">
        <v>3954</v>
      </c>
      <c r="B751" s="29"/>
      <c r="C751" s="29"/>
      <c r="D751" s="29"/>
      <c r="E751" s="29"/>
      <c r="F751" s="29"/>
    </row>
    <row r="752" spans="1:6" x14ac:dyDescent="0.2">
      <c r="A752" s="28" t="s">
        <v>3955</v>
      </c>
      <c r="B752" s="29"/>
      <c r="C752" s="29"/>
      <c r="D752" s="29"/>
      <c r="E752" s="29"/>
      <c r="F752" s="29"/>
    </row>
    <row r="753" spans="1:6" x14ac:dyDescent="0.2">
      <c r="A753" s="30" t="s">
        <v>3956</v>
      </c>
      <c r="B753" s="29"/>
      <c r="C753" s="29"/>
      <c r="D753" s="29"/>
      <c r="E753" s="29"/>
      <c r="F753" s="29"/>
    </row>
    <row r="754" spans="1:6" x14ac:dyDescent="0.2">
      <c r="A754" s="28" t="s">
        <v>3957</v>
      </c>
      <c r="B754" s="29"/>
      <c r="C754" s="29"/>
      <c r="D754" s="29"/>
      <c r="E754" s="29"/>
      <c r="F754" s="29"/>
    </row>
    <row r="755" spans="1:6" x14ac:dyDescent="0.2">
      <c r="A755" s="30" t="s">
        <v>3958</v>
      </c>
      <c r="B755" s="29"/>
      <c r="C755" s="29"/>
      <c r="D755" s="29"/>
      <c r="E755" s="29"/>
      <c r="F755" s="29"/>
    </row>
    <row r="756" spans="1:6" x14ac:dyDescent="0.2">
      <c r="A756" s="28" t="s">
        <v>3959</v>
      </c>
      <c r="B756" s="29"/>
      <c r="C756" s="29"/>
      <c r="D756" s="29"/>
      <c r="E756" s="29"/>
      <c r="F756" s="29"/>
    </row>
    <row r="757" spans="1:6" x14ac:dyDescent="0.2">
      <c r="A757" s="30" t="s">
        <v>3960</v>
      </c>
      <c r="B757" s="29"/>
      <c r="C757" s="29"/>
      <c r="D757" s="29"/>
      <c r="E757" s="29"/>
      <c r="F757" s="29"/>
    </row>
    <row r="758" spans="1:6" x14ac:dyDescent="0.2">
      <c r="A758" s="28" t="s">
        <v>3961</v>
      </c>
      <c r="B758" s="29"/>
      <c r="C758" s="29"/>
      <c r="D758" s="29"/>
      <c r="E758" s="29"/>
      <c r="F758" s="29"/>
    </row>
    <row r="759" spans="1:6" x14ac:dyDescent="0.2">
      <c r="A759" s="30" t="s">
        <v>3962</v>
      </c>
      <c r="B759" s="29"/>
      <c r="C759" s="29"/>
      <c r="D759" s="29"/>
      <c r="E759" s="29"/>
      <c r="F759" s="29"/>
    </row>
    <row r="760" spans="1:6" x14ac:dyDescent="0.2">
      <c r="A760" s="28" t="s">
        <v>3963</v>
      </c>
      <c r="B760" s="29"/>
      <c r="C760" s="29"/>
      <c r="D760" s="29"/>
      <c r="E760" s="29"/>
      <c r="F760" s="29"/>
    </row>
    <row r="761" spans="1:6" x14ac:dyDescent="0.2">
      <c r="A761" s="30" t="s">
        <v>3964</v>
      </c>
      <c r="B761" s="29"/>
      <c r="C761" s="29"/>
      <c r="D761" s="29"/>
      <c r="E761" s="29"/>
      <c r="F761" s="29"/>
    </row>
    <row r="762" spans="1:6" x14ac:dyDescent="0.2">
      <c r="A762" s="28" t="s">
        <v>3965</v>
      </c>
      <c r="B762" s="29"/>
      <c r="C762" s="29"/>
      <c r="D762" s="29"/>
      <c r="E762" s="29"/>
      <c r="F762" s="29"/>
    </row>
    <row r="763" spans="1:6" x14ac:dyDescent="0.2">
      <c r="A763" s="30" t="s">
        <v>3966</v>
      </c>
      <c r="B763" s="29"/>
      <c r="C763" s="29"/>
      <c r="D763" s="29"/>
      <c r="E763" s="29"/>
      <c r="F763" s="29"/>
    </row>
    <row r="764" spans="1:6" x14ac:dyDescent="0.2">
      <c r="A764" s="28" t="s">
        <v>3967</v>
      </c>
      <c r="B764" s="29"/>
      <c r="C764" s="29"/>
      <c r="D764" s="29"/>
      <c r="E764" s="29"/>
      <c r="F764" s="29"/>
    </row>
    <row r="765" spans="1:6" x14ac:dyDescent="0.2">
      <c r="A765" s="30" t="s">
        <v>3968</v>
      </c>
      <c r="B765" s="29"/>
      <c r="C765" s="29"/>
      <c r="D765" s="29"/>
      <c r="E765" s="29"/>
      <c r="F765" s="29"/>
    </row>
    <row r="766" spans="1:6" x14ac:dyDescent="0.2">
      <c r="A766" s="28" t="s">
        <v>3969</v>
      </c>
      <c r="B766" s="29"/>
      <c r="C766" s="29"/>
      <c r="D766" s="29"/>
      <c r="E766" s="29"/>
      <c r="F766" s="29"/>
    </row>
    <row r="767" spans="1:6" x14ac:dyDescent="0.2">
      <c r="A767" s="30" t="s">
        <v>3970</v>
      </c>
      <c r="B767" s="29"/>
      <c r="C767" s="29"/>
      <c r="D767" s="29"/>
      <c r="E767" s="29"/>
      <c r="F767" s="29"/>
    </row>
    <row r="768" spans="1:6" x14ac:dyDescent="0.2">
      <c r="A768" s="28" t="s">
        <v>3971</v>
      </c>
      <c r="B768" s="29"/>
      <c r="C768" s="29"/>
      <c r="D768" s="29"/>
      <c r="E768" s="29"/>
      <c r="F768" s="29"/>
    </row>
    <row r="769" spans="1:6" x14ac:dyDescent="0.2">
      <c r="A769" s="30" t="s">
        <v>3972</v>
      </c>
      <c r="B769" s="29"/>
      <c r="C769" s="29"/>
      <c r="D769" s="29"/>
      <c r="E769" s="29"/>
      <c r="F769" s="29"/>
    </row>
    <row r="770" spans="1:6" x14ac:dyDescent="0.2">
      <c r="A770" s="28" t="s">
        <v>3973</v>
      </c>
      <c r="B770" s="29"/>
      <c r="C770" s="29"/>
      <c r="D770" s="29"/>
      <c r="E770" s="29"/>
      <c r="F770" s="29"/>
    </row>
    <row r="771" spans="1:6" x14ac:dyDescent="0.2">
      <c r="A771" s="30" t="s">
        <v>3974</v>
      </c>
      <c r="B771" s="29"/>
      <c r="C771" s="29"/>
      <c r="D771" s="29"/>
      <c r="E771" s="29"/>
      <c r="F771" s="29"/>
    </row>
    <row r="772" spans="1:6" x14ac:dyDescent="0.2">
      <c r="A772" s="28" t="s">
        <v>3975</v>
      </c>
      <c r="B772" s="29"/>
      <c r="C772" s="29"/>
      <c r="D772" s="29"/>
      <c r="E772" s="29"/>
      <c r="F772" s="29"/>
    </row>
    <row r="773" spans="1:6" x14ac:dyDescent="0.2">
      <c r="A773" s="30" t="s">
        <v>3976</v>
      </c>
      <c r="B773" s="29"/>
      <c r="C773" s="29"/>
      <c r="D773" s="29"/>
      <c r="E773" s="29"/>
      <c r="F773" s="29"/>
    </row>
    <row r="774" spans="1:6" x14ac:dyDescent="0.2">
      <c r="A774" s="28" t="s">
        <v>3977</v>
      </c>
      <c r="B774" s="29"/>
      <c r="C774" s="29"/>
      <c r="D774" s="29"/>
      <c r="E774" s="29"/>
      <c r="F774" s="29"/>
    </row>
    <row r="775" spans="1:6" x14ac:dyDescent="0.2">
      <c r="A775" s="30" t="s">
        <v>3978</v>
      </c>
      <c r="B775" s="29"/>
      <c r="C775" s="29"/>
      <c r="D775" s="29"/>
      <c r="E775" s="29"/>
      <c r="F775" s="29"/>
    </row>
    <row r="776" spans="1:6" x14ac:dyDescent="0.2">
      <c r="A776" s="28" t="s">
        <v>3979</v>
      </c>
      <c r="B776" s="29"/>
      <c r="C776" s="29"/>
      <c r="D776" s="29"/>
      <c r="E776" s="29"/>
      <c r="F776" s="29"/>
    </row>
    <row r="777" spans="1:6" x14ac:dyDescent="0.2">
      <c r="A777" s="30" t="s">
        <v>3980</v>
      </c>
      <c r="B777" s="29"/>
      <c r="C777" s="29"/>
      <c r="D777" s="29"/>
      <c r="E777" s="29"/>
      <c r="F777" s="29"/>
    </row>
    <row r="778" spans="1:6" x14ac:dyDescent="0.2">
      <c r="A778" s="28" t="s">
        <v>3981</v>
      </c>
      <c r="B778" s="29"/>
      <c r="C778" s="29"/>
      <c r="D778" s="29"/>
      <c r="E778" s="29"/>
      <c r="F778" s="29"/>
    </row>
    <row r="779" spans="1:6" x14ac:dyDescent="0.2">
      <c r="A779" s="30" t="s">
        <v>3982</v>
      </c>
      <c r="B779" s="29"/>
      <c r="C779" s="29"/>
      <c r="D779" s="29"/>
      <c r="E779" s="29"/>
      <c r="F779" s="29"/>
    </row>
    <row r="780" spans="1:6" x14ac:dyDescent="0.2">
      <c r="A780" s="28" t="s">
        <v>3983</v>
      </c>
      <c r="B780" s="29"/>
      <c r="C780" s="29"/>
      <c r="D780" s="29"/>
      <c r="E780" s="29"/>
      <c r="F780" s="29"/>
    </row>
    <row r="781" spans="1:6" x14ac:dyDescent="0.2">
      <c r="A781" s="30" t="s">
        <v>3984</v>
      </c>
      <c r="B781" s="29"/>
      <c r="C781" s="29"/>
      <c r="D781" s="29"/>
      <c r="E781" s="29"/>
      <c r="F781" s="29"/>
    </row>
    <row r="782" spans="1:6" x14ac:dyDescent="0.2">
      <c r="A782" s="28" t="s">
        <v>3985</v>
      </c>
      <c r="B782" s="29"/>
      <c r="C782" s="29"/>
      <c r="D782" s="29"/>
      <c r="E782" s="29"/>
      <c r="F782" s="29"/>
    </row>
    <row r="783" spans="1:6" x14ac:dyDescent="0.2">
      <c r="A783" s="30" t="s">
        <v>3986</v>
      </c>
      <c r="B783" s="29"/>
      <c r="C783" s="29"/>
      <c r="D783" s="29"/>
      <c r="E783" s="29"/>
      <c r="F783" s="29"/>
    </row>
    <row r="784" spans="1:6" x14ac:dyDescent="0.2">
      <c r="A784" s="28" t="s">
        <v>3987</v>
      </c>
      <c r="B784" s="29"/>
      <c r="C784" s="29"/>
      <c r="D784" s="29"/>
      <c r="E784" s="29"/>
      <c r="F784" s="29"/>
    </row>
    <row r="785" spans="1:6" x14ac:dyDescent="0.2">
      <c r="A785" s="30" t="s">
        <v>3988</v>
      </c>
      <c r="B785" s="29"/>
      <c r="C785" s="29"/>
      <c r="D785" s="29"/>
      <c r="E785" s="29"/>
      <c r="F785" s="29"/>
    </row>
    <row r="786" spans="1:6" x14ac:dyDescent="0.2">
      <c r="A786" s="28" t="s">
        <v>3989</v>
      </c>
      <c r="B786" s="29"/>
      <c r="C786" s="29"/>
      <c r="D786" s="29"/>
      <c r="E786" s="29"/>
      <c r="F786" s="29"/>
    </row>
    <row r="787" spans="1:6" x14ac:dyDescent="0.2">
      <c r="A787" s="30" t="s">
        <v>3990</v>
      </c>
      <c r="B787" s="29"/>
      <c r="C787" s="29"/>
      <c r="D787" s="29"/>
      <c r="E787" s="29"/>
      <c r="F787" s="29"/>
    </row>
    <row r="788" spans="1:6" x14ac:dyDescent="0.2">
      <c r="A788" s="28" t="s">
        <v>3991</v>
      </c>
      <c r="B788" s="29"/>
      <c r="C788" s="29"/>
      <c r="D788" s="29"/>
      <c r="E788" s="29"/>
      <c r="F788" s="29"/>
    </row>
    <row r="789" spans="1:6" x14ac:dyDescent="0.2">
      <c r="A789" s="30" t="s">
        <v>3992</v>
      </c>
      <c r="B789" s="29"/>
      <c r="C789" s="29"/>
      <c r="D789" s="29"/>
      <c r="E789" s="29"/>
      <c r="F789" s="29"/>
    </row>
    <row r="790" spans="1:6" x14ac:dyDescent="0.2">
      <c r="A790" s="28" t="s">
        <v>3993</v>
      </c>
      <c r="B790" s="29"/>
      <c r="C790" s="29"/>
      <c r="D790" s="29"/>
      <c r="E790" s="29"/>
      <c r="F790" s="29"/>
    </row>
    <row r="791" spans="1:6" x14ac:dyDescent="0.2">
      <c r="A791" s="30" t="s">
        <v>3994</v>
      </c>
      <c r="B791" s="29"/>
      <c r="C791" s="29"/>
      <c r="D791" s="29"/>
      <c r="E791" s="29"/>
      <c r="F791" s="29"/>
    </row>
    <row r="792" spans="1:6" x14ac:dyDescent="0.2">
      <c r="A792" s="28" t="s">
        <v>3995</v>
      </c>
      <c r="B792" s="29"/>
      <c r="C792" s="29"/>
      <c r="D792" s="29"/>
      <c r="E792" s="29"/>
      <c r="F792" s="29"/>
    </row>
    <row r="793" spans="1:6" x14ac:dyDescent="0.2">
      <c r="A793" s="30" t="s">
        <v>3996</v>
      </c>
      <c r="B793" s="29"/>
      <c r="C793" s="29"/>
      <c r="D793" s="29"/>
      <c r="E793" s="29"/>
      <c r="F793" s="29"/>
    </row>
    <row r="794" spans="1:6" x14ac:dyDescent="0.2">
      <c r="A794" s="28" t="s">
        <v>3997</v>
      </c>
      <c r="B794" s="29"/>
      <c r="C794" s="29"/>
      <c r="D794" s="29"/>
      <c r="E794" s="29"/>
      <c r="F794" s="29"/>
    </row>
    <row r="795" spans="1:6" x14ac:dyDescent="0.2">
      <c r="A795" s="30" t="s">
        <v>3998</v>
      </c>
      <c r="B795" s="29"/>
      <c r="C795" s="29"/>
      <c r="D795" s="29"/>
      <c r="E795" s="29"/>
      <c r="F795" s="29"/>
    </row>
    <row r="796" spans="1:6" x14ac:dyDescent="0.2">
      <c r="A796" s="28" t="s">
        <v>3999</v>
      </c>
      <c r="B796" s="29"/>
      <c r="C796" s="29"/>
      <c r="D796" s="29"/>
      <c r="E796" s="29"/>
      <c r="F796" s="29"/>
    </row>
    <row r="797" spans="1:6" x14ac:dyDescent="0.2">
      <c r="A797" s="30" t="s">
        <v>4000</v>
      </c>
      <c r="B797" s="29"/>
      <c r="C797" s="29"/>
      <c r="D797" s="29"/>
      <c r="E797" s="29"/>
      <c r="F797" s="29"/>
    </row>
    <row r="798" spans="1:6" x14ac:dyDescent="0.2">
      <c r="A798" s="28" t="s">
        <v>4001</v>
      </c>
      <c r="B798" s="29"/>
      <c r="C798" s="29"/>
      <c r="D798" s="29"/>
      <c r="E798" s="29"/>
      <c r="F798" s="29"/>
    </row>
    <row r="799" spans="1:6" x14ac:dyDescent="0.2">
      <c r="A799" s="30" t="s">
        <v>4002</v>
      </c>
      <c r="B799" s="29"/>
      <c r="C799" s="29"/>
      <c r="D799" s="29"/>
      <c r="E799" s="29"/>
      <c r="F799" s="29"/>
    </row>
    <row r="800" spans="1:6" x14ac:dyDescent="0.2">
      <c r="A800" s="28" t="s">
        <v>4003</v>
      </c>
      <c r="B800" s="29"/>
      <c r="C800" s="29"/>
      <c r="D800" s="29"/>
      <c r="E800" s="29"/>
      <c r="F800" s="29"/>
    </row>
    <row r="801" spans="1:6" x14ac:dyDescent="0.2">
      <c r="A801" s="30" t="s">
        <v>4004</v>
      </c>
      <c r="B801" s="29"/>
      <c r="C801" s="29"/>
      <c r="D801" s="29"/>
      <c r="E801" s="29"/>
      <c r="F801" s="29"/>
    </row>
    <row r="802" spans="1:6" x14ac:dyDescent="0.2">
      <c r="A802" s="28" t="s">
        <v>4005</v>
      </c>
      <c r="B802" s="29"/>
      <c r="C802" s="29"/>
      <c r="D802" s="29"/>
      <c r="E802" s="29"/>
      <c r="F802" s="29"/>
    </row>
    <row r="803" spans="1:6" x14ac:dyDescent="0.2">
      <c r="A803" s="30" t="s">
        <v>4006</v>
      </c>
      <c r="B803" s="29"/>
      <c r="C803" s="29"/>
      <c r="D803" s="29"/>
      <c r="E803" s="29"/>
      <c r="F803" s="29"/>
    </row>
    <row r="804" spans="1:6" x14ac:dyDescent="0.2">
      <c r="A804" s="28" t="s">
        <v>4007</v>
      </c>
      <c r="B804" s="29"/>
      <c r="C804" s="29"/>
      <c r="D804" s="29"/>
      <c r="E804" s="29"/>
      <c r="F804" s="29"/>
    </row>
    <row r="805" spans="1:6" x14ac:dyDescent="0.2">
      <c r="A805" s="30" t="s">
        <v>4008</v>
      </c>
      <c r="B805" s="29"/>
      <c r="C805" s="29"/>
      <c r="D805" s="29"/>
      <c r="E805" s="29"/>
      <c r="F805" s="29"/>
    </row>
    <row r="806" spans="1:6" x14ac:dyDescent="0.2">
      <c r="A806" s="28" t="s">
        <v>4009</v>
      </c>
      <c r="B806" s="29"/>
      <c r="C806" s="29"/>
      <c r="D806" s="29"/>
      <c r="E806" s="29"/>
      <c r="F806" s="29"/>
    </row>
    <row r="807" spans="1:6" x14ac:dyDescent="0.2">
      <c r="A807" s="30" t="s">
        <v>4010</v>
      </c>
      <c r="B807" s="29"/>
      <c r="C807" s="29"/>
      <c r="D807" s="29"/>
      <c r="E807" s="29"/>
      <c r="F807" s="29"/>
    </row>
    <row r="808" spans="1:6" x14ac:dyDescent="0.2">
      <c r="A808" s="28" t="s">
        <v>4011</v>
      </c>
      <c r="B808" s="29"/>
      <c r="C808" s="29"/>
      <c r="D808" s="29"/>
      <c r="E808" s="29"/>
      <c r="F808" s="29"/>
    </row>
    <row r="809" spans="1:6" x14ac:dyDescent="0.2">
      <c r="A809" s="30" t="s">
        <v>4012</v>
      </c>
      <c r="B809" s="29"/>
      <c r="C809" s="29"/>
      <c r="D809" s="29"/>
      <c r="E809" s="29"/>
      <c r="F809" s="29"/>
    </row>
    <row r="810" spans="1:6" x14ac:dyDescent="0.2">
      <c r="A810" s="28" t="s">
        <v>4013</v>
      </c>
      <c r="B810" s="29"/>
      <c r="C810" s="29"/>
      <c r="D810" s="29"/>
      <c r="E810" s="29"/>
      <c r="F810" s="29"/>
    </row>
    <row r="811" spans="1:6" x14ac:dyDescent="0.2">
      <c r="A811" s="30" t="s">
        <v>4014</v>
      </c>
      <c r="B811" s="29"/>
      <c r="C811" s="29"/>
      <c r="D811" s="29"/>
      <c r="E811" s="29"/>
      <c r="F811" s="29"/>
    </row>
    <row r="812" spans="1:6" x14ac:dyDescent="0.2">
      <c r="A812" s="28" t="s">
        <v>4015</v>
      </c>
      <c r="B812" s="29"/>
      <c r="C812" s="29"/>
      <c r="D812" s="29"/>
      <c r="E812" s="29"/>
      <c r="F812" s="29"/>
    </row>
    <row r="813" spans="1:6" x14ac:dyDescent="0.2">
      <c r="A813" s="30" t="s">
        <v>4016</v>
      </c>
      <c r="B813" s="29"/>
      <c r="C813" s="29"/>
      <c r="D813" s="29"/>
      <c r="E813" s="29"/>
      <c r="F813" s="29"/>
    </row>
    <row r="814" spans="1:6" x14ac:dyDescent="0.2">
      <c r="A814" s="28" t="s">
        <v>4017</v>
      </c>
      <c r="B814" s="29"/>
      <c r="C814" s="29"/>
      <c r="D814" s="29"/>
      <c r="E814" s="29"/>
      <c r="F814" s="29"/>
    </row>
    <row r="815" spans="1:6" x14ac:dyDescent="0.2">
      <c r="A815" s="30" t="s">
        <v>4018</v>
      </c>
      <c r="B815" s="29"/>
      <c r="C815" s="29"/>
      <c r="D815" s="29"/>
      <c r="E815" s="29"/>
      <c r="F815" s="29"/>
    </row>
    <row r="816" spans="1:6" x14ac:dyDescent="0.2">
      <c r="A816" s="28" t="s">
        <v>4019</v>
      </c>
      <c r="B816" s="29"/>
      <c r="C816" s="29"/>
      <c r="D816" s="29"/>
      <c r="E816" s="29"/>
      <c r="F816" s="29"/>
    </row>
    <row r="817" spans="1:6" x14ac:dyDescent="0.2">
      <c r="A817" s="30" t="s">
        <v>4020</v>
      </c>
      <c r="B817" s="29"/>
      <c r="C817" s="29"/>
      <c r="D817" s="29"/>
      <c r="E817" s="29"/>
      <c r="F817" s="29"/>
    </row>
    <row r="818" spans="1:6" x14ac:dyDescent="0.2">
      <c r="A818" s="28" t="s">
        <v>4021</v>
      </c>
      <c r="B818" s="29"/>
      <c r="C818" s="29"/>
      <c r="D818" s="29"/>
      <c r="E818" s="29"/>
      <c r="F818" s="29"/>
    </row>
    <row r="819" spans="1:6" x14ac:dyDescent="0.2">
      <c r="A819" s="30" t="s">
        <v>4022</v>
      </c>
      <c r="B819" s="29"/>
      <c r="C819" s="29"/>
      <c r="D819" s="29"/>
      <c r="E819" s="29"/>
      <c r="F819" s="29"/>
    </row>
    <row r="820" spans="1:6" x14ac:dyDescent="0.2">
      <c r="A820" s="28" t="s">
        <v>4023</v>
      </c>
      <c r="B820" s="29"/>
      <c r="C820" s="29"/>
      <c r="D820" s="29"/>
      <c r="E820" s="29"/>
      <c r="F820" s="29"/>
    </row>
    <row r="821" spans="1:6" x14ac:dyDescent="0.2">
      <c r="A821" s="30" t="s">
        <v>4024</v>
      </c>
      <c r="B821" s="29"/>
      <c r="C821" s="29"/>
      <c r="D821" s="29"/>
      <c r="E821" s="29"/>
      <c r="F821" s="29"/>
    </row>
    <row r="822" spans="1:6" x14ac:dyDescent="0.2">
      <c r="A822" s="28" t="s">
        <v>4025</v>
      </c>
      <c r="B822" s="29"/>
      <c r="C822" s="29"/>
      <c r="D822" s="29"/>
      <c r="E822" s="29"/>
      <c r="F822" s="29"/>
    </row>
    <row r="823" spans="1:6" x14ac:dyDescent="0.2">
      <c r="A823" s="30" t="s">
        <v>4026</v>
      </c>
      <c r="B823" s="29"/>
      <c r="C823" s="29"/>
      <c r="D823" s="29"/>
      <c r="E823" s="29"/>
      <c r="F823" s="29"/>
    </row>
    <row r="824" spans="1:6" x14ac:dyDescent="0.2">
      <c r="A824" s="28" t="s">
        <v>4027</v>
      </c>
      <c r="B824" s="29"/>
      <c r="C824" s="29"/>
      <c r="D824" s="29"/>
      <c r="E824" s="29"/>
      <c r="F824" s="29"/>
    </row>
    <row r="825" spans="1:6" x14ac:dyDescent="0.2">
      <c r="A825" s="30" t="s">
        <v>4028</v>
      </c>
      <c r="B825" s="29"/>
      <c r="C825" s="29"/>
      <c r="D825" s="29"/>
      <c r="E825" s="29"/>
      <c r="F825" s="29"/>
    </row>
    <row r="826" spans="1:6" x14ac:dyDescent="0.2">
      <c r="A826" s="28" t="s">
        <v>4029</v>
      </c>
      <c r="B826" s="29"/>
      <c r="C826" s="29"/>
      <c r="D826" s="29"/>
      <c r="E826" s="29"/>
      <c r="F826" s="29"/>
    </row>
    <row r="827" spans="1:6" x14ac:dyDescent="0.2">
      <c r="A827" s="30" t="s">
        <v>4030</v>
      </c>
      <c r="B827" s="29"/>
      <c r="C827" s="29"/>
      <c r="D827" s="29"/>
      <c r="E827" s="29"/>
      <c r="F827" s="29"/>
    </row>
    <row r="828" spans="1:6" x14ac:dyDescent="0.2">
      <c r="A828" s="28" t="s">
        <v>4031</v>
      </c>
      <c r="B828" s="29"/>
      <c r="C828" s="29"/>
      <c r="D828" s="29"/>
      <c r="E828" s="29"/>
      <c r="F828" s="29"/>
    </row>
    <row r="829" spans="1:6" x14ac:dyDescent="0.2">
      <c r="A829" s="30" t="s">
        <v>4032</v>
      </c>
      <c r="B829" s="29"/>
      <c r="C829" s="29"/>
      <c r="D829" s="29"/>
      <c r="E829" s="29"/>
      <c r="F829" s="29"/>
    </row>
    <row r="830" spans="1:6" x14ac:dyDescent="0.2">
      <c r="A830" s="28" t="s">
        <v>4033</v>
      </c>
      <c r="B830" s="29"/>
      <c r="C830" s="29"/>
      <c r="D830" s="29"/>
      <c r="E830" s="29"/>
      <c r="F830" s="29"/>
    </row>
    <row r="831" spans="1:6" x14ac:dyDescent="0.2">
      <c r="A831" s="30" t="s">
        <v>4034</v>
      </c>
      <c r="B831" s="29"/>
      <c r="C831" s="29"/>
      <c r="D831" s="29"/>
      <c r="E831" s="29"/>
      <c r="F831" s="29"/>
    </row>
    <row r="832" spans="1:6" x14ac:dyDescent="0.2">
      <c r="A832" s="28" t="s">
        <v>4035</v>
      </c>
      <c r="B832" s="29"/>
      <c r="C832" s="29"/>
      <c r="D832" s="29"/>
      <c r="E832" s="29"/>
      <c r="F832" s="29"/>
    </row>
    <row r="833" spans="1:6" x14ac:dyDescent="0.2">
      <c r="A833" s="30" t="s">
        <v>4036</v>
      </c>
      <c r="B833" s="29"/>
      <c r="C833" s="29"/>
      <c r="D833" s="29"/>
      <c r="E833" s="29"/>
      <c r="F833" s="29"/>
    </row>
    <row r="834" spans="1:6" x14ac:dyDescent="0.2">
      <c r="A834" s="28" t="s">
        <v>4037</v>
      </c>
      <c r="B834" s="29"/>
      <c r="C834" s="29"/>
      <c r="D834" s="29"/>
      <c r="E834" s="29"/>
      <c r="F834" s="29"/>
    </row>
    <row r="835" spans="1:6" x14ac:dyDescent="0.2">
      <c r="A835" s="30" t="s">
        <v>4038</v>
      </c>
      <c r="B835" s="29"/>
      <c r="C835" s="29"/>
      <c r="D835" s="29"/>
      <c r="E835" s="29"/>
      <c r="F835" s="29"/>
    </row>
    <row r="836" spans="1:6" x14ac:dyDescent="0.2">
      <c r="A836" s="28" t="s">
        <v>4039</v>
      </c>
      <c r="B836" s="29"/>
      <c r="C836" s="29"/>
      <c r="D836" s="29"/>
      <c r="E836" s="29"/>
      <c r="F836" s="29"/>
    </row>
    <row r="837" spans="1:6" x14ac:dyDescent="0.2">
      <c r="A837" s="30" t="s">
        <v>4040</v>
      </c>
      <c r="B837" s="29"/>
      <c r="C837" s="29"/>
      <c r="D837" s="29"/>
      <c r="E837" s="29"/>
      <c r="F837" s="29"/>
    </row>
    <row r="838" spans="1:6" x14ac:dyDescent="0.2">
      <c r="A838" s="28" t="s">
        <v>4041</v>
      </c>
      <c r="B838" s="29"/>
      <c r="C838" s="29"/>
      <c r="D838" s="29"/>
      <c r="E838" s="29"/>
      <c r="F838" s="29"/>
    </row>
    <row r="839" spans="1:6" x14ac:dyDescent="0.2">
      <c r="A839" s="30" t="s">
        <v>4042</v>
      </c>
      <c r="B839" s="29"/>
      <c r="C839" s="29"/>
      <c r="D839" s="29"/>
      <c r="E839" s="29"/>
      <c r="F839" s="29"/>
    </row>
    <row r="840" spans="1:6" x14ac:dyDescent="0.2">
      <c r="A840" s="28" t="s">
        <v>4043</v>
      </c>
      <c r="B840" s="29"/>
      <c r="C840" s="29"/>
      <c r="D840" s="29"/>
      <c r="E840" s="29"/>
      <c r="F840" s="29"/>
    </row>
    <row r="841" spans="1:6" x14ac:dyDescent="0.2">
      <c r="A841" s="30" t="s">
        <v>4044</v>
      </c>
      <c r="B841" s="29"/>
      <c r="C841" s="29"/>
      <c r="D841" s="29"/>
      <c r="E841" s="29"/>
      <c r="F841" s="29"/>
    </row>
    <row r="842" spans="1:6" x14ac:dyDescent="0.2">
      <c r="A842" s="28" t="s">
        <v>4045</v>
      </c>
      <c r="B842" s="29"/>
      <c r="C842" s="29"/>
      <c r="D842" s="29"/>
      <c r="E842" s="29"/>
      <c r="F842" s="29"/>
    </row>
    <row r="843" spans="1:6" x14ac:dyDescent="0.2">
      <c r="A843" s="30" t="s">
        <v>4046</v>
      </c>
      <c r="B843" s="29"/>
      <c r="C843" s="29"/>
      <c r="D843" s="29"/>
      <c r="E843" s="29"/>
      <c r="F843" s="29"/>
    </row>
    <row r="844" spans="1:6" x14ac:dyDescent="0.2">
      <c r="A844" s="28" t="s">
        <v>4047</v>
      </c>
      <c r="B844" s="29"/>
      <c r="C844" s="29"/>
      <c r="D844" s="29"/>
      <c r="E844" s="29"/>
      <c r="F844" s="29"/>
    </row>
    <row r="845" spans="1:6" x14ac:dyDescent="0.2">
      <c r="A845" s="30" t="s">
        <v>4048</v>
      </c>
      <c r="B845" s="29"/>
      <c r="C845" s="29"/>
      <c r="D845" s="29"/>
      <c r="E845" s="29"/>
      <c r="F845" s="29"/>
    </row>
    <row r="846" spans="1:6" x14ac:dyDescent="0.2">
      <c r="A846" s="28" t="s">
        <v>4049</v>
      </c>
      <c r="B846" s="29"/>
      <c r="C846" s="29"/>
      <c r="D846" s="29"/>
      <c r="E846" s="29"/>
      <c r="F846" s="29"/>
    </row>
    <row r="847" spans="1:6" x14ac:dyDescent="0.2">
      <c r="A847" s="30" t="s">
        <v>4050</v>
      </c>
      <c r="B847" s="29"/>
      <c r="C847" s="29"/>
      <c r="D847" s="29"/>
      <c r="E847" s="29"/>
      <c r="F847" s="29"/>
    </row>
    <row r="848" spans="1:6" x14ac:dyDescent="0.2">
      <c r="A848" s="28" t="s">
        <v>4051</v>
      </c>
      <c r="B848" s="29"/>
      <c r="C848" s="29"/>
      <c r="D848" s="29"/>
      <c r="E848" s="29"/>
      <c r="F848" s="29"/>
    </row>
    <row r="849" spans="1:6" x14ac:dyDescent="0.2">
      <c r="A849" s="30" t="s">
        <v>4052</v>
      </c>
      <c r="B849" s="29"/>
      <c r="C849" s="29"/>
      <c r="D849" s="29"/>
      <c r="E849" s="29"/>
      <c r="F849" s="29"/>
    </row>
    <row r="850" spans="1:6" x14ac:dyDescent="0.2">
      <c r="A850" s="28" t="s">
        <v>4053</v>
      </c>
      <c r="B850" s="29"/>
      <c r="C850" s="29"/>
      <c r="D850" s="29"/>
      <c r="E850" s="29"/>
      <c r="F850" s="29"/>
    </row>
    <row r="851" spans="1:6" x14ac:dyDescent="0.2">
      <c r="A851" s="30" t="s">
        <v>4054</v>
      </c>
      <c r="B851" s="29"/>
      <c r="C851" s="29"/>
      <c r="D851" s="29"/>
      <c r="E851" s="29"/>
      <c r="F851" s="29"/>
    </row>
    <row r="852" spans="1:6" x14ac:dyDescent="0.2">
      <c r="A852" s="28" t="s">
        <v>4055</v>
      </c>
      <c r="B852" s="29"/>
      <c r="C852" s="29"/>
      <c r="D852" s="29"/>
      <c r="E852" s="29"/>
      <c r="F852" s="29"/>
    </row>
    <row r="853" spans="1:6" x14ac:dyDescent="0.2">
      <c r="A853" s="30" t="s">
        <v>4056</v>
      </c>
      <c r="B853" s="29"/>
      <c r="C853" s="29"/>
      <c r="D853" s="29"/>
      <c r="E853" s="29"/>
      <c r="F853" s="29"/>
    </row>
    <row r="854" spans="1:6" x14ac:dyDescent="0.2">
      <c r="A854" s="28" t="s">
        <v>4057</v>
      </c>
      <c r="B854" s="29"/>
      <c r="C854" s="29"/>
      <c r="D854" s="29"/>
      <c r="E854" s="29"/>
      <c r="F854" s="29"/>
    </row>
    <row r="855" spans="1:6" x14ac:dyDescent="0.2">
      <c r="A855" s="30" t="s">
        <v>4058</v>
      </c>
      <c r="B855" s="29"/>
      <c r="C855" s="29"/>
      <c r="D855" s="29"/>
      <c r="E855" s="29"/>
      <c r="F855" s="29"/>
    </row>
    <row r="856" spans="1:6" x14ac:dyDescent="0.2">
      <c r="A856" s="28" t="s">
        <v>4059</v>
      </c>
      <c r="B856" s="29"/>
      <c r="C856" s="29"/>
      <c r="D856" s="29"/>
      <c r="E856" s="29"/>
      <c r="F856" s="29"/>
    </row>
    <row r="857" spans="1:6" x14ac:dyDescent="0.2">
      <c r="A857" s="30" t="s">
        <v>4060</v>
      </c>
      <c r="B857" s="29"/>
      <c r="C857" s="29"/>
      <c r="D857" s="29"/>
      <c r="E857" s="29"/>
      <c r="F857" s="29"/>
    </row>
    <row r="858" spans="1:6" x14ac:dyDescent="0.2">
      <c r="A858" s="28" t="s">
        <v>4061</v>
      </c>
      <c r="B858" s="29"/>
      <c r="C858" s="29"/>
      <c r="D858" s="29"/>
      <c r="E858" s="29"/>
      <c r="F858" s="29"/>
    </row>
    <row r="859" spans="1:6" x14ac:dyDescent="0.2">
      <c r="A859" s="30" t="s">
        <v>4062</v>
      </c>
      <c r="B859" s="29"/>
      <c r="C859" s="29"/>
      <c r="D859" s="29"/>
      <c r="E859" s="29"/>
      <c r="F859" s="29"/>
    </row>
    <row r="860" spans="1:6" x14ac:dyDescent="0.2">
      <c r="A860" s="28" t="s">
        <v>4063</v>
      </c>
      <c r="B860" s="29"/>
      <c r="C860" s="29"/>
      <c r="D860" s="29"/>
      <c r="E860" s="29"/>
      <c r="F860" s="29"/>
    </row>
    <row r="861" spans="1:6" x14ac:dyDescent="0.2">
      <c r="A861" s="30" t="s">
        <v>4064</v>
      </c>
      <c r="B861" s="29"/>
      <c r="C861" s="29"/>
      <c r="D861" s="29"/>
      <c r="E861" s="29"/>
      <c r="F861" s="29"/>
    </row>
    <row r="862" spans="1:6" x14ac:dyDescent="0.2">
      <c r="A862" s="28" t="s">
        <v>4065</v>
      </c>
      <c r="B862" s="29"/>
      <c r="C862" s="29"/>
      <c r="D862" s="29"/>
      <c r="E862" s="29"/>
      <c r="F862" s="29"/>
    </row>
    <row r="863" spans="1:6" x14ac:dyDescent="0.2">
      <c r="A863" s="30" t="s">
        <v>4066</v>
      </c>
      <c r="B863" s="29"/>
      <c r="C863" s="29"/>
      <c r="D863" s="29"/>
      <c r="E863" s="29"/>
      <c r="F863" s="29"/>
    </row>
    <row r="864" spans="1:6" x14ac:dyDescent="0.2">
      <c r="A864" s="28" t="s">
        <v>4067</v>
      </c>
      <c r="B864" s="29"/>
      <c r="C864" s="29"/>
      <c r="D864" s="29"/>
      <c r="E864" s="29"/>
      <c r="F864" s="29"/>
    </row>
    <row r="865" spans="1:6" x14ac:dyDescent="0.2">
      <c r="A865" s="30" t="s">
        <v>4068</v>
      </c>
      <c r="B865" s="29"/>
      <c r="C865" s="29"/>
      <c r="D865" s="29"/>
      <c r="E865" s="29"/>
      <c r="F865" s="29"/>
    </row>
    <row r="866" spans="1:6" x14ac:dyDescent="0.2">
      <c r="A866" s="28" t="s">
        <v>4069</v>
      </c>
      <c r="B866" s="29"/>
      <c r="C866" s="29"/>
      <c r="D866" s="29"/>
      <c r="E866" s="29"/>
      <c r="F866" s="29"/>
    </row>
    <row r="867" spans="1:6" x14ac:dyDescent="0.2">
      <c r="A867" s="30" t="s">
        <v>4070</v>
      </c>
      <c r="B867" s="29"/>
      <c r="C867" s="29"/>
      <c r="D867" s="29"/>
      <c r="E867" s="29"/>
      <c r="F867" s="29"/>
    </row>
    <row r="868" spans="1:6" x14ac:dyDescent="0.2">
      <c r="A868" s="28" t="s">
        <v>4071</v>
      </c>
      <c r="B868" s="29"/>
      <c r="C868" s="29"/>
      <c r="D868" s="29"/>
      <c r="E868" s="29"/>
      <c r="F868" s="29"/>
    </row>
    <row r="869" spans="1:6" x14ac:dyDescent="0.2">
      <c r="A869" s="30" t="s">
        <v>4072</v>
      </c>
      <c r="B869" s="29"/>
      <c r="C869" s="29"/>
      <c r="D869" s="29"/>
      <c r="E869" s="29"/>
      <c r="F869" s="29"/>
    </row>
    <row r="870" spans="1:6" x14ac:dyDescent="0.2">
      <c r="A870" s="28" t="s">
        <v>4073</v>
      </c>
      <c r="B870" s="29"/>
      <c r="C870" s="29"/>
      <c r="D870" s="29"/>
      <c r="E870" s="29"/>
      <c r="F870" s="29"/>
    </row>
    <row r="871" spans="1:6" x14ac:dyDescent="0.2">
      <c r="A871" s="30" t="s">
        <v>4074</v>
      </c>
      <c r="B871" s="29"/>
      <c r="C871" s="29"/>
      <c r="D871" s="29"/>
      <c r="E871" s="29"/>
      <c r="F871" s="29"/>
    </row>
    <row r="872" spans="1:6" x14ac:dyDescent="0.2">
      <c r="A872" s="28" t="s">
        <v>4075</v>
      </c>
      <c r="B872" s="29"/>
      <c r="C872" s="29"/>
      <c r="D872" s="29"/>
      <c r="E872" s="29"/>
      <c r="F872" s="29"/>
    </row>
    <row r="873" spans="1:6" x14ac:dyDescent="0.2">
      <c r="A873" s="30" t="s">
        <v>4076</v>
      </c>
      <c r="B873" s="29"/>
      <c r="C873" s="29"/>
      <c r="D873" s="29"/>
      <c r="E873" s="29"/>
      <c r="F873" s="29"/>
    </row>
    <row r="874" spans="1:6" x14ac:dyDescent="0.2">
      <c r="A874" s="28" t="s">
        <v>4077</v>
      </c>
      <c r="B874" s="29"/>
      <c r="C874" s="29"/>
      <c r="D874" s="29"/>
      <c r="E874" s="29"/>
      <c r="F874" s="29"/>
    </row>
    <row r="875" spans="1:6" x14ac:dyDescent="0.2">
      <c r="A875" s="30" t="s">
        <v>4078</v>
      </c>
      <c r="B875" s="29"/>
      <c r="C875" s="29"/>
      <c r="D875" s="29"/>
      <c r="E875" s="29"/>
      <c r="F875" s="29"/>
    </row>
    <row r="876" spans="1:6" x14ac:dyDescent="0.2">
      <c r="A876" s="28" t="s">
        <v>4079</v>
      </c>
      <c r="B876" s="29"/>
      <c r="C876" s="29"/>
      <c r="D876" s="29"/>
      <c r="E876" s="29"/>
      <c r="F876" s="29"/>
    </row>
    <row r="877" spans="1:6" x14ac:dyDescent="0.2">
      <c r="A877" s="30" t="s">
        <v>4080</v>
      </c>
      <c r="B877" s="29"/>
      <c r="C877" s="29"/>
      <c r="D877" s="29"/>
      <c r="E877" s="29"/>
      <c r="F877" s="29"/>
    </row>
    <row r="878" spans="1:6" x14ac:dyDescent="0.2">
      <c r="A878" s="28" t="s">
        <v>4081</v>
      </c>
      <c r="B878" s="29"/>
      <c r="C878" s="29"/>
      <c r="D878" s="29"/>
      <c r="E878" s="29"/>
      <c r="F878" s="29"/>
    </row>
    <row r="879" spans="1:6" x14ac:dyDescent="0.2">
      <c r="A879" s="30" t="s">
        <v>4082</v>
      </c>
      <c r="B879" s="29"/>
      <c r="C879" s="29"/>
      <c r="D879" s="29"/>
      <c r="E879" s="29"/>
      <c r="F879" s="29"/>
    </row>
    <row r="880" spans="1:6" x14ac:dyDescent="0.2">
      <c r="A880" s="28" t="s">
        <v>4083</v>
      </c>
      <c r="B880" s="29"/>
      <c r="C880" s="29"/>
      <c r="D880" s="29"/>
      <c r="E880" s="29"/>
      <c r="F880" s="29"/>
    </row>
    <row r="881" spans="1:6" x14ac:dyDescent="0.2">
      <c r="A881" s="30" t="s">
        <v>4084</v>
      </c>
      <c r="B881" s="29"/>
      <c r="C881" s="29"/>
      <c r="D881" s="29"/>
      <c r="E881" s="29"/>
      <c r="F881" s="29"/>
    </row>
    <row r="882" spans="1:6" x14ac:dyDescent="0.2">
      <c r="A882" s="28" t="s">
        <v>4085</v>
      </c>
      <c r="B882" s="29"/>
      <c r="C882" s="29"/>
      <c r="D882" s="29"/>
      <c r="E882" s="29"/>
      <c r="F882" s="29"/>
    </row>
    <row r="883" spans="1:6" x14ac:dyDescent="0.2">
      <c r="A883" s="30" t="s">
        <v>4086</v>
      </c>
      <c r="B883" s="29"/>
      <c r="C883" s="29"/>
      <c r="D883" s="29"/>
      <c r="E883" s="29"/>
      <c r="F883" s="29"/>
    </row>
    <row r="884" spans="1:6" x14ac:dyDescent="0.2">
      <c r="A884" s="28" t="s">
        <v>4087</v>
      </c>
      <c r="B884" s="29"/>
      <c r="C884" s="29"/>
      <c r="D884" s="29"/>
      <c r="E884" s="29"/>
      <c r="F884" s="29"/>
    </row>
    <row r="885" spans="1:6" x14ac:dyDescent="0.2">
      <c r="A885" s="30" t="s">
        <v>4088</v>
      </c>
      <c r="B885" s="29"/>
      <c r="C885" s="29"/>
      <c r="D885" s="29"/>
      <c r="E885" s="29"/>
      <c r="F885" s="29"/>
    </row>
    <row r="886" spans="1:6" x14ac:dyDescent="0.2">
      <c r="A886" s="28" t="s">
        <v>4089</v>
      </c>
      <c r="B886" s="29"/>
      <c r="C886" s="29"/>
      <c r="D886" s="29"/>
      <c r="E886" s="29"/>
      <c r="F886" s="29"/>
    </row>
    <row r="887" spans="1:6" x14ac:dyDescent="0.2">
      <c r="A887" s="30" t="s">
        <v>4090</v>
      </c>
      <c r="B887" s="29"/>
      <c r="C887" s="29"/>
      <c r="D887" s="29"/>
      <c r="E887" s="29"/>
      <c r="F887" s="29"/>
    </row>
    <row r="888" spans="1:6" x14ac:dyDescent="0.2">
      <c r="A888" s="28" t="s">
        <v>4091</v>
      </c>
      <c r="B888" s="29"/>
      <c r="C888" s="29"/>
      <c r="D888" s="29"/>
      <c r="E888" s="29"/>
      <c r="F888" s="29"/>
    </row>
    <row r="889" spans="1:6" x14ac:dyDescent="0.2">
      <c r="A889" s="30" t="s">
        <v>4092</v>
      </c>
      <c r="B889" s="29"/>
      <c r="C889" s="29"/>
      <c r="D889" s="29"/>
      <c r="E889" s="29"/>
      <c r="F889" s="29"/>
    </row>
    <row r="890" spans="1:6" x14ac:dyDescent="0.2">
      <c r="A890" s="28" t="s">
        <v>4093</v>
      </c>
      <c r="B890" s="29"/>
      <c r="C890" s="29"/>
      <c r="D890" s="29"/>
      <c r="E890" s="29"/>
      <c r="F890" s="29"/>
    </row>
    <row r="891" spans="1:6" x14ac:dyDescent="0.2">
      <c r="A891" s="30" t="s">
        <v>4094</v>
      </c>
      <c r="B891" s="29"/>
      <c r="C891" s="29"/>
      <c r="D891" s="29"/>
      <c r="E891" s="29"/>
      <c r="F891" s="29"/>
    </row>
    <row r="892" spans="1:6" x14ac:dyDescent="0.2">
      <c r="A892" s="28" t="s">
        <v>4095</v>
      </c>
      <c r="B892" s="29"/>
      <c r="C892" s="29"/>
      <c r="D892" s="29"/>
      <c r="E892" s="29"/>
      <c r="F892" s="29"/>
    </row>
    <row r="893" spans="1:6" x14ac:dyDescent="0.2">
      <c r="A893" s="30" t="s">
        <v>4096</v>
      </c>
      <c r="B893" s="29"/>
      <c r="C893" s="29"/>
      <c r="D893" s="29"/>
      <c r="E893" s="29"/>
      <c r="F893" s="29"/>
    </row>
    <row r="894" spans="1:6" x14ac:dyDescent="0.2">
      <c r="A894" s="28" t="s">
        <v>4097</v>
      </c>
      <c r="B894" s="29"/>
      <c r="C894" s="29"/>
      <c r="D894" s="29"/>
      <c r="E894" s="29"/>
      <c r="F894" s="29"/>
    </row>
    <row r="895" spans="1:6" x14ac:dyDescent="0.2">
      <c r="A895" s="30" t="s">
        <v>4098</v>
      </c>
      <c r="B895" s="29"/>
      <c r="C895" s="29"/>
      <c r="D895" s="29"/>
      <c r="E895" s="29"/>
      <c r="F895" s="29"/>
    </row>
    <row r="896" spans="1:6" x14ac:dyDescent="0.2">
      <c r="A896" s="28" t="s">
        <v>4099</v>
      </c>
      <c r="B896" s="29"/>
      <c r="C896" s="29"/>
      <c r="D896" s="29"/>
      <c r="E896" s="29"/>
      <c r="F896" s="29"/>
    </row>
    <row r="897" spans="1:6" x14ac:dyDescent="0.2">
      <c r="A897" s="30" t="s">
        <v>4100</v>
      </c>
      <c r="B897" s="29"/>
      <c r="C897" s="29"/>
      <c r="D897" s="29"/>
      <c r="E897" s="29"/>
      <c r="F897" s="29"/>
    </row>
    <row r="898" spans="1:6" x14ac:dyDescent="0.2">
      <c r="A898" s="28" t="s">
        <v>4101</v>
      </c>
      <c r="B898" s="29"/>
      <c r="C898" s="29"/>
      <c r="D898" s="29"/>
      <c r="E898" s="29"/>
      <c r="F898" s="29"/>
    </row>
    <row r="899" spans="1:6" x14ac:dyDescent="0.2">
      <c r="A899" s="30" t="s">
        <v>4102</v>
      </c>
      <c r="B899" s="29"/>
      <c r="C899" s="29"/>
      <c r="D899" s="29"/>
      <c r="E899" s="29"/>
      <c r="F899" s="29"/>
    </row>
    <row r="900" spans="1:6" x14ac:dyDescent="0.2">
      <c r="A900" s="28" t="s">
        <v>4103</v>
      </c>
      <c r="B900" s="29"/>
      <c r="C900" s="29"/>
      <c r="D900" s="29"/>
      <c r="E900" s="29"/>
      <c r="F900" s="29"/>
    </row>
    <row r="901" spans="1:6" x14ac:dyDescent="0.2">
      <c r="A901" s="30" t="s">
        <v>4104</v>
      </c>
      <c r="B901" s="29"/>
      <c r="C901" s="29"/>
      <c r="D901" s="29"/>
      <c r="E901" s="29"/>
      <c r="F901" s="29"/>
    </row>
    <row r="902" spans="1:6" x14ac:dyDescent="0.2">
      <c r="A902" s="28" t="s">
        <v>4105</v>
      </c>
      <c r="B902" s="29"/>
      <c r="C902" s="29"/>
      <c r="D902" s="29"/>
      <c r="E902" s="29"/>
      <c r="F902" s="29"/>
    </row>
    <row r="903" spans="1:6" x14ac:dyDescent="0.2">
      <c r="A903" s="30" t="s">
        <v>4106</v>
      </c>
      <c r="B903" s="29"/>
      <c r="C903" s="29"/>
      <c r="D903" s="29"/>
      <c r="E903" s="29"/>
      <c r="F903" s="29"/>
    </row>
    <row r="904" spans="1:6" x14ac:dyDescent="0.2">
      <c r="A904" s="28" t="s">
        <v>4107</v>
      </c>
      <c r="B904" s="29"/>
      <c r="C904" s="29"/>
      <c r="D904" s="29"/>
      <c r="E904" s="29"/>
      <c r="F904" s="29"/>
    </row>
    <row r="905" spans="1:6" x14ac:dyDescent="0.2">
      <c r="A905" s="30" t="s">
        <v>4108</v>
      </c>
      <c r="B905" s="29"/>
      <c r="C905" s="29"/>
      <c r="D905" s="29"/>
      <c r="E905" s="29"/>
      <c r="F905" s="29"/>
    </row>
    <row r="906" spans="1:6" x14ac:dyDescent="0.2">
      <c r="A906" s="28" t="s">
        <v>4109</v>
      </c>
      <c r="B906" s="29"/>
      <c r="C906" s="29"/>
      <c r="D906" s="29"/>
      <c r="E906" s="29"/>
      <c r="F906" s="29"/>
    </row>
    <row r="907" spans="1:6" x14ac:dyDescent="0.2">
      <c r="A907" s="30" t="s">
        <v>4110</v>
      </c>
      <c r="B907" s="29"/>
      <c r="C907" s="29"/>
      <c r="D907" s="29"/>
      <c r="E907" s="29"/>
      <c r="F907" s="29"/>
    </row>
    <row r="908" spans="1:6" x14ac:dyDescent="0.2">
      <c r="A908" s="28" t="s">
        <v>4111</v>
      </c>
      <c r="B908" s="29"/>
      <c r="C908" s="29"/>
      <c r="D908" s="29"/>
      <c r="E908" s="29"/>
      <c r="F908" s="29"/>
    </row>
    <row r="909" spans="1:6" x14ac:dyDescent="0.2">
      <c r="A909" s="30" t="s">
        <v>4112</v>
      </c>
      <c r="B909" s="29"/>
      <c r="C909" s="29"/>
      <c r="D909" s="29"/>
      <c r="E909" s="29"/>
      <c r="F909" s="29"/>
    </row>
    <row r="910" spans="1:6" x14ac:dyDescent="0.2">
      <c r="A910" s="28" t="s">
        <v>4113</v>
      </c>
      <c r="B910" s="29"/>
      <c r="C910" s="29"/>
      <c r="D910" s="29"/>
      <c r="E910" s="29"/>
      <c r="F910" s="29"/>
    </row>
    <row r="911" spans="1:6" x14ac:dyDescent="0.2">
      <c r="A911" s="30" t="s">
        <v>4114</v>
      </c>
      <c r="B911" s="29"/>
      <c r="C911" s="29"/>
      <c r="D911" s="29"/>
      <c r="E911" s="29"/>
      <c r="F911" s="29"/>
    </row>
    <row r="912" spans="1:6" x14ac:dyDescent="0.2">
      <c r="A912" s="28" t="s">
        <v>4115</v>
      </c>
      <c r="B912" s="29"/>
      <c r="C912" s="29"/>
      <c r="D912" s="29"/>
      <c r="E912" s="29"/>
      <c r="F912" s="29"/>
    </row>
    <row r="913" spans="1:6" x14ac:dyDescent="0.2">
      <c r="A913" s="30" t="s">
        <v>4116</v>
      </c>
      <c r="B913" s="29"/>
      <c r="C913" s="29"/>
      <c r="D913" s="29"/>
      <c r="E913" s="29"/>
      <c r="F913" s="29"/>
    </row>
    <row r="914" spans="1:6" x14ac:dyDescent="0.2">
      <c r="A914" s="28" t="s">
        <v>4117</v>
      </c>
      <c r="B914" s="29"/>
      <c r="C914" s="29"/>
      <c r="D914" s="29"/>
      <c r="E914" s="29"/>
      <c r="F914" s="29"/>
    </row>
    <row r="915" spans="1:6" x14ac:dyDescent="0.2">
      <c r="A915" s="30" t="s">
        <v>4118</v>
      </c>
      <c r="B915" s="29"/>
      <c r="C915" s="29"/>
      <c r="D915" s="29"/>
      <c r="E915" s="29"/>
      <c r="F915" s="29"/>
    </row>
    <row r="916" spans="1:6" x14ac:dyDescent="0.2">
      <c r="A916" s="28" t="s">
        <v>4119</v>
      </c>
      <c r="B916" s="29"/>
      <c r="C916" s="29"/>
      <c r="D916" s="29"/>
      <c r="E916" s="29"/>
      <c r="F916" s="29"/>
    </row>
    <row r="917" spans="1:6" x14ac:dyDescent="0.2">
      <c r="A917" s="30" t="s">
        <v>4120</v>
      </c>
      <c r="B917" s="29"/>
      <c r="C917" s="29"/>
      <c r="D917" s="29"/>
      <c r="E917" s="29"/>
      <c r="F917" s="29"/>
    </row>
    <row r="918" spans="1:6" x14ac:dyDescent="0.2">
      <c r="A918" s="28" t="s">
        <v>4121</v>
      </c>
      <c r="B918" s="29"/>
      <c r="C918" s="29"/>
      <c r="D918" s="29"/>
      <c r="E918" s="29"/>
      <c r="F918" s="29"/>
    </row>
    <row r="919" spans="1:6" x14ac:dyDescent="0.2">
      <c r="A919" s="30" t="s">
        <v>4122</v>
      </c>
      <c r="B919" s="29"/>
      <c r="C919" s="29"/>
      <c r="D919" s="29"/>
      <c r="E919" s="29"/>
      <c r="F919" s="29"/>
    </row>
    <row r="920" spans="1:6" x14ac:dyDescent="0.2">
      <c r="A920" s="28" t="s">
        <v>4123</v>
      </c>
      <c r="B920" s="29"/>
      <c r="C920" s="29"/>
      <c r="D920" s="29"/>
      <c r="E920" s="29"/>
      <c r="F920" s="29"/>
    </row>
    <row r="921" spans="1:6" x14ac:dyDescent="0.2">
      <c r="A921" s="30" t="s">
        <v>4124</v>
      </c>
      <c r="B921" s="29"/>
      <c r="C921" s="29"/>
      <c r="D921" s="29"/>
      <c r="E921" s="29"/>
      <c r="F921" s="29"/>
    </row>
    <row r="922" spans="1:6" x14ac:dyDescent="0.2">
      <c r="A922" s="28" t="s">
        <v>4125</v>
      </c>
      <c r="B922" s="29"/>
      <c r="C922" s="29"/>
      <c r="D922" s="29"/>
      <c r="E922" s="29"/>
      <c r="F922" s="29"/>
    </row>
    <row r="923" spans="1:6" x14ac:dyDescent="0.2">
      <c r="A923" s="30" t="s">
        <v>4126</v>
      </c>
      <c r="B923" s="29"/>
      <c r="C923" s="29"/>
      <c r="D923" s="29"/>
      <c r="E923" s="29"/>
      <c r="F923" s="29"/>
    </row>
    <row r="924" spans="1:6" x14ac:dyDescent="0.2">
      <c r="A924" s="28" t="s">
        <v>4127</v>
      </c>
      <c r="B924" s="29"/>
      <c r="C924" s="29"/>
      <c r="D924" s="29"/>
      <c r="E924" s="29"/>
      <c r="F924" s="29"/>
    </row>
    <row r="925" spans="1:6" x14ac:dyDescent="0.2">
      <c r="A925" s="30" t="s">
        <v>4128</v>
      </c>
      <c r="B925" s="29"/>
      <c r="C925" s="29"/>
      <c r="D925" s="29"/>
      <c r="E925" s="29"/>
      <c r="F925" s="29"/>
    </row>
    <row r="926" spans="1:6" x14ac:dyDescent="0.2">
      <c r="A926" s="28" t="s">
        <v>4129</v>
      </c>
      <c r="B926" s="29"/>
      <c r="C926" s="29"/>
      <c r="D926" s="29"/>
      <c r="E926" s="29"/>
      <c r="F926" s="29"/>
    </row>
    <row r="927" spans="1:6" x14ac:dyDescent="0.2">
      <c r="A927" s="30" t="s">
        <v>4130</v>
      </c>
      <c r="B927" s="29"/>
      <c r="C927" s="29"/>
      <c r="D927" s="29"/>
      <c r="E927" s="29"/>
      <c r="F927" s="29"/>
    </row>
    <row r="928" spans="1:6" x14ac:dyDescent="0.2">
      <c r="A928" s="28" t="s">
        <v>4131</v>
      </c>
      <c r="B928" s="29"/>
      <c r="C928" s="29"/>
      <c r="D928" s="29"/>
      <c r="E928" s="29"/>
      <c r="F928" s="29"/>
    </row>
    <row r="929" spans="1:6" x14ac:dyDescent="0.2">
      <c r="A929" s="30" t="s">
        <v>4132</v>
      </c>
      <c r="B929" s="29"/>
      <c r="C929" s="29"/>
      <c r="D929" s="29"/>
      <c r="E929" s="29"/>
      <c r="F929" s="29"/>
    </row>
    <row r="930" spans="1:6" x14ac:dyDescent="0.2">
      <c r="A930" s="28" t="s">
        <v>4133</v>
      </c>
      <c r="B930" s="29"/>
      <c r="C930" s="29"/>
      <c r="D930" s="29"/>
      <c r="E930" s="29"/>
      <c r="F930" s="29"/>
    </row>
    <row r="931" spans="1:6" x14ac:dyDescent="0.2">
      <c r="A931" s="30" t="s">
        <v>4134</v>
      </c>
      <c r="B931" s="29"/>
      <c r="C931" s="29"/>
      <c r="D931" s="29"/>
      <c r="E931" s="29"/>
      <c r="F931" s="29"/>
    </row>
    <row r="932" spans="1:6" x14ac:dyDescent="0.2">
      <c r="A932" s="28" t="s">
        <v>4135</v>
      </c>
      <c r="B932" s="29"/>
      <c r="C932" s="29"/>
      <c r="D932" s="29"/>
      <c r="E932" s="29"/>
      <c r="F932" s="29"/>
    </row>
    <row r="933" spans="1:6" x14ac:dyDescent="0.2">
      <c r="A933" s="30" t="s">
        <v>4136</v>
      </c>
      <c r="B933" s="29"/>
      <c r="C933" s="29"/>
      <c r="D933" s="29"/>
      <c r="E933" s="29"/>
      <c r="F933" s="29"/>
    </row>
    <row r="934" spans="1:6" x14ac:dyDescent="0.2">
      <c r="A934" s="28" t="s">
        <v>4137</v>
      </c>
      <c r="B934" s="29"/>
      <c r="C934" s="29"/>
      <c r="D934" s="29"/>
      <c r="E934" s="29"/>
      <c r="F934" s="29"/>
    </row>
    <row r="935" spans="1:6" x14ac:dyDescent="0.2">
      <c r="A935" s="30" t="s">
        <v>4138</v>
      </c>
      <c r="B935" s="29"/>
      <c r="C935" s="29"/>
      <c r="D935" s="29"/>
      <c r="E935" s="29"/>
      <c r="F935" s="29"/>
    </row>
    <row r="936" spans="1:6" x14ac:dyDescent="0.2">
      <c r="A936" s="28" t="s">
        <v>4139</v>
      </c>
      <c r="B936" s="29"/>
      <c r="C936" s="29"/>
      <c r="D936" s="29"/>
      <c r="E936" s="29"/>
      <c r="F936" s="29"/>
    </row>
    <row r="937" spans="1:6" x14ac:dyDescent="0.2">
      <c r="A937" s="30" t="s">
        <v>4140</v>
      </c>
      <c r="B937" s="29"/>
      <c r="C937" s="29"/>
      <c r="D937" s="29"/>
      <c r="E937" s="29"/>
      <c r="F937" s="29"/>
    </row>
    <row r="938" spans="1:6" x14ac:dyDescent="0.2">
      <c r="A938" s="28" t="s">
        <v>4141</v>
      </c>
      <c r="B938" s="29"/>
      <c r="C938" s="29"/>
      <c r="D938" s="29"/>
      <c r="E938" s="29"/>
      <c r="F938" s="29"/>
    </row>
    <row r="939" spans="1:6" x14ac:dyDescent="0.2">
      <c r="A939" s="30" t="s">
        <v>4142</v>
      </c>
      <c r="B939" s="29"/>
      <c r="C939" s="29"/>
      <c r="D939" s="29"/>
      <c r="E939" s="29"/>
      <c r="F939" s="29"/>
    </row>
    <row r="940" spans="1:6" x14ac:dyDescent="0.2">
      <c r="A940" s="28" t="s">
        <v>4143</v>
      </c>
      <c r="B940" s="29"/>
      <c r="C940" s="29"/>
      <c r="D940" s="29"/>
      <c r="E940" s="29"/>
      <c r="F940" s="29"/>
    </row>
    <row r="941" spans="1:6" x14ac:dyDescent="0.2">
      <c r="A941" s="30" t="s">
        <v>4144</v>
      </c>
      <c r="B941" s="29"/>
      <c r="C941" s="29"/>
      <c r="D941" s="29"/>
      <c r="E941" s="29"/>
      <c r="F941" s="29"/>
    </row>
    <row r="942" spans="1:6" x14ac:dyDescent="0.2">
      <c r="A942" s="28" t="s">
        <v>4145</v>
      </c>
      <c r="B942" s="29"/>
      <c r="C942" s="29"/>
      <c r="D942" s="29"/>
      <c r="E942" s="29"/>
      <c r="F942" s="29"/>
    </row>
    <row r="943" spans="1:6" x14ac:dyDescent="0.2">
      <c r="A943" s="30" t="s">
        <v>4146</v>
      </c>
      <c r="B943" s="29"/>
      <c r="C943" s="29"/>
      <c r="D943" s="29"/>
      <c r="E943" s="29"/>
      <c r="F943" s="29"/>
    </row>
    <row r="944" spans="1:6" x14ac:dyDescent="0.2">
      <c r="A944" s="28" t="s">
        <v>4147</v>
      </c>
      <c r="B944" s="29"/>
      <c r="C944" s="29"/>
      <c r="D944" s="29"/>
      <c r="E944" s="29"/>
      <c r="F944" s="29"/>
    </row>
    <row r="945" spans="1:6" x14ac:dyDescent="0.2">
      <c r="A945" s="30" t="s">
        <v>4148</v>
      </c>
      <c r="B945" s="29"/>
      <c r="C945" s="29"/>
      <c r="D945" s="29"/>
      <c r="E945" s="29"/>
      <c r="F945" s="29"/>
    </row>
    <row r="946" spans="1:6" x14ac:dyDescent="0.2">
      <c r="A946" s="28" t="s">
        <v>4149</v>
      </c>
      <c r="B946" s="29"/>
      <c r="C946" s="29"/>
      <c r="D946" s="29"/>
      <c r="E946" s="29"/>
      <c r="F946" s="29"/>
    </row>
    <row r="947" spans="1:6" x14ac:dyDescent="0.2">
      <c r="A947" s="30" t="s">
        <v>4150</v>
      </c>
      <c r="B947" s="29"/>
      <c r="C947" s="29"/>
      <c r="D947" s="29"/>
      <c r="E947" s="29"/>
      <c r="F947" s="29"/>
    </row>
    <row r="948" spans="1:6" x14ac:dyDescent="0.2">
      <c r="A948" s="28" t="s">
        <v>4151</v>
      </c>
      <c r="B948" s="29"/>
      <c r="C948" s="29"/>
      <c r="D948" s="29"/>
      <c r="E948" s="29"/>
      <c r="F948" s="29"/>
    </row>
    <row r="949" spans="1:6" x14ac:dyDescent="0.2">
      <c r="A949" s="30" t="s">
        <v>4152</v>
      </c>
      <c r="B949" s="29"/>
      <c r="C949" s="29"/>
      <c r="D949" s="29"/>
      <c r="E949" s="29"/>
      <c r="F949" s="29"/>
    </row>
    <row r="950" spans="1:6" x14ac:dyDescent="0.2">
      <c r="A950" s="28" t="s">
        <v>4153</v>
      </c>
      <c r="B950" s="29"/>
      <c r="C950" s="29"/>
      <c r="D950" s="29"/>
      <c r="E950" s="29"/>
      <c r="F950" s="29"/>
    </row>
    <row r="951" spans="1:6" x14ac:dyDescent="0.2">
      <c r="A951" s="30" t="s">
        <v>4154</v>
      </c>
      <c r="B951" s="29"/>
      <c r="C951" s="29"/>
      <c r="D951" s="29"/>
      <c r="E951" s="29"/>
      <c r="F951" s="29"/>
    </row>
    <row r="952" spans="1:6" x14ac:dyDescent="0.2">
      <c r="A952" s="28" t="s">
        <v>4155</v>
      </c>
      <c r="B952" s="29"/>
      <c r="C952" s="29"/>
      <c r="D952" s="29"/>
      <c r="E952" s="29"/>
      <c r="F952" s="29"/>
    </row>
    <row r="953" spans="1:6" x14ac:dyDescent="0.2">
      <c r="A953" s="30" t="s">
        <v>4156</v>
      </c>
      <c r="B953" s="29"/>
      <c r="C953" s="29"/>
      <c r="D953" s="29"/>
      <c r="E953" s="29"/>
      <c r="F953" s="29"/>
    </row>
    <row r="954" spans="1:6" x14ac:dyDescent="0.2">
      <c r="A954" s="28" t="s">
        <v>4157</v>
      </c>
      <c r="B954" s="29"/>
      <c r="C954" s="29"/>
      <c r="D954" s="29"/>
      <c r="E954" s="29"/>
      <c r="F954" s="29"/>
    </row>
    <row r="955" spans="1:6" x14ac:dyDescent="0.2">
      <c r="A955" s="30" t="s">
        <v>4158</v>
      </c>
      <c r="B955" s="29"/>
      <c r="C955" s="29"/>
      <c r="D955" s="29"/>
      <c r="E955" s="29"/>
      <c r="F955" s="29"/>
    </row>
    <row r="956" spans="1:6" x14ac:dyDescent="0.2">
      <c r="A956" s="28" t="s">
        <v>4159</v>
      </c>
      <c r="B956" s="29"/>
      <c r="C956" s="29"/>
      <c r="D956" s="29"/>
      <c r="E956" s="29"/>
      <c r="F956" s="29"/>
    </row>
    <row r="957" spans="1:6" x14ac:dyDescent="0.2">
      <c r="A957" s="30" t="s">
        <v>4160</v>
      </c>
      <c r="B957" s="29"/>
      <c r="C957" s="29"/>
      <c r="D957" s="29"/>
      <c r="E957" s="29"/>
      <c r="F957" s="29"/>
    </row>
    <row r="958" spans="1:6" x14ac:dyDescent="0.2">
      <c r="A958" s="28" t="s">
        <v>4161</v>
      </c>
      <c r="B958" s="29"/>
      <c r="C958" s="29"/>
      <c r="D958" s="29"/>
      <c r="E958" s="29"/>
      <c r="F958" s="29"/>
    </row>
    <row r="959" spans="1:6" x14ac:dyDescent="0.2">
      <c r="A959" s="30" t="s">
        <v>4162</v>
      </c>
      <c r="B959" s="29"/>
      <c r="C959" s="29"/>
      <c r="D959" s="29"/>
      <c r="E959" s="29"/>
      <c r="F959" s="29"/>
    </row>
    <row r="960" spans="1:6" x14ac:dyDescent="0.2">
      <c r="A960" s="28" t="s">
        <v>4163</v>
      </c>
      <c r="B960" s="29"/>
      <c r="C960" s="29"/>
      <c r="D960" s="29"/>
      <c r="E960" s="29"/>
      <c r="F960" s="29"/>
    </row>
    <row r="961" spans="1:6" x14ac:dyDescent="0.2">
      <c r="A961" s="30" t="s">
        <v>4164</v>
      </c>
      <c r="B961" s="29"/>
      <c r="C961" s="29"/>
      <c r="D961" s="29"/>
      <c r="E961" s="29"/>
      <c r="F961" s="29"/>
    </row>
    <row r="962" spans="1:6" x14ac:dyDescent="0.2">
      <c r="A962" s="28" t="s">
        <v>4165</v>
      </c>
      <c r="B962" s="29"/>
      <c r="C962" s="29"/>
      <c r="D962" s="29"/>
      <c r="E962" s="29"/>
      <c r="F962" s="29"/>
    </row>
    <row r="963" spans="1:6" x14ac:dyDescent="0.2">
      <c r="A963" s="30" t="s">
        <v>4166</v>
      </c>
      <c r="B963" s="29"/>
      <c r="C963" s="29"/>
      <c r="D963" s="29"/>
      <c r="E963" s="29"/>
      <c r="F963" s="29"/>
    </row>
    <row r="964" spans="1:6" x14ac:dyDescent="0.2">
      <c r="A964" s="28" t="s">
        <v>4167</v>
      </c>
      <c r="B964" s="29"/>
      <c r="C964" s="29"/>
      <c r="D964" s="29"/>
      <c r="E964" s="29"/>
      <c r="F964" s="29"/>
    </row>
    <row r="965" spans="1:6" x14ac:dyDescent="0.2">
      <c r="A965" s="30" t="s">
        <v>4168</v>
      </c>
      <c r="B965" s="29"/>
      <c r="C965" s="29"/>
      <c r="D965" s="29"/>
      <c r="E965" s="29"/>
      <c r="F965" s="29"/>
    </row>
    <row r="966" spans="1:6" x14ac:dyDescent="0.2">
      <c r="A966" s="28" t="s">
        <v>4169</v>
      </c>
      <c r="B966" s="29"/>
      <c r="C966" s="29"/>
      <c r="D966" s="29"/>
      <c r="E966" s="29"/>
      <c r="F966" s="29"/>
    </row>
    <row r="967" spans="1:6" x14ac:dyDescent="0.2">
      <c r="A967" s="30" t="s">
        <v>4170</v>
      </c>
      <c r="B967" s="29"/>
      <c r="C967" s="29"/>
      <c r="D967" s="29"/>
      <c r="E967" s="29"/>
      <c r="F967" s="29"/>
    </row>
    <row r="968" spans="1:6" x14ac:dyDescent="0.2">
      <c r="A968" s="28" t="s">
        <v>4171</v>
      </c>
      <c r="B968" s="29"/>
      <c r="C968" s="29"/>
      <c r="D968" s="29"/>
      <c r="E968" s="29"/>
      <c r="F968" s="29"/>
    </row>
    <row r="969" spans="1:6" x14ac:dyDescent="0.2">
      <c r="A969" s="30" t="s">
        <v>4172</v>
      </c>
      <c r="B969" s="29"/>
      <c r="C969" s="29"/>
      <c r="D969" s="29"/>
      <c r="E969" s="29"/>
      <c r="F969" s="29"/>
    </row>
    <row r="970" spans="1:6" x14ac:dyDescent="0.2">
      <c r="A970" s="28" t="s">
        <v>4173</v>
      </c>
      <c r="B970" s="29"/>
      <c r="C970" s="29"/>
      <c r="D970" s="29"/>
      <c r="E970" s="29"/>
      <c r="F970" s="29"/>
    </row>
    <row r="971" spans="1:6" x14ac:dyDescent="0.2">
      <c r="A971" s="30" t="s">
        <v>4174</v>
      </c>
      <c r="B971" s="29"/>
      <c r="C971" s="29"/>
      <c r="D971" s="29"/>
      <c r="E971" s="29"/>
      <c r="F971" s="29"/>
    </row>
    <row r="972" spans="1:6" x14ac:dyDescent="0.2">
      <c r="A972" s="28" t="s">
        <v>4175</v>
      </c>
      <c r="B972" s="29"/>
      <c r="C972" s="29"/>
      <c r="D972" s="29"/>
      <c r="E972" s="29"/>
      <c r="F972" s="29"/>
    </row>
    <row r="973" spans="1:6" x14ac:dyDescent="0.2">
      <c r="A973" s="30" t="s">
        <v>4176</v>
      </c>
      <c r="B973" s="29"/>
      <c r="C973" s="29"/>
      <c r="D973" s="29"/>
      <c r="E973" s="29"/>
      <c r="F973" s="29"/>
    </row>
    <row r="974" spans="1:6" x14ac:dyDescent="0.2">
      <c r="A974" s="28" t="s">
        <v>4177</v>
      </c>
      <c r="B974" s="29"/>
      <c r="C974" s="29"/>
      <c r="D974" s="29"/>
      <c r="E974" s="29"/>
      <c r="F974" s="29"/>
    </row>
    <row r="975" spans="1:6" x14ac:dyDescent="0.2">
      <c r="A975" s="30" t="s">
        <v>4178</v>
      </c>
      <c r="B975" s="29"/>
      <c r="C975" s="29"/>
      <c r="D975" s="29"/>
      <c r="E975" s="29"/>
      <c r="F975" s="29"/>
    </row>
    <row r="976" spans="1:6" x14ac:dyDescent="0.2">
      <c r="A976" s="28" t="s">
        <v>4179</v>
      </c>
      <c r="B976" s="29"/>
      <c r="C976" s="29"/>
      <c r="D976" s="29"/>
      <c r="E976" s="29"/>
      <c r="F976" s="29"/>
    </row>
    <row r="977" spans="1:6" x14ac:dyDescent="0.2">
      <c r="A977" s="30" t="s">
        <v>4180</v>
      </c>
      <c r="B977" s="29"/>
      <c r="C977" s="29"/>
      <c r="D977" s="29"/>
      <c r="E977" s="29"/>
      <c r="F977" s="29"/>
    </row>
    <row r="978" spans="1:6" x14ac:dyDescent="0.2">
      <c r="A978" s="28" t="s">
        <v>4181</v>
      </c>
      <c r="B978" s="29"/>
      <c r="C978" s="29"/>
      <c r="D978" s="29"/>
      <c r="E978" s="29"/>
      <c r="F978" s="29"/>
    </row>
    <row r="979" spans="1:6" x14ac:dyDescent="0.2">
      <c r="A979" s="30" t="s">
        <v>4182</v>
      </c>
      <c r="B979" s="29"/>
      <c r="C979" s="29"/>
      <c r="D979" s="29"/>
      <c r="E979" s="29"/>
      <c r="F979" s="29"/>
    </row>
    <row r="980" spans="1:6" x14ac:dyDescent="0.2">
      <c r="A980" s="28" t="s">
        <v>4183</v>
      </c>
      <c r="B980" s="29"/>
      <c r="C980" s="29"/>
      <c r="D980" s="29"/>
      <c r="E980" s="29"/>
      <c r="F980" s="29"/>
    </row>
    <row r="981" spans="1:6" x14ac:dyDescent="0.2">
      <c r="A981" s="30" t="s">
        <v>4184</v>
      </c>
      <c r="B981" s="29"/>
      <c r="C981" s="29"/>
      <c r="D981" s="29"/>
      <c r="E981" s="29"/>
      <c r="F981" s="29"/>
    </row>
    <row r="982" spans="1:6" x14ac:dyDescent="0.2">
      <c r="A982" s="28" t="s">
        <v>4185</v>
      </c>
      <c r="B982" s="29"/>
      <c r="C982" s="29"/>
      <c r="D982" s="29"/>
      <c r="E982" s="29"/>
      <c r="F982" s="29"/>
    </row>
    <row r="983" spans="1:6" x14ac:dyDescent="0.2">
      <c r="A983" s="30" t="s">
        <v>4186</v>
      </c>
      <c r="B983" s="29"/>
      <c r="C983" s="29"/>
      <c r="D983" s="29"/>
      <c r="E983" s="29"/>
      <c r="F983" s="29"/>
    </row>
    <row r="984" spans="1:6" x14ac:dyDescent="0.2">
      <c r="A984" s="28" t="s">
        <v>4187</v>
      </c>
      <c r="B984" s="29"/>
      <c r="C984" s="29"/>
      <c r="D984" s="29"/>
      <c r="E984" s="29"/>
      <c r="F984" s="29"/>
    </row>
    <row r="985" spans="1:6" x14ac:dyDescent="0.2">
      <c r="A985" s="30" t="s">
        <v>4188</v>
      </c>
      <c r="B985" s="29"/>
      <c r="C985" s="29"/>
      <c r="D985" s="29"/>
      <c r="E985" s="29"/>
      <c r="F985" s="29"/>
    </row>
    <row r="986" spans="1:6" x14ac:dyDescent="0.2">
      <c r="A986" s="28" t="s">
        <v>4189</v>
      </c>
      <c r="B986" s="29"/>
      <c r="C986" s="29"/>
      <c r="D986" s="29"/>
      <c r="E986" s="29"/>
      <c r="F986" s="29"/>
    </row>
    <row r="987" spans="1:6" x14ac:dyDescent="0.2">
      <c r="A987" s="30" t="s">
        <v>4190</v>
      </c>
      <c r="B987" s="29"/>
      <c r="C987" s="29"/>
      <c r="D987" s="29"/>
      <c r="E987" s="29"/>
      <c r="F987" s="29"/>
    </row>
    <row r="988" spans="1:6" x14ac:dyDescent="0.2">
      <c r="A988" s="28" t="s">
        <v>4191</v>
      </c>
      <c r="B988" s="29"/>
      <c r="C988" s="29"/>
      <c r="D988" s="29"/>
      <c r="E988" s="29"/>
      <c r="F988" s="29"/>
    </row>
    <row r="989" spans="1:6" x14ac:dyDescent="0.2">
      <c r="A989" s="30" t="s">
        <v>4192</v>
      </c>
      <c r="B989" s="29"/>
      <c r="C989" s="29"/>
      <c r="D989" s="29"/>
      <c r="E989" s="29"/>
      <c r="F989" s="29"/>
    </row>
    <row r="990" spans="1:6" x14ac:dyDescent="0.2">
      <c r="A990" s="28" t="s">
        <v>4193</v>
      </c>
      <c r="B990" s="29"/>
      <c r="C990" s="29"/>
      <c r="D990" s="29"/>
      <c r="E990" s="29"/>
      <c r="F990" s="29"/>
    </row>
    <row r="991" spans="1:6" x14ac:dyDescent="0.2">
      <c r="A991" s="30" t="s">
        <v>4194</v>
      </c>
      <c r="B991" s="29"/>
      <c r="C991" s="29"/>
      <c r="D991" s="29"/>
      <c r="E991" s="29"/>
      <c r="F991" s="29"/>
    </row>
    <row r="992" spans="1:6" x14ac:dyDescent="0.2">
      <c r="A992" s="28" t="s">
        <v>4195</v>
      </c>
      <c r="B992" s="29"/>
      <c r="C992" s="29"/>
      <c r="D992" s="29"/>
      <c r="E992" s="29"/>
      <c r="F992" s="29"/>
    </row>
    <row r="993" spans="1:6" x14ac:dyDescent="0.2">
      <c r="A993" s="30" t="s">
        <v>4196</v>
      </c>
      <c r="B993" s="29"/>
      <c r="C993" s="29"/>
      <c r="D993" s="29"/>
      <c r="E993" s="29"/>
      <c r="F993" s="29"/>
    </row>
    <row r="994" spans="1:6" x14ac:dyDescent="0.2">
      <c r="A994" s="28" t="s">
        <v>4197</v>
      </c>
      <c r="B994" s="29"/>
      <c r="C994" s="29"/>
      <c r="D994" s="29"/>
      <c r="E994" s="29"/>
      <c r="F994" s="29"/>
    </row>
    <row r="995" spans="1:6" x14ac:dyDescent="0.2">
      <c r="A995" s="30" t="s">
        <v>4198</v>
      </c>
      <c r="B995" s="29"/>
      <c r="C995" s="29"/>
      <c r="D995" s="29"/>
      <c r="E995" s="29"/>
      <c r="F995" s="29"/>
    </row>
    <row r="996" spans="1:6" x14ac:dyDescent="0.2">
      <c r="A996" s="28" t="s">
        <v>4199</v>
      </c>
      <c r="B996" s="29"/>
      <c r="C996" s="29"/>
      <c r="D996" s="29"/>
      <c r="E996" s="29"/>
      <c r="F996" s="29"/>
    </row>
    <row r="997" spans="1:6" x14ac:dyDescent="0.2">
      <c r="A997" s="30" t="s">
        <v>4200</v>
      </c>
      <c r="B997" s="29"/>
      <c r="C997" s="29"/>
      <c r="D997" s="29"/>
      <c r="E997" s="29"/>
      <c r="F997" s="29"/>
    </row>
    <row r="998" spans="1:6" x14ac:dyDescent="0.2">
      <c r="A998" s="28" t="s">
        <v>4201</v>
      </c>
      <c r="B998" s="29"/>
      <c r="C998" s="29"/>
      <c r="D998" s="29"/>
      <c r="E998" s="29"/>
      <c r="F998" s="29"/>
    </row>
    <row r="999" spans="1:6" x14ac:dyDescent="0.2">
      <c r="A999" s="30" t="s">
        <v>4202</v>
      </c>
      <c r="B999" s="29"/>
      <c r="C999" s="29"/>
      <c r="D999" s="29"/>
      <c r="E999" s="29"/>
      <c r="F999" s="29"/>
    </row>
    <row r="1000" spans="1:6" x14ac:dyDescent="0.2">
      <c r="A1000" s="28" t="s">
        <v>4203</v>
      </c>
      <c r="B1000" s="29"/>
      <c r="C1000" s="29"/>
      <c r="D1000" s="29"/>
      <c r="E1000" s="29"/>
      <c r="F1000" s="29"/>
    </row>
    <row r="1001" spans="1:6" x14ac:dyDescent="0.2">
      <c r="A1001" s="30" t="s">
        <v>4204</v>
      </c>
      <c r="B1001" s="29"/>
      <c r="C1001" s="29"/>
      <c r="D1001" s="29"/>
      <c r="E1001" s="29"/>
      <c r="F1001" s="29"/>
    </row>
    <row r="1002" spans="1:6" x14ac:dyDescent="0.2">
      <c r="A1002" s="28" t="s">
        <v>4205</v>
      </c>
      <c r="B1002" s="29"/>
      <c r="C1002" s="29"/>
      <c r="D1002" s="29"/>
      <c r="E1002" s="29"/>
      <c r="F1002" s="29"/>
    </row>
    <row r="1003" spans="1:6" x14ac:dyDescent="0.2">
      <c r="A1003" s="30" t="s">
        <v>4206</v>
      </c>
      <c r="B1003" s="29"/>
      <c r="C1003" s="29"/>
      <c r="D1003" s="29"/>
      <c r="E1003" s="29"/>
      <c r="F1003" s="29"/>
    </row>
    <row r="1004" spans="1:6" x14ac:dyDescent="0.2">
      <c r="A1004" s="28" t="s">
        <v>4207</v>
      </c>
      <c r="B1004" s="29"/>
      <c r="C1004" s="29"/>
      <c r="D1004" s="29"/>
      <c r="E1004" s="29"/>
      <c r="F1004" s="29"/>
    </row>
    <row r="1005" spans="1:6" x14ac:dyDescent="0.2">
      <c r="A1005" s="30" t="s">
        <v>4208</v>
      </c>
      <c r="B1005" s="29"/>
      <c r="C1005" s="29"/>
      <c r="D1005" s="29"/>
      <c r="E1005" s="29"/>
      <c r="F1005" s="29"/>
    </row>
    <row r="1006" spans="1:6" x14ac:dyDescent="0.2">
      <c r="A1006" s="28" t="s">
        <v>4209</v>
      </c>
      <c r="B1006" s="29"/>
      <c r="C1006" s="29"/>
      <c r="D1006" s="29"/>
      <c r="E1006" s="29"/>
      <c r="F1006" s="29"/>
    </row>
    <row r="1007" spans="1:6" x14ac:dyDescent="0.2">
      <c r="A1007" s="30" t="s">
        <v>4210</v>
      </c>
      <c r="B1007" s="29"/>
      <c r="C1007" s="29"/>
      <c r="D1007" s="29"/>
      <c r="E1007" s="29"/>
      <c r="F1007" s="29"/>
    </row>
    <row r="1008" spans="1:6" x14ac:dyDescent="0.2">
      <c r="A1008" s="28" t="s">
        <v>4211</v>
      </c>
      <c r="B1008" s="29"/>
      <c r="C1008" s="29"/>
      <c r="D1008" s="29"/>
      <c r="E1008" s="29"/>
      <c r="F1008" s="29"/>
    </row>
    <row r="1009" spans="1:6" x14ac:dyDescent="0.2">
      <c r="A1009" s="30" t="s">
        <v>4212</v>
      </c>
      <c r="B1009" s="29"/>
      <c r="C1009" s="29"/>
      <c r="D1009" s="29"/>
      <c r="E1009" s="29"/>
      <c r="F1009" s="29"/>
    </row>
    <row r="1010" spans="1:6" x14ac:dyDescent="0.2">
      <c r="A1010" s="28" t="s">
        <v>4213</v>
      </c>
      <c r="B1010" s="29"/>
      <c r="C1010" s="29"/>
      <c r="D1010" s="29"/>
      <c r="E1010" s="29"/>
      <c r="F1010" s="29"/>
    </row>
    <row r="1011" spans="1:6" x14ac:dyDescent="0.2">
      <c r="A1011" s="30" t="s">
        <v>4214</v>
      </c>
      <c r="B1011" s="29"/>
      <c r="C1011" s="29"/>
      <c r="D1011" s="29"/>
      <c r="E1011" s="29"/>
      <c r="F1011" s="29"/>
    </row>
    <row r="1012" spans="1:6" x14ac:dyDescent="0.2">
      <c r="A1012" s="28" t="s">
        <v>4215</v>
      </c>
      <c r="B1012" s="29"/>
      <c r="C1012" s="29"/>
      <c r="D1012" s="29"/>
      <c r="E1012" s="29"/>
      <c r="F1012" s="29"/>
    </row>
    <row r="1013" spans="1:6" x14ac:dyDescent="0.2">
      <c r="A1013" s="30" t="s">
        <v>4216</v>
      </c>
      <c r="B1013" s="29"/>
      <c r="C1013" s="29"/>
      <c r="D1013" s="29"/>
      <c r="E1013" s="29"/>
      <c r="F1013" s="29"/>
    </row>
    <row r="1014" spans="1:6" x14ac:dyDescent="0.2">
      <c r="A1014" s="28" t="s">
        <v>4217</v>
      </c>
      <c r="B1014" s="29"/>
      <c r="C1014" s="29"/>
      <c r="D1014" s="29"/>
      <c r="E1014" s="29"/>
      <c r="F1014" s="29"/>
    </row>
    <row r="1015" spans="1:6" x14ac:dyDescent="0.2">
      <c r="A1015" s="30" t="s">
        <v>4218</v>
      </c>
      <c r="B1015" s="29"/>
      <c r="C1015" s="29"/>
      <c r="D1015" s="29"/>
      <c r="E1015" s="29"/>
      <c r="F1015" s="29"/>
    </row>
    <row r="1016" spans="1:6" x14ac:dyDescent="0.2">
      <c r="A1016" s="28" t="s">
        <v>4219</v>
      </c>
      <c r="B1016" s="29"/>
      <c r="C1016" s="29"/>
      <c r="D1016" s="29"/>
      <c r="E1016" s="29"/>
      <c r="F1016" s="29"/>
    </row>
    <row r="1017" spans="1:6" x14ac:dyDescent="0.2">
      <c r="A1017" s="30" t="s">
        <v>4220</v>
      </c>
      <c r="B1017" s="29"/>
      <c r="C1017" s="29"/>
      <c r="D1017" s="29"/>
      <c r="E1017" s="29"/>
      <c r="F1017" s="29"/>
    </row>
    <row r="1018" spans="1:6" x14ac:dyDescent="0.2">
      <c r="A1018" s="28" t="s">
        <v>4221</v>
      </c>
      <c r="B1018" s="29"/>
      <c r="C1018" s="29"/>
      <c r="D1018" s="29"/>
      <c r="E1018" s="29"/>
      <c r="F1018" s="29"/>
    </row>
    <row r="1019" spans="1:6" x14ac:dyDescent="0.2">
      <c r="A1019" s="30" t="s">
        <v>4222</v>
      </c>
      <c r="B1019" s="29"/>
      <c r="C1019" s="29"/>
      <c r="D1019" s="29"/>
      <c r="E1019" s="29"/>
      <c r="F1019" s="29"/>
    </row>
    <row r="1020" spans="1:6" x14ac:dyDescent="0.2">
      <c r="A1020" s="28" t="s">
        <v>4223</v>
      </c>
      <c r="B1020" s="29"/>
      <c r="C1020" s="29"/>
      <c r="D1020" s="29"/>
      <c r="E1020" s="29"/>
      <c r="F1020" s="29"/>
    </row>
    <row r="1021" spans="1:6" x14ac:dyDescent="0.2">
      <c r="A1021" s="30" t="s">
        <v>4224</v>
      </c>
      <c r="B1021" s="29"/>
      <c r="C1021" s="29"/>
      <c r="D1021" s="29"/>
      <c r="E1021" s="29"/>
      <c r="F1021" s="29"/>
    </row>
    <row r="1022" spans="1:6" x14ac:dyDescent="0.2">
      <c r="A1022" s="28" t="s">
        <v>4225</v>
      </c>
      <c r="B1022" s="29"/>
      <c r="C1022" s="29"/>
      <c r="D1022" s="29"/>
      <c r="E1022" s="29"/>
      <c r="F1022" s="29"/>
    </row>
    <row r="1023" spans="1:6" x14ac:dyDescent="0.2">
      <c r="A1023" s="30" t="s">
        <v>4226</v>
      </c>
      <c r="B1023" s="29"/>
      <c r="C1023" s="29"/>
      <c r="D1023" s="29"/>
      <c r="E1023" s="29"/>
      <c r="F1023" s="29"/>
    </row>
    <row r="1024" spans="1:6" x14ac:dyDescent="0.2">
      <c r="A1024" s="28" t="s">
        <v>4227</v>
      </c>
      <c r="B1024" s="29"/>
      <c r="C1024" s="29"/>
      <c r="D1024" s="29"/>
      <c r="E1024" s="29"/>
      <c r="F1024" s="29"/>
    </row>
    <row r="1025" spans="1:6" x14ac:dyDescent="0.2">
      <c r="A1025" s="30" t="s">
        <v>4228</v>
      </c>
      <c r="B1025" s="29"/>
      <c r="C1025" s="29"/>
      <c r="D1025" s="29"/>
      <c r="E1025" s="29"/>
      <c r="F1025" s="29"/>
    </row>
    <row r="1026" spans="1:6" x14ac:dyDescent="0.2">
      <c r="A1026" s="28" t="s">
        <v>4229</v>
      </c>
      <c r="B1026" s="29"/>
      <c r="C1026" s="29"/>
      <c r="D1026" s="29"/>
      <c r="E1026" s="29"/>
      <c r="F1026" s="29"/>
    </row>
    <row r="1027" spans="1:6" x14ac:dyDescent="0.2">
      <c r="A1027" s="30" t="s">
        <v>4230</v>
      </c>
      <c r="B1027" s="29"/>
      <c r="C1027" s="29"/>
      <c r="D1027" s="29"/>
      <c r="E1027" s="29"/>
      <c r="F1027" s="29"/>
    </row>
    <row r="1028" spans="1:6" x14ac:dyDescent="0.2">
      <c r="A1028" s="28" t="s">
        <v>4231</v>
      </c>
      <c r="B1028" s="29"/>
      <c r="C1028" s="29"/>
      <c r="D1028" s="29"/>
      <c r="E1028" s="29"/>
      <c r="F1028" s="29"/>
    </row>
    <row r="1029" spans="1:6" x14ac:dyDescent="0.2">
      <c r="A1029" s="30" t="s">
        <v>4232</v>
      </c>
      <c r="B1029" s="29"/>
      <c r="C1029" s="29"/>
      <c r="D1029" s="29"/>
      <c r="E1029" s="29"/>
      <c r="F1029" s="29"/>
    </row>
    <row r="1030" spans="1:6" x14ac:dyDescent="0.2">
      <c r="A1030" s="28" t="s">
        <v>4233</v>
      </c>
      <c r="B1030" s="29"/>
      <c r="C1030" s="29"/>
      <c r="D1030" s="29"/>
      <c r="E1030" s="29"/>
      <c r="F1030" s="29"/>
    </row>
    <row r="1031" spans="1:6" x14ac:dyDescent="0.2">
      <c r="A1031" s="30" t="s">
        <v>4234</v>
      </c>
      <c r="B1031" s="29"/>
      <c r="C1031" s="29"/>
      <c r="D1031" s="29"/>
      <c r="E1031" s="29"/>
      <c r="F1031" s="29"/>
    </row>
    <row r="1032" spans="1:6" x14ac:dyDescent="0.2">
      <c r="A1032" s="28" t="s">
        <v>4235</v>
      </c>
      <c r="B1032" s="29"/>
      <c r="C1032" s="29"/>
      <c r="D1032" s="29"/>
      <c r="E1032" s="29"/>
      <c r="F1032" s="29"/>
    </row>
    <row r="1033" spans="1:6" x14ac:dyDescent="0.2">
      <c r="A1033" s="30" t="s">
        <v>4236</v>
      </c>
      <c r="B1033" s="29"/>
      <c r="C1033" s="29"/>
      <c r="D1033" s="29"/>
      <c r="E1033" s="29"/>
      <c r="F1033" s="29"/>
    </row>
    <row r="1034" spans="1:6" x14ac:dyDescent="0.2">
      <c r="A1034" s="28" t="s">
        <v>4237</v>
      </c>
      <c r="B1034" s="29"/>
      <c r="C1034" s="29"/>
      <c r="D1034" s="29"/>
      <c r="E1034" s="29"/>
      <c r="F1034" s="29"/>
    </row>
    <row r="1035" spans="1:6" x14ac:dyDescent="0.2">
      <c r="A1035" s="30" t="s">
        <v>4238</v>
      </c>
      <c r="B1035" s="29"/>
      <c r="C1035" s="29"/>
      <c r="D1035" s="29"/>
      <c r="E1035" s="29"/>
      <c r="F1035" s="29"/>
    </row>
    <row r="1036" spans="1:6" x14ac:dyDescent="0.2">
      <c r="A1036" s="28" t="s">
        <v>4239</v>
      </c>
      <c r="B1036" s="29"/>
      <c r="C1036" s="29"/>
      <c r="D1036" s="29"/>
      <c r="E1036" s="29"/>
      <c r="F1036" s="29"/>
    </row>
    <row r="1037" spans="1:6" x14ac:dyDescent="0.2">
      <c r="A1037" s="30" t="s">
        <v>4240</v>
      </c>
      <c r="B1037" s="29"/>
      <c r="C1037" s="29"/>
      <c r="D1037" s="29"/>
      <c r="E1037" s="29"/>
      <c r="F1037" s="29"/>
    </row>
    <row r="1038" spans="1:6" x14ac:dyDescent="0.2">
      <c r="A1038" s="28" t="s">
        <v>4241</v>
      </c>
      <c r="B1038" s="29"/>
      <c r="C1038" s="29"/>
      <c r="D1038" s="29"/>
      <c r="E1038" s="29"/>
      <c r="F1038" s="29"/>
    </row>
    <row r="1039" spans="1:6" x14ac:dyDescent="0.2">
      <c r="A1039" s="30" t="s">
        <v>4242</v>
      </c>
      <c r="B1039" s="29"/>
      <c r="C1039" s="29"/>
      <c r="D1039" s="29"/>
      <c r="E1039" s="29"/>
      <c r="F1039" s="29"/>
    </row>
    <row r="1040" spans="1:6" x14ac:dyDescent="0.2">
      <c r="A1040" s="28" t="s">
        <v>4243</v>
      </c>
      <c r="B1040" s="29"/>
      <c r="C1040" s="29"/>
      <c r="D1040" s="29"/>
      <c r="E1040" s="29"/>
      <c r="F1040" s="29"/>
    </row>
    <row r="1041" spans="1:6" x14ac:dyDescent="0.2">
      <c r="A1041" s="30" t="s">
        <v>4244</v>
      </c>
      <c r="B1041" s="29"/>
      <c r="C1041" s="29"/>
      <c r="D1041" s="29"/>
      <c r="E1041" s="29"/>
      <c r="F1041" s="29"/>
    </row>
    <row r="1042" spans="1:6" x14ac:dyDescent="0.2">
      <c r="A1042" s="28" t="s">
        <v>4245</v>
      </c>
      <c r="B1042" s="29"/>
      <c r="C1042" s="29"/>
      <c r="D1042" s="29"/>
      <c r="E1042" s="29"/>
      <c r="F1042" s="29"/>
    </row>
    <row r="1043" spans="1:6" x14ac:dyDescent="0.2">
      <c r="A1043" s="30" t="s">
        <v>4246</v>
      </c>
      <c r="B1043" s="29"/>
      <c r="C1043" s="29"/>
      <c r="D1043" s="29"/>
      <c r="E1043" s="29"/>
      <c r="F1043" s="29"/>
    </row>
    <row r="1044" spans="1:6" x14ac:dyDescent="0.2">
      <c r="A1044" s="28" t="s">
        <v>4247</v>
      </c>
      <c r="B1044" s="29"/>
      <c r="C1044" s="29"/>
      <c r="D1044" s="29"/>
      <c r="E1044" s="29"/>
      <c r="F1044" s="29"/>
    </row>
    <row r="1045" spans="1:6" x14ac:dyDescent="0.2">
      <c r="A1045" s="30" t="s">
        <v>4248</v>
      </c>
      <c r="B1045" s="29"/>
      <c r="C1045" s="29"/>
      <c r="D1045" s="29"/>
      <c r="E1045" s="29"/>
      <c r="F1045" s="29"/>
    </row>
    <row r="1046" spans="1:6" x14ac:dyDescent="0.2">
      <c r="A1046" s="28" t="s">
        <v>4249</v>
      </c>
      <c r="B1046" s="29"/>
      <c r="C1046" s="29"/>
      <c r="D1046" s="29"/>
      <c r="E1046" s="29"/>
      <c r="F1046" s="29"/>
    </row>
    <row r="1047" spans="1:6" x14ac:dyDescent="0.2">
      <c r="A1047" s="30" t="s">
        <v>4250</v>
      </c>
      <c r="B1047" s="29"/>
      <c r="C1047" s="29"/>
      <c r="D1047" s="29"/>
      <c r="E1047" s="29"/>
      <c r="F1047" s="29"/>
    </row>
    <row r="1048" spans="1:6" x14ac:dyDescent="0.2">
      <c r="A1048" s="28" t="s">
        <v>4251</v>
      </c>
      <c r="B1048" s="29"/>
      <c r="C1048" s="29"/>
      <c r="D1048" s="29"/>
      <c r="E1048" s="29"/>
      <c r="F1048" s="29"/>
    </row>
    <row r="1049" spans="1:6" x14ac:dyDescent="0.2">
      <c r="A1049" s="30" t="s">
        <v>4252</v>
      </c>
      <c r="B1049" s="29"/>
      <c r="C1049" s="29"/>
      <c r="D1049" s="29"/>
      <c r="E1049" s="29"/>
      <c r="F1049" s="29"/>
    </row>
    <row r="1050" spans="1:6" x14ac:dyDescent="0.2">
      <c r="A1050" s="28" t="s">
        <v>4253</v>
      </c>
      <c r="B1050" s="29"/>
      <c r="C1050" s="29"/>
      <c r="D1050" s="29"/>
      <c r="E1050" s="29"/>
      <c r="F1050" s="29"/>
    </row>
    <row r="1051" spans="1:6" x14ac:dyDescent="0.2">
      <c r="A1051" s="30" t="s">
        <v>4254</v>
      </c>
      <c r="B1051" s="29"/>
      <c r="C1051" s="29"/>
      <c r="D1051" s="29"/>
      <c r="E1051" s="29"/>
      <c r="F1051" s="29"/>
    </row>
    <row r="1052" spans="1:6" x14ac:dyDescent="0.2">
      <c r="A1052" s="28" t="s">
        <v>4255</v>
      </c>
      <c r="B1052" s="29"/>
      <c r="C1052" s="29"/>
      <c r="D1052" s="29"/>
      <c r="E1052" s="29"/>
      <c r="F1052" s="29"/>
    </row>
    <row r="1053" spans="1:6" x14ac:dyDescent="0.2">
      <c r="A1053" s="30" t="s">
        <v>4256</v>
      </c>
      <c r="B1053" s="29"/>
      <c r="C1053" s="29"/>
      <c r="D1053" s="29"/>
      <c r="E1053" s="29"/>
      <c r="F1053" s="29"/>
    </row>
    <row r="1054" spans="1:6" x14ac:dyDescent="0.2">
      <c r="A1054" s="28" t="s">
        <v>4257</v>
      </c>
      <c r="B1054" s="29"/>
      <c r="C1054" s="29"/>
      <c r="D1054" s="29"/>
      <c r="E1054" s="29"/>
      <c r="F1054" s="29"/>
    </row>
    <row r="1055" spans="1:6" x14ac:dyDescent="0.2">
      <c r="A1055" s="30" t="s">
        <v>4258</v>
      </c>
      <c r="B1055" s="29"/>
      <c r="C1055" s="29"/>
      <c r="D1055" s="29"/>
      <c r="E1055" s="29"/>
      <c r="F1055" s="29"/>
    </row>
    <row r="1056" spans="1:6" x14ac:dyDescent="0.2">
      <c r="A1056" s="28" t="s">
        <v>4259</v>
      </c>
      <c r="B1056" s="29"/>
      <c r="C1056" s="29"/>
      <c r="D1056" s="29"/>
      <c r="E1056" s="29"/>
      <c r="F1056" s="29"/>
    </row>
    <row r="1057" spans="1:6" x14ac:dyDescent="0.2">
      <c r="A1057" s="30" t="s">
        <v>4260</v>
      </c>
      <c r="B1057" s="29"/>
      <c r="C1057" s="29"/>
      <c r="D1057" s="29"/>
      <c r="E1057" s="29"/>
      <c r="F1057" s="29"/>
    </row>
    <row r="1058" spans="1:6" x14ac:dyDescent="0.2">
      <c r="A1058" s="28" t="s">
        <v>4261</v>
      </c>
      <c r="B1058" s="29"/>
      <c r="C1058" s="29"/>
      <c r="D1058" s="29"/>
      <c r="E1058" s="29"/>
      <c r="F1058" s="29"/>
    </row>
    <row r="1059" spans="1:6" x14ac:dyDescent="0.2">
      <c r="A1059" s="30" t="s">
        <v>4262</v>
      </c>
      <c r="B1059" s="29"/>
      <c r="C1059" s="29"/>
      <c r="D1059" s="29"/>
      <c r="E1059" s="29"/>
      <c r="F1059" s="29"/>
    </row>
    <row r="1060" spans="1:6" x14ac:dyDescent="0.2">
      <c r="A1060" s="28" t="s">
        <v>4263</v>
      </c>
      <c r="B1060" s="29"/>
      <c r="C1060" s="29"/>
      <c r="D1060" s="29"/>
      <c r="E1060" s="29"/>
      <c r="F1060" s="29"/>
    </row>
    <row r="1061" spans="1:6" x14ac:dyDescent="0.2">
      <c r="A1061" s="30" t="s">
        <v>4264</v>
      </c>
      <c r="B1061" s="29"/>
      <c r="C1061" s="29"/>
      <c r="D1061" s="29"/>
      <c r="E1061" s="29"/>
      <c r="F1061" s="29"/>
    </row>
    <row r="1062" spans="1:6" x14ac:dyDescent="0.2">
      <c r="A1062" s="28" t="s">
        <v>4265</v>
      </c>
      <c r="B1062" s="29"/>
      <c r="C1062" s="29"/>
      <c r="D1062" s="29"/>
      <c r="E1062" s="29"/>
      <c r="F1062" s="29"/>
    </row>
    <row r="1063" spans="1:6" x14ac:dyDescent="0.2">
      <c r="A1063" s="30" t="s">
        <v>4266</v>
      </c>
      <c r="B1063" s="29"/>
      <c r="C1063" s="29"/>
      <c r="D1063" s="29"/>
      <c r="E1063" s="29"/>
      <c r="F1063" s="29"/>
    </row>
    <row r="1064" spans="1:6" x14ac:dyDescent="0.2">
      <c r="A1064" s="28" t="s">
        <v>4267</v>
      </c>
      <c r="B1064" s="29"/>
      <c r="C1064" s="29"/>
      <c r="D1064" s="29"/>
      <c r="E1064" s="29"/>
      <c r="F1064" s="29"/>
    </row>
    <row r="1065" spans="1:6" x14ac:dyDescent="0.2">
      <c r="A1065" s="30" t="s">
        <v>4268</v>
      </c>
      <c r="B1065" s="29"/>
      <c r="C1065" s="29"/>
      <c r="D1065" s="29"/>
      <c r="E1065" s="29"/>
      <c r="F1065" s="29"/>
    </row>
    <row r="1066" spans="1:6" x14ac:dyDescent="0.2">
      <c r="A1066" s="28" t="s">
        <v>4269</v>
      </c>
      <c r="B1066" s="29"/>
      <c r="C1066" s="29"/>
      <c r="D1066" s="29"/>
      <c r="E1066" s="29"/>
      <c r="F1066" s="29"/>
    </row>
    <row r="1067" spans="1:6" x14ac:dyDescent="0.2">
      <c r="A1067" s="30" t="s">
        <v>4270</v>
      </c>
      <c r="B1067" s="29"/>
      <c r="C1067" s="29"/>
      <c r="D1067" s="29"/>
      <c r="E1067" s="29"/>
      <c r="F1067" s="29"/>
    </row>
    <row r="1068" spans="1:6" x14ac:dyDescent="0.2">
      <c r="A1068" s="28" t="s">
        <v>4271</v>
      </c>
      <c r="B1068" s="29"/>
      <c r="C1068" s="29"/>
      <c r="D1068" s="29"/>
      <c r="E1068" s="29"/>
      <c r="F1068" s="29"/>
    </row>
    <row r="1069" spans="1:6" x14ac:dyDescent="0.2">
      <c r="A1069" s="30" t="s">
        <v>4272</v>
      </c>
      <c r="B1069" s="29"/>
      <c r="C1069" s="29"/>
      <c r="D1069" s="29"/>
      <c r="E1069" s="29"/>
      <c r="F1069" s="29"/>
    </row>
    <row r="1070" spans="1:6" x14ac:dyDescent="0.2">
      <c r="A1070" s="28" t="s">
        <v>4273</v>
      </c>
      <c r="B1070" s="29"/>
      <c r="C1070" s="29"/>
      <c r="D1070" s="29"/>
      <c r="E1070" s="29"/>
      <c r="F1070" s="29"/>
    </row>
    <row r="1071" spans="1:6" x14ac:dyDescent="0.2">
      <c r="A1071" s="30" t="s">
        <v>4274</v>
      </c>
      <c r="B1071" s="29"/>
      <c r="C1071" s="29"/>
      <c r="D1071" s="29"/>
      <c r="E1071" s="29"/>
      <c r="F1071" s="29"/>
    </row>
    <row r="1072" spans="1:6" x14ac:dyDescent="0.2">
      <c r="A1072" s="28" t="s">
        <v>4275</v>
      </c>
      <c r="B1072" s="29"/>
      <c r="C1072" s="29"/>
      <c r="D1072" s="29"/>
      <c r="E1072" s="29"/>
      <c r="F1072" s="29"/>
    </row>
    <row r="1073" spans="1:6" x14ac:dyDescent="0.2">
      <c r="A1073" s="30" t="s">
        <v>4276</v>
      </c>
      <c r="B1073" s="29"/>
      <c r="C1073" s="29"/>
      <c r="D1073" s="29"/>
      <c r="E1073" s="29"/>
      <c r="F1073" s="29"/>
    </row>
    <row r="1074" spans="1:6" x14ac:dyDescent="0.2">
      <c r="A1074" s="28" t="s">
        <v>4277</v>
      </c>
      <c r="B1074" s="29"/>
      <c r="C1074" s="29"/>
      <c r="D1074" s="29"/>
      <c r="E1074" s="29"/>
      <c r="F1074" s="29"/>
    </row>
    <row r="1075" spans="1:6" x14ac:dyDescent="0.2">
      <c r="A1075" s="30" t="s">
        <v>4278</v>
      </c>
      <c r="B1075" s="29"/>
      <c r="C1075" s="29"/>
      <c r="D1075" s="29"/>
      <c r="E1075" s="29"/>
      <c r="F1075" s="29"/>
    </row>
    <row r="1076" spans="1:6" x14ac:dyDescent="0.2">
      <c r="A1076" s="28" t="s">
        <v>4279</v>
      </c>
      <c r="B1076" s="29"/>
      <c r="C1076" s="29"/>
      <c r="D1076" s="29"/>
      <c r="E1076" s="29"/>
      <c r="F1076" s="29"/>
    </row>
    <row r="1077" spans="1:6" x14ac:dyDescent="0.2">
      <c r="A1077" s="30" t="s">
        <v>4280</v>
      </c>
      <c r="B1077" s="29"/>
      <c r="C1077" s="29"/>
      <c r="D1077" s="29"/>
      <c r="E1077" s="29"/>
      <c r="F1077" s="29"/>
    </row>
    <row r="1078" spans="1:6" x14ac:dyDescent="0.2">
      <c r="A1078" s="28" t="s">
        <v>4281</v>
      </c>
      <c r="B1078" s="29"/>
      <c r="C1078" s="29"/>
      <c r="D1078" s="29"/>
      <c r="E1078" s="29"/>
      <c r="F1078" s="29"/>
    </row>
    <row r="1079" spans="1:6" x14ac:dyDescent="0.2">
      <c r="A1079" s="30" t="s">
        <v>4282</v>
      </c>
      <c r="B1079" s="29"/>
      <c r="C1079" s="29"/>
      <c r="D1079" s="29"/>
      <c r="E1079" s="29"/>
      <c r="F1079" s="29"/>
    </row>
    <row r="1080" spans="1:6" x14ac:dyDescent="0.2">
      <c r="A1080" s="28" t="s">
        <v>4283</v>
      </c>
      <c r="B1080" s="29"/>
      <c r="C1080" s="29"/>
      <c r="D1080" s="29"/>
      <c r="E1080" s="29"/>
      <c r="F1080" s="29"/>
    </row>
    <row r="1081" spans="1:6" x14ac:dyDescent="0.2">
      <c r="A1081" s="30" t="s">
        <v>4284</v>
      </c>
      <c r="B1081" s="29"/>
      <c r="C1081" s="29"/>
      <c r="D1081" s="29"/>
      <c r="E1081" s="29"/>
      <c r="F1081" s="29"/>
    </row>
    <row r="1082" spans="1:6" x14ac:dyDescent="0.2">
      <c r="A1082" s="28" t="s">
        <v>4285</v>
      </c>
      <c r="B1082" s="29"/>
      <c r="C1082" s="29"/>
      <c r="D1082" s="29"/>
      <c r="E1082" s="29"/>
      <c r="F1082" s="29"/>
    </row>
    <row r="1083" spans="1:6" x14ac:dyDescent="0.2">
      <c r="A1083" s="30" t="s">
        <v>4286</v>
      </c>
      <c r="B1083" s="29"/>
      <c r="C1083" s="29"/>
      <c r="D1083" s="29"/>
      <c r="E1083" s="29"/>
      <c r="F1083" s="29"/>
    </row>
    <row r="1084" spans="1:6" x14ac:dyDescent="0.2">
      <c r="A1084" s="28" t="s">
        <v>4287</v>
      </c>
      <c r="B1084" s="29"/>
      <c r="C1084" s="29"/>
      <c r="D1084" s="29"/>
      <c r="E1084" s="29"/>
      <c r="F1084" s="29"/>
    </row>
    <row r="1085" spans="1:6" x14ac:dyDescent="0.2">
      <c r="A1085" s="30" t="s">
        <v>4288</v>
      </c>
      <c r="B1085" s="29"/>
      <c r="C1085" s="29"/>
      <c r="D1085" s="29"/>
      <c r="E1085" s="29"/>
      <c r="F1085" s="29"/>
    </row>
    <row r="1086" spans="1:6" x14ac:dyDescent="0.2">
      <c r="A1086" s="28" t="s">
        <v>4289</v>
      </c>
      <c r="B1086" s="29"/>
      <c r="C1086" s="29"/>
      <c r="D1086" s="29"/>
      <c r="E1086" s="29"/>
      <c r="F1086" s="29"/>
    </row>
    <row r="1087" spans="1:6" x14ac:dyDescent="0.2">
      <c r="A1087" s="30" t="s">
        <v>4290</v>
      </c>
      <c r="B1087" s="29"/>
      <c r="C1087" s="29"/>
      <c r="D1087" s="29"/>
      <c r="E1087" s="29"/>
      <c r="F1087" s="29"/>
    </row>
    <row r="1088" spans="1:6" x14ac:dyDescent="0.2">
      <c r="A1088" s="28" t="s">
        <v>4291</v>
      </c>
      <c r="B1088" s="29"/>
      <c r="C1088" s="29"/>
      <c r="D1088" s="29"/>
      <c r="E1088" s="29"/>
      <c r="F1088" s="29"/>
    </row>
    <row r="1089" spans="1:6" x14ac:dyDescent="0.2">
      <c r="A1089" s="30" t="s">
        <v>4292</v>
      </c>
      <c r="B1089" s="29"/>
      <c r="C1089" s="29"/>
      <c r="D1089" s="29"/>
      <c r="E1089" s="29"/>
      <c r="F1089" s="29"/>
    </row>
    <row r="1090" spans="1:6" x14ac:dyDescent="0.2">
      <c r="A1090" s="28" t="s">
        <v>4293</v>
      </c>
      <c r="B1090" s="29"/>
      <c r="C1090" s="29"/>
      <c r="D1090" s="29"/>
      <c r="E1090" s="29"/>
      <c r="F1090" s="29"/>
    </row>
    <row r="1091" spans="1:6" x14ac:dyDescent="0.2">
      <c r="A1091" s="30" t="s">
        <v>4294</v>
      </c>
      <c r="B1091" s="29"/>
      <c r="C1091" s="29"/>
      <c r="D1091" s="29"/>
      <c r="E1091" s="29"/>
      <c r="F1091" s="29"/>
    </row>
    <row r="1092" spans="1:6" x14ac:dyDescent="0.2">
      <c r="A1092" s="28" t="s">
        <v>4295</v>
      </c>
      <c r="B1092" s="29"/>
      <c r="C1092" s="29"/>
      <c r="D1092" s="29"/>
      <c r="E1092" s="29"/>
      <c r="F1092" s="29"/>
    </row>
    <row r="1093" spans="1:6" x14ac:dyDescent="0.2">
      <c r="A1093" s="30" t="s">
        <v>4296</v>
      </c>
      <c r="B1093" s="29"/>
      <c r="C1093" s="29"/>
      <c r="D1093" s="29"/>
      <c r="E1093" s="29"/>
      <c r="F1093" s="29"/>
    </row>
    <row r="1094" spans="1:6" x14ac:dyDescent="0.2">
      <c r="A1094" s="28" t="s">
        <v>4297</v>
      </c>
      <c r="B1094" s="29"/>
      <c r="C1094" s="29"/>
      <c r="D1094" s="29"/>
      <c r="E1094" s="29"/>
      <c r="F1094" s="29"/>
    </row>
    <row r="1095" spans="1:6" x14ac:dyDescent="0.2">
      <c r="A1095" s="30" t="s">
        <v>4298</v>
      </c>
      <c r="B1095" s="29"/>
      <c r="C1095" s="29"/>
      <c r="D1095" s="29"/>
      <c r="E1095" s="29"/>
      <c r="F1095" s="29"/>
    </row>
    <row r="1096" spans="1:6" x14ac:dyDescent="0.2">
      <c r="A1096" s="28" t="s">
        <v>4299</v>
      </c>
      <c r="B1096" s="29"/>
      <c r="C1096" s="29"/>
      <c r="D1096" s="29"/>
      <c r="E1096" s="29"/>
      <c r="F1096" s="29"/>
    </row>
    <row r="1097" spans="1:6" x14ac:dyDescent="0.2">
      <c r="A1097" s="30" t="s">
        <v>4300</v>
      </c>
      <c r="B1097" s="29"/>
      <c r="C1097" s="29"/>
      <c r="D1097" s="29"/>
      <c r="E1097" s="29"/>
      <c r="F1097" s="29"/>
    </row>
    <row r="1098" spans="1:6" x14ac:dyDescent="0.2">
      <c r="A1098" s="28" t="s">
        <v>4301</v>
      </c>
      <c r="B1098" s="29"/>
      <c r="C1098" s="29"/>
      <c r="D1098" s="29"/>
      <c r="E1098" s="29"/>
      <c r="F1098" s="29"/>
    </row>
    <row r="1099" spans="1:6" x14ac:dyDescent="0.2">
      <c r="A1099" s="30" t="s">
        <v>4302</v>
      </c>
      <c r="B1099" s="29"/>
      <c r="C1099" s="29"/>
      <c r="D1099" s="29"/>
      <c r="E1099" s="29"/>
      <c r="F1099" s="29"/>
    </row>
    <row r="1100" spans="1:6" x14ac:dyDescent="0.2">
      <c r="A1100" s="28" t="s">
        <v>4303</v>
      </c>
      <c r="B1100" s="29"/>
      <c r="C1100" s="29"/>
      <c r="D1100" s="29"/>
      <c r="E1100" s="29"/>
      <c r="F1100" s="29"/>
    </row>
    <row r="1101" spans="1:6" x14ac:dyDescent="0.2">
      <c r="A1101" s="30" t="s">
        <v>4304</v>
      </c>
      <c r="B1101" s="29"/>
      <c r="C1101" s="29"/>
      <c r="D1101" s="29"/>
      <c r="E1101" s="29"/>
      <c r="F1101" s="29"/>
    </row>
    <row r="1102" spans="1:6" x14ac:dyDescent="0.2">
      <c r="A1102" s="28" t="s">
        <v>4305</v>
      </c>
      <c r="B1102" s="29"/>
      <c r="C1102" s="29"/>
      <c r="D1102" s="29"/>
      <c r="E1102" s="29"/>
      <c r="F1102" s="29"/>
    </row>
    <row r="1103" spans="1:6" x14ac:dyDescent="0.2">
      <c r="A1103" s="30" t="s">
        <v>4306</v>
      </c>
      <c r="B1103" s="29"/>
      <c r="C1103" s="29"/>
      <c r="D1103" s="29"/>
      <c r="E1103" s="29"/>
      <c r="F1103" s="29"/>
    </row>
    <row r="1104" spans="1:6" x14ac:dyDescent="0.2">
      <c r="A1104" s="28" t="s">
        <v>4307</v>
      </c>
      <c r="B1104" s="29"/>
      <c r="C1104" s="29"/>
      <c r="D1104" s="29"/>
      <c r="E1104" s="29"/>
      <c r="F1104" s="29"/>
    </row>
    <row r="1105" spans="1:6" x14ac:dyDescent="0.2">
      <c r="A1105" s="30" t="s">
        <v>4308</v>
      </c>
      <c r="B1105" s="29"/>
      <c r="C1105" s="29"/>
      <c r="D1105" s="29"/>
      <c r="E1105" s="29"/>
      <c r="F1105" s="29"/>
    </row>
    <row r="1106" spans="1:6" x14ac:dyDescent="0.2">
      <c r="A1106" s="28" t="s">
        <v>4309</v>
      </c>
      <c r="B1106" s="29"/>
      <c r="C1106" s="29"/>
      <c r="D1106" s="29"/>
      <c r="E1106" s="29"/>
      <c r="F1106" s="29"/>
    </row>
    <row r="1107" spans="1:6" x14ac:dyDescent="0.2">
      <c r="A1107" s="30" t="s">
        <v>4310</v>
      </c>
      <c r="B1107" s="29"/>
      <c r="C1107" s="29"/>
      <c r="D1107" s="29"/>
      <c r="E1107" s="29"/>
      <c r="F1107" s="29"/>
    </row>
    <row r="1108" spans="1:6" x14ac:dyDescent="0.2">
      <c r="A1108" s="28" t="s">
        <v>4311</v>
      </c>
      <c r="B1108" s="29"/>
      <c r="C1108" s="29"/>
      <c r="D1108" s="29"/>
      <c r="E1108" s="29"/>
      <c r="F1108" s="29"/>
    </row>
    <row r="1109" spans="1:6" x14ac:dyDescent="0.2">
      <c r="A1109" s="30" t="s">
        <v>4312</v>
      </c>
      <c r="B1109" s="29"/>
      <c r="C1109" s="29"/>
      <c r="D1109" s="29"/>
      <c r="E1109" s="29"/>
      <c r="F1109" s="29"/>
    </row>
    <row r="1110" spans="1:6" x14ac:dyDescent="0.2">
      <c r="A1110" s="28" t="s">
        <v>4313</v>
      </c>
      <c r="B1110" s="29"/>
      <c r="C1110" s="29"/>
      <c r="D1110" s="29"/>
      <c r="E1110" s="29"/>
      <c r="F1110" s="29"/>
    </row>
    <row r="1111" spans="1:6" x14ac:dyDescent="0.2">
      <c r="A1111" s="30" t="s">
        <v>4314</v>
      </c>
      <c r="B1111" s="29"/>
      <c r="C1111" s="29"/>
      <c r="D1111" s="29"/>
      <c r="E1111" s="29"/>
      <c r="F1111" s="29"/>
    </row>
    <row r="1112" spans="1:6" x14ac:dyDescent="0.2">
      <c r="A1112" s="28" t="s">
        <v>4315</v>
      </c>
      <c r="B1112" s="29"/>
      <c r="C1112" s="29"/>
      <c r="D1112" s="29"/>
      <c r="E1112" s="29"/>
      <c r="F1112" s="29"/>
    </row>
    <row r="1113" spans="1:6" x14ac:dyDescent="0.2">
      <c r="A1113" s="30" t="s">
        <v>4316</v>
      </c>
      <c r="B1113" s="29"/>
      <c r="C1113" s="29"/>
      <c r="D1113" s="29"/>
      <c r="E1113" s="29"/>
      <c r="F1113" s="29"/>
    </row>
    <row r="1114" spans="1:6" x14ac:dyDescent="0.2">
      <c r="A1114" s="28" t="s">
        <v>4317</v>
      </c>
      <c r="B1114" s="29"/>
      <c r="C1114" s="29"/>
      <c r="D1114" s="29"/>
      <c r="E1114" s="29"/>
      <c r="F1114" s="29"/>
    </row>
    <row r="1115" spans="1:6" x14ac:dyDescent="0.2">
      <c r="A1115" s="30" t="s">
        <v>4318</v>
      </c>
      <c r="B1115" s="29"/>
      <c r="C1115" s="29"/>
      <c r="D1115" s="29"/>
      <c r="E1115" s="29"/>
      <c r="F1115" s="29"/>
    </row>
    <row r="1116" spans="1:6" x14ac:dyDescent="0.2">
      <c r="A1116" s="28" t="s">
        <v>4319</v>
      </c>
      <c r="B1116" s="29"/>
      <c r="C1116" s="29"/>
      <c r="D1116" s="29"/>
      <c r="E1116" s="29"/>
      <c r="F1116" s="29"/>
    </row>
    <row r="1117" spans="1:6" x14ac:dyDescent="0.2">
      <c r="A1117" s="30" t="s">
        <v>4320</v>
      </c>
      <c r="B1117" s="29"/>
      <c r="C1117" s="29"/>
      <c r="D1117" s="29"/>
      <c r="E1117" s="29"/>
      <c r="F1117" s="29"/>
    </row>
    <row r="1118" spans="1:6" x14ac:dyDescent="0.2">
      <c r="A1118" s="28" t="s">
        <v>4321</v>
      </c>
      <c r="B1118" s="29"/>
      <c r="C1118" s="29"/>
      <c r="D1118" s="29"/>
      <c r="E1118" s="29"/>
      <c r="F1118" s="29"/>
    </row>
    <row r="1119" spans="1:6" x14ac:dyDescent="0.2">
      <c r="A1119" s="30" t="s">
        <v>4322</v>
      </c>
      <c r="B1119" s="29"/>
      <c r="C1119" s="29"/>
      <c r="D1119" s="29"/>
      <c r="E1119" s="29"/>
      <c r="F1119" s="29"/>
    </row>
    <row r="1120" spans="1:6" x14ac:dyDescent="0.2">
      <c r="A1120" s="28" t="s">
        <v>4323</v>
      </c>
      <c r="B1120" s="29"/>
      <c r="C1120" s="29"/>
      <c r="D1120" s="29"/>
      <c r="E1120" s="29"/>
      <c r="F1120" s="29"/>
    </row>
    <row r="1121" spans="1:6" x14ac:dyDescent="0.2">
      <c r="A1121" s="30" t="s">
        <v>4324</v>
      </c>
      <c r="B1121" s="29"/>
      <c r="C1121" s="29"/>
      <c r="D1121" s="29"/>
      <c r="E1121" s="29"/>
      <c r="F1121" s="29"/>
    </row>
    <row r="1122" spans="1:6" x14ac:dyDescent="0.2">
      <c r="A1122" s="28" t="s">
        <v>4325</v>
      </c>
      <c r="B1122" s="29"/>
      <c r="C1122" s="29"/>
      <c r="D1122" s="29"/>
      <c r="E1122" s="29"/>
      <c r="F1122" s="29"/>
    </row>
    <row r="1123" spans="1:6" x14ac:dyDescent="0.2">
      <c r="A1123" s="30" t="s">
        <v>4326</v>
      </c>
      <c r="B1123" s="29"/>
      <c r="C1123" s="29"/>
      <c r="D1123" s="29"/>
      <c r="E1123" s="29"/>
      <c r="F1123" s="29"/>
    </row>
    <row r="1124" spans="1:6" x14ac:dyDescent="0.2">
      <c r="A1124" s="28" t="s">
        <v>4327</v>
      </c>
      <c r="B1124" s="29"/>
      <c r="C1124" s="29"/>
      <c r="D1124" s="29"/>
      <c r="E1124" s="29"/>
      <c r="F1124" s="29"/>
    </row>
    <row r="1125" spans="1:6" x14ac:dyDescent="0.2">
      <c r="A1125" s="30" t="s">
        <v>4328</v>
      </c>
      <c r="B1125" s="29"/>
      <c r="C1125" s="29"/>
      <c r="D1125" s="29"/>
      <c r="E1125" s="29"/>
      <c r="F1125" s="29"/>
    </row>
    <row r="1126" spans="1:6" x14ac:dyDescent="0.2">
      <c r="A1126" s="28" t="s">
        <v>4329</v>
      </c>
      <c r="B1126" s="29"/>
      <c r="C1126" s="29"/>
      <c r="D1126" s="29"/>
      <c r="E1126" s="29"/>
      <c r="F1126" s="29"/>
    </row>
    <row r="1127" spans="1:6" x14ac:dyDescent="0.2">
      <c r="A1127" s="30" t="s">
        <v>4330</v>
      </c>
      <c r="B1127" s="29"/>
      <c r="C1127" s="29"/>
      <c r="D1127" s="29"/>
      <c r="E1127" s="29"/>
      <c r="F1127" s="29"/>
    </row>
    <row r="1128" spans="1:6" x14ac:dyDescent="0.2">
      <c r="A1128" s="28" t="s">
        <v>4331</v>
      </c>
      <c r="B1128" s="29"/>
      <c r="C1128" s="29"/>
      <c r="D1128" s="29"/>
      <c r="E1128" s="29"/>
      <c r="F1128" s="29"/>
    </row>
    <row r="1129" spans="1:6" x14ac:dyDescent="0.2">
      <c r="A1129" s="30" t="s">
        <v>4332</v>
      </c>
      <c r="B1129" s="29"/>
      <c r="C1129" s="29"/>
      <c r="D1129" s="29"/>
      <c r="E1129" s="29"/>
      <c r="F1129" s="29"/>
    </row>
    <row r="1130" spans="1:6" x14ac:dyDescent="0.2">
      <c r="A1130" s="28" t="s">
        <v>4333</v>
      </c>
      <c r="B1130" s="29"/>
      <c r="C1130" s="29"/>
      <c r="D1130" s="29"/>
      <c r="E1130" s="29"/>
      <c r="F1130" s="29"/>
    </row>
    <row r="1131" spans="1:6" x14ac:dyDescent="0.2">
      <c r="A1131" s="30" t="s">
        <v>4334</v>
      </c>
      <c r="B1131" s="29"/>
      <c r="C1131" s="29"/>
      <c r="D1131" s="29"/>
      <c r="E1131" s="29"/>
      <c r="F1131" s="29"/>
    </row>
    <row r="1132" spans="1:6" x14ac:dyDescent="0.2">
      <c r="A1132" s="28" t="s">
        <v>4335</v>
      </c>
      <c r="B1132" s="29"/>
      <c r="C1132" s="29"/>
      <c r="D1132" s="29"/>
      <c r="E1132" s="29"/>
      <c r="F1132" s="29"/>
    </row>
    <row r="1133" spans="1:6" x14ac:dyDescent="0.2">
      <c r="A1133" s="30" t="s">
        <v>4336</v>
      </c>
      <c r="B1133" s="29"/>
      <c r="C1133" s="29"/>
      <c r="D1133" s="29"/>
      <c r="E1133" s="29"/>
      <c r="F1133" s="29"/>
    </row>
    <row r="1134" spans="1:6" x14ac:dyDescent="0.2">
      <c r="A1134" s="28" t="s">
        <v>4337</v>
      </c>
      <c r="B1134" s="29"/>
      <c r="C1134" s="29"/>
      <c r="D1134" s="29"/>
      <c r="E1134" s="29"/>
      <c r="F1134" s="29"/>
    </row>
    <row r="1135" spans="1:6" x14ac:dyDescent="0.2">
      <c r="A1135" s="30" t="s">
        <v>4338</v>
      </c>
      <c r="B1135" s="29"/>
      <c r="C1135" s="29"/>
      <c r="D1135" s="29"/>
      <c r="E1135" s="29"/>
      <c r="F1135" s="29"/>
    </row>
    <row r="1136" spans="1:6" x14ac:dyDescent="0.2">
      <c r="A1136" s="28" t="s">
        <v>4339</v>
      </c>
      <c r="B1136" s="29"/>
      <c r="C1136" s="29"/>
      <c r="D1136" s="29"/>
      <c r="E1136" s="29"/>
      <c r="F1136" s="29"/>
    </row>
    <row r="1137" spans="1:6" x14ac:dyDescent="0.2">
      <c r="A1137" s="30" t="s">
        <v>4340</v>
      </c>
      <c r="B1137" s="29"/>
      <c r="C1137" s="29"/>
      <c r="D1137" s="29"/>
      <c r="E1137" s="29"/>
      <c r="F1137" s="29"/>
    </row>
    <row r="1138" spans="1:6" x14ac:dyDescent="0.2">
      <c r="A1138" s="28" t="s">
        <v>4341</v>
      </c>
      <c r="B1138" s="29"/>
      <c r="C1138" s="29"/>
      <c r="D1138" s="29"/>
      <c r="E1138" s="29"/>
      <c r="F1138" s="29"/>
    </row>
    <row r="1139" spans="1:6" x14ac:dyDescent="0.2">
      <c r="A1139" s="30" t="s">
        <v>4342</v>
      </c>
      <c r="B1139" s="29"/>
      <c r="C1139" s="29"/>
      <c r="D1139" s="29"/>
      <c r="E1139" s="29"/>
      <c r="F1139" s="29"/>
    </row>
    <row r="1140" spans="1:6" x14ac:dyDescent="0.2">
      <c r="A1140" s="28" t="s">
        <v>4343</v>
      </c>
      <c r="B1140" s="29"/>
      <c r="C1140" s="29"/>
      <c r="D1140" s="29"/>
      <c r="E1140" s="29"/>
      <c r="F1140" s="29"/>
    </row>
    <row r="1141" spans="1:6" x14ac:dyDescent="0.2">
      <c r="A1141" s="30" t="s">
        <v>4344</v>
      </c>
      <c r="B1141" s="29"/>
      <c r="C1141" s="29"/>
      <c r="D1141" s="29"/>
      <c r="E1141" s="29"/>
      <c r="F1141" s="29"/>
    </row>
    <row r="1142" spans="1:6" x14ac:dyDescent="0.2">
      <c r="A1142" s="28" t="s">
        <v>4345</v>
      </c>
      <c r="B1142" s="29"/>
      <c r="C1142" s="29"/>
      <c r="D1142" s="29"/>
      <c r="E1142" s="29"/>
      <c r="F1142" s="29"/>
    </row>
    <row r="1143" spans="1:6" x14ac:dyDescent="0.2">
      <c r="A1143" s="30" t="s">
        <v>4346</v>
      </c>
      <c r="B1143" s="29"/>
      <c r="C1143" s="29"/>
      <c r="D1143" s="29"/>
      <c r="E1143" s="29"/>
      <c r="F1143" s="29"/>
    </row>
    <row r="1144" spans="1:6" x14ac:dyDescent="0.2">
      <c r="A1144" s="28" t="s">
        <v>4347</v>
      </c>
      <c r="B1144" s="29"/>
      <c r="C1144" s="29"/>
      <c r="D1144" s="29"/>
      <c r="E1144" s="29"/>
      <c r="F1144" s="29"/>
    </row>
    <row r="1145" spans="1:6" x14ac:dyDescent="0.2">
      <c r="A1145" s="30" t="s">
        <v>4348</v>
      </c>
      <c r="B1145" s="29"/>
      <c r="C1145" s="29"/>
      <c r="D1145" s="29"/>
      <c r="E1145" s="29"/>
      <c r="F1145" s="29"/>
    </row>
    <row r="1146" spans="1:6" x14ac:dyDescent="0.2">
      <c r="A1146" s="28" t="s">
        <v>4349</v>
      </c>
      <c r="B1146" s="29"/>
      <c r="C1146" s="29"/>
      <c r="D1146" s="29"/>
      <c r="E1146" s="29"/>
      <c r="F1146" s="29"/>
    </row>
    <row r="1147" spans="1:6" x14ac:dyDescent="0.2">
      <c r="A1147" s="30" t="s">
        <v>4350</v>
      </c>
      <c r="B1147" s="29"/>
      <c r="C1147" s="29"/>
      <c r="D1147" s="29"/>
      <c r="E1147" s="29"/>
      <c r="F1147" s="29"/>
    </row>
    <row r="1148" spans="1:6" x14ac:dyDescent="0.2">
      <c r="A1148" s="28" t="s">
        <v>4351</v>
      </c>
      <c r="B1148" s="29"/>
      <c r="C1148" s="29"/>
      <c r="D1148" s="29"/>
      <c r="E1148" s="29"/>
      <c r="F1148" s="29"/>
    </row>
    <row r="1149" spans="1:6" x14ac:dyDescent="0.2">
      <c r="A1149" s="30" t="s">
        <v>4352</v>
      </c>
      <c r="B1149" s="29"/>
      <c r="C1149" s="29"/>
      <c r="D1149" s="29"/>
      <c r="E1149" s="29"/>
      <c r="F1149" s="29"/>
    </row>
    <row r="1150" spans="1:6" x14ac:dyDescent="0.2">
      <c r="A1150" s="28" t="s">
        <v>4353</v>
      </c>
      <c r="B1150" s="29"/>
      <c r="C1150" s="29"/>
      <c r="D1150" s="29"/>
      <c r="E1150" s="29"/>
      <c r="F1150" s="29"/>
    </row>
    <row r="1151" spans="1:6" x14ac:dyDescent="0.2">
      <c r="A1151" s="30" t="s">
        <v>4354</v>
      </c>
      <c r="B1151" s="29"/>
      <c r="C1151" s="29"/>
      <c r="D1151" s="29"/>
      <c r="E1151" s="29"/>
      <c r="F1151" s="29"/>
    </row>
    <row r="1152" spans="1:6" x14ac:dyDescent="0.2">
      <c r="A1152" s="28" t="s">
        <v>4355</v>
      </c>
      <c r="B1152" s="29"/>
      <c r="C1152" s="29"/>
      <c r="D1152" s="29"/>
      <c r="E1152" s="29"/>
      <c r="F1152" s="29"/>
    </row>
    <row r="1153" spans="1:6" x14ac:dyDescent="0.2">
      <c r="A1153" s="30" t="s">
        <v>4356</v>
      </c>
      <c r="B1153" s="29"/>
      <c r="C1153" s="29"/>
      <c r="D1153" s="29"/>
      <c r="E1153" s="29"/>
      <c r="F1153" s="29"/>
    </row>
    <row r="1154" spans="1:6" x14ac:dyDescent="0.2">
      <c r="A1154" s="28" t="s">
        <v>4357</v>
      </c>
      <c r="B1154" s="29"/>
      <c r="C1154" s="29"/>
      <c r="D1154" s="29"/>
      <c r="E1154" s="29"/>
      <c r="F1154" s="29"/>
    </row>
    <row r="1155" spans="1:6" x14ac:dyDescent="0.2">
      <c r="A1155" s="30" t="s">
        <v>4358</v>
      </c>
      <c r="B1155" s="29"/>
      <c r="C1155" s="29"/>
      <c r="D1155" s="29"/>
      <c r="E1155" s="29"/>
      <c r="F1155" s="29"/>
    </row>
    <row r="1156" spans="1:6" x14ac:dyDescent="0.2">
      <c r="A1156" s="28" t="s">
        <v>4359</v>
      </c>
      <c r="B1156" s="29"/>
      <c r="C1156" s="29"/>
      <c r="D1156" s="29"/>
      <c r="E1156" s="29"/>
      <c r="F1156" s="29"/>
    </row>
    <row r="1157" spans="1:6" x14ac:dyDescent="0.2">
      <c r="A1157" s="30" t="s">
        <v>4360</v>
      </c>
      <c r="B1157" s="29"/>
      <c r="C1157" s="29"/>
      <c r="D1157" s="29"/>
      <c r="E1157" s="29"/>
      <c r="F1157" s="29"/>
    </row>
    <row r="1158" spans="1:6" x14ac:dyDescent="0.2">
      <c r="A1158" s="28" t="s">
        <v>4361</v>
      </c>
      <c r="B1158" s="29"/>
      <c r="C1158" s="29"/>
      <c r="D1158" s="29"/>
      <c r="E1158" s="29"/>
      <c r="F1158" s="29"/>
    </row>
    <row r="1159" spans="1:6" x14ac:dyDescent="0.2">
      <c r="A1159" s="30" t="s">
        <v>4362</v>
      </c>
      <c r="B1159" s="29"/>
      <c r="C1159" s="29"/>
      <c r="D1159" s="29"/>
      <c r="E1159" s="29"/>
      <c r="F1159" s="29"/>
    </row>
    <row r="1160" spans="1:6" x14ac:dyDescent="0.2">
      <c r="A1160" s="28" t="s">
        <v>4363</v>
      </c>
      <c r="B1160" s="29"/>
      <c r="C1160" s="29"/>
      <c r="D1160" s="29"/>
      <c r="E1160" s="29"/>
      <c r="F1160" s="29"/>
    </row>
    <row r="1161" spans="1:6" x14ac:dyDescent="0.2">
      <c r="A1161" s="30" t="s">
        <v>4364</v>
      </c>
      <c r="B1161" s="29"/>
      <c r="C1161" s="29"/>
      <c r="D1161" s="29"/>
      <c r="E1161" s="29"/>
      <c r="F1161" s="29"/>
    </row>
    <row r="1162" spans="1:6" x14ac:dyDescent="0.2">
      <c r="A1162" s="28" t="s">
        <v>4365</v>
      </c>
      <c r="B1162" s="29"/>
      <c r="C1162" s="29"/>
      <c r="D1162" s="29"/>
      <c r="E1162" s="29"/>
      <c r="F1162" s="29"/>
    </row>
    <row r="1163" spans="1:6" x14ac:dyDescent="0.2">
      <c r="A1163" s="30" t="s">
        <v>4366</v>
      </c>
      <c r="B1163" s="29"/>
      <c r="C1163" s="29"/>
      <c r="D1163" s="29"/>
      <c r="E1163" s="29"/>
      <c r="F1163" s="29"/>
    </row>
    <row r="1164" spans="1:6" x14ac:dyDescent="0.2">
      <c r="A1164" s="28" t="s">
        <v>4367</v>
      </c>
      <c r="B1164" s="29"/>
      <c r="C1164" s="29"/>
      <c r="D1164" s="29"/>
      <c r="E1164" s="29"/>
      <c r="F1164" s="29"/>
    </row>
    <row r="1165" spans="1:6" x14ac:dyDescent="0.2">
      <c r="A1165" s="30" t="s">
        <v>4368</v>
      </c>
      <c r="B1165" s="29"/>
      <c r="C1165" s="29"/>
      <c r="D1165" s="29"/>
      <c r="E1165" s="29"/>
      <c r="F1165" s="29"/>
    </row>
    <row r="1166" spans="1:6" x14ac:dyDescent="0.2">
      <c r="A1166" s="28" t="s">
        <v>4369</v>
      </c>
      <c r="B1166" s="29"/>
      <c r="C1166" s="29"/>
      <c r="D1166" s="29"/>
      <c r="E1166" s="29"/>
      <c r="F1166" s="29"/>
    </row>
    <row r="1167" spans="1:6" x14ac:dyDescent="0.2">
      <c r="A1167" s="30" t="s">
        <v>4370</v>
      </c>
      <c r="B1167" s="29"/>
      <c r="C1167" s="29"/>
      <c r="D1167" s="29"/>
      <c r="E1167" s="29"/>
      <c r="F1167" s="29"/>
    </row>
    <row r="1168" spans="1:6" x14ac:dyDescent="0.2">
      <c r="A1168" s="28" t="s">
        <v>4371</v>
      </c>
      <c r="B1168" s="29"/>
      <c r="C1168" s="29"/>
      <c r="D1168" s="29"/>
      <c r="E1168" s="29"/>
      <c r="F1168" s="29"/>
    </row>
    <row r="1169" spans="1:6" x14ac:dyDescent="0.2">
      <c r="A1169" s="30" t="s">
        <v>4372</v>
      </c>
      <c r="B1169" s="29"/>
      <c r="C1169" s="29"/>
      <c r="D1169" s="29"/>
      <c r="E1169" s="29"/>
      <c r="F1169" s="29"/>
    </row>
    <row r="1170" spans="1:6" x14ac:dyDescent="0.2">
      <c r="A1170" s="28" t="s">
        <v>4373</v>
      </c>
      <c r="B1170" s="29"/>
      <c r="C1170" s="29"/>
      <c r="D1170" s="29"/>
      <c r="E1170" s="29"/>
      <c r="F1170" s="29"/>
    </row>
    <row r="1171" spans="1:6" x14ac:dyDescent="0.2">
      <c r="A1171" s="30" t="s">
        <v>4374</v>
      </c>
      <c r="B1171" s="29"/>
      <c r="C1171" s="29"/>
      <c r="D1171" s="29"/>
      <c r="E1171" s="29"/>
      <c r="F1171" s="29"/>
    </row>
    <row r="1172" spans="1:6" x14ac:dyDescent="0.2">
      <c r="A1172" s="28" t="s">
        <v>4375</v>
      </c>
      <c r="B1172" s="29"/>
      <c r="C1172" s="29"/>
      <c r="D1172" s="29"/>
      <c r="E1172" s="29"/>
      <c r="F1172" s="29"/>
    </row>
    <row r="1173" spans="1:6" x14ac:dyDescent="0.2">
      <c r="A1173" s="30" t="s">
        <v>4376</v>
      </c>
      <c r="B1173" s="29"/>
      <c r="C1173" s="29"/>
      <c r="D1173" s="29"/>
      <c r="E1173" s="29"/>
      <c r="F1173" s="29"/>
    </row>
    <row r="1174" spans="1:6" x14ac:dyDescent="0.2">
      <c r="A1174" s="28" t="s">
        <v>4377</v>
      </c>
      <c r="B1174" s="29"/>
      <c r="C1174" s="29"/>
      <c r="D1174" s="29"/>
      <c r="E1174" s="29"/>
      <c r="F1174" s="29"/>
    </row>
    <row r="1175" spans="1:6" x14ac:dyDescent="0.2">
      <c r="A1175" s="30" t="s">
        <v>4378</v>
      </c>
      <c r="B1175" s="29"/>
      <c r="C1175" s="29"/>
      <c r="D1175" s="29"/>
      <c r="E1175" s="29"/>
      <c r="F1175" s="29"/>
    </row>
    <row r="1176" spans="1:6" x14ac:dyDescent="0.2">
      <c r="A1176" s="28" t="s">
        <v>4379</v>
      </c>
      <c r="B1176" s="29"/>
      <c r="C1176" s="29"/>
      <c r="D1176" s="29"/>
      <c r="E1176" s="29"/>
      <c r="F1176" s="29"/>
    </row>
    <row r="1177" spans="1:6" x14ac:dyDescent="0.2">
      <c r="A1177" s="30" t="s">
        <v>4380</v>
      </c>
      <c r="B1177" s="29"/>
      <c r="C1177" s="29"/>
      <c r="D1177" s="29"/>
      <c r="E1177" s="29"/>
      <c r="F1177" s="29"/>
    </row>
    <row r="1178" spans="1:6" x14ac:dyDescent="0.2">
      <c r="A1178" s="28" t="s">
        <v>4381</v>
      </c>
      <c r="B1178" s="29"/>
      <c r="C1178" s="29"/>
      <c r="D1178" s="29"/>
      <c r="E1178" s="29"/>
      <c r="F1178" s="29"/>
    </row>
    <row r="1179" spans="1:6" x14ac:dyDescent="0.2">
      <c r="A1179" s="30" t="s">
        <v>4382</v>
      </c>
      <c r="B1179" s="29"/>
      <c r="C1179" s="29"/>
      <c r="D1179" s="29"/>
      <c r="E1179" s="29"/>
      <c r="F1179" s="29"/>
    </row>
    <row r="1180" spans="1:6" x14ac:dyDescent="0.2">
      <c r="A1180" s="28" t="s">
        <v>4383</v>
      </c>
      <c r="B1180" s="29"/>
      <c r="C1180" s="29"/>
      <c r="D1180" s="29"/>
      <c r="E1180" s="29"/>
      <c r="F1180" s="29"/>
    </row>
    <row r="1181" spans="1:6" x14ac:dyDescent="0.2">
      <c r="A1181" s="30" t="s">
        <v>4384</v>
      </c>
      <c r="B1181" s="29"/>
      <c r="C1181" s="29"/>
      <c r="D1181" s="29"/>
      <c r="E1181" s="29"/>
      <c r="F1181" s="29"/>
    </row>
    <row r="1182" spans="1:6" x14ac:dyDescent="0.2">
      <c r="A1182" s="28" t="s">
        <v>4385</v>
      </c>
      <c r="B1182" s="29"/>
      <c r="C1182" s="29"/>
      <c r="D1182" s="29"/>
      <c r="E1182" s="29"/>
      <c r="F1182" s="29"/>
    </row>
    <row r="1183" spans="1:6" x14ac:dyDescent="0.2">
      <c r="A1183" s="30" t="s">
        <v>4386</v>
      </c>
      <c r="B1183" s="29"/>
      <c r="C1183" s="29"/>
      <c r="D1183" s="29"/>
      <c r="E1183" s="29"/>
      <c r="F1183" s="29"/>
    </row>
    <row r="1184" spans="1:6" x14ac:dyDescent="0.2">
      <c r="A1184" s="28" t="s">
        <v>4387</v>
      </c>
      <c r="B1184" s="29"/>
      <c r="C1184" s="29"/>
      <c r="D1184" s="29"/>
      <c r="E1184" s="29"/>
      <c r="F1184" s="29"/>
    </row>
    <row r="1185" spans="1:6" x14ac:dyDescent="0.2">
      <c r="A1185" s="30" t="s">
        <v>4388</v>
      </c>
      <c r="B1185" s="29"/>
      <c r="C1185" s="29"/>
      <c r="D1185" s="29"/>
      <c r="E1185" s="29"/>
      <c r="F1185" s="29"/>
    </row>
    <row r="1186" spans="1:6" x14ac:dyDescent="0.2">
      <c r="A1186" s="28" t="s">
        <v>4389</v>
      </c>
      <c r="B1186" s="29"/>
      <c r="C1186" s="29"/>
      <c r="D1186" s="29"/>
      <c r="E1186" s="29"/>
      <c r="F1186" s="29"/>
    </row>
    <row r="1187" spans="1:6" x14ac:dyDescent="0.2">
      <c r="A1187" s="30" t="s">
        <v>4390</v>
      </c>
      <c r="B1187" s="29"/>
      <c r="C1187" s="29"/>
      <c r="D1187" s="29"/>
      <c r="E1187" s="29"/>
      <c r="F1187" s="29"/>
    </row>
    <row r="1188" spans="1:6" x14ac:dyDescent="0.2">
      <c r="A1188" s="28" t="s">
        <v>4391</v>
      </c>
      <c r="B1188" s="29"/>
      <c r="C1188" s="29"/>
      <c r="D1188" s="29"/>
      <c r="E1188" s="29"/>
      <c r="F1188" s="29"/>
    </row>
    <row r="1189" spans="1:6" x14ac:dyDescent="0.2">
      <c r="A1189" s="30" t="s">
        <v>4392</v>
      </c>
      <c r="B1189" s="29"/>
      <c r="C1189" s="29"/>
      <c r="D1189" s="29"/>
      <c r="E1189" s="29"/>
      <c r="F1189" s="29"/>
    </row>
    <row r="1190" spans="1:6" x14ac:dyDescent="0.2">
      <c r="A1190" s="28" t="s">
        <v>4393</v>
      </c>
      <c r="B1190" s="29"/>
      <c r="C1190" s="29"/>
      <c r="D1190" s="29"/>
      <c r="E1190" s="29"/>
      <c r="F1190" s="29"/>
    </row>
    <row r="1191" spans="1:6" x14ac:dyDescent="0.2">
      <c r="A1191" s="30" t="s">
        <v>4394</v>
      </c>
      <c r="B1191" s="29"/>
      <c r="C1191" s="29"/>
      <c r="D1191" s="29"/>
      <c r="E1191" s="29"/>
      <c r="F1191" s="29"/>
    </row>
    <row r="1192" spans="1:6" x14ac:dyDescent="0.2">
      <c r="A1192" s="28" t="s">
        <v>4395</v>
      </c>
      <c r="B1192" s="29"/>
      <c r="C1192" s="29"/>
      <c r="D1192" s="29"/>
      <c r="E1192" s="29"/>
      <c r="F1192" s="29"/>
    </row>
    <row r="1193" spans="1:6" x14ac:dyDescent="0.2">
      <c r="A1193" s="30" t="s">
        <v>4396</v>
      </c>
      <c r="B1193" s="29"/>
      <c r="C1193" s="29"/>
      <c r="D1193" s="29"/>
      <c r="E1193" s="29"/>
      <c r="F1193" s="29"/>
    </row>
    <row r="1194" spans="1:6" x14ac:dyDescent="0.2">
      <c r="A1194" s="28" t="s">
        <v>4397</v>
      </c>
      <c r="B1194" s="29"/>
      <c r="C1194" s="29"/>
      <c r="D1194" s="29"/>
      <c r="E1194" s="29"/>
      <c r="F1194" s="29"/>
    </row>
    <row r="1195" spans="1:6" x14ac:dyDescent="0.2">
      <c r="A1195" s="30" t="s">
        <v>4398</v>
      </c>
      <c r="B1195" s="29"/>
      <c r="C1195" s="29"/>
      <c r="D1195" s="29"/>
      <c r="E1195" s="29"/>
      <c r="F1195" s="29"/>
    </row>
    <row r="1196" spans="1:6" x14ac:dyDescent="0.2">
      <c r="A1196" s="28" t="s">
        <v>4399</v>
      </c>
      <c r="B1196" s="29"/>
      <c r="C1196" s="29"/>
      <c r="D1196" s="29"/>
      <c r="E1196" s="29"/>
      <c r="F1196" s="29"/>
    </row>
    <row r="1197" spans="1:6" x14ac:dyDescent="0.2">
      <c r="A1197" s="30" t="s">
        <v>4400</v>
      </c>
      <c r="B1197" s="29"/>
      <c r="C1197" s="29"/>
      <c r="D1197" s="29"/>
      <c r="E1197" s="29"/>
      <c r="F1197" s="29"/>
    </row>
    <row r="1198" spans="1:6" x14ac:dyDescent="0.2">
      <c r="A1198" s="28" t="s">
        <v>4401</v>
      </c>
      <c r="B1198" s="29"/>
      <c r="C1198" s="29"/>
      <c r="D1198" s="29"/>
      <c r="E1198" s="29"/>
      <c r="F1198" s="29"/>
    </row>
    <row r="1199" spans="1:6" x14ac:dyDescent="0.2">
      <c r="A1199" s="30" t="s">
        <v>4402</v>
      </c>
      <c r="B1199" s="29"/>
      <c r="C1199" s="29"/>
      <c r="D1199" s="29"/>
      <c r="E1199" s="29"/>
      <c r="F1199" s="29"/>
    </row>
    <row r="1200" spans="1:6" x14ac:dyDescent="0.2">
      <c r="A1200" s="28" t="s">
        <v>4403</v>
      </c>
      <c r="B1200" s="29"/>
      <c r="C1200" s="29"/>
      <c r="D1200" s="29"/>
      <c r="E1200" s="29"/>
      <c r="F1200" s="29"/>
    </row>
    <row r="1201" spans="1:6" x14ac:dyDescent="0.2">
      <c r="A1201" s="30" t="s">
        <v>4404</v>
      </c>
      <c r="B1201" s="29"/>
      <c r="C1201" s="29"/>
      <c r="D1201" s="29"/>
      <c r="E1201" s="29"/>
      <c r="F1201" s="29"/>
    </row>
    <row r="1202" spans="1:6" x14ac:dyDescent="0.2">
      <c r="A1202" s="28" t="s">
        <v>4405</v>
      </c>
      <c r="B1202" s="29"/>
      <c r="C1202" s="29"/>
      <c r="D1202" s="29"/>
      <c r="E1202" s="29"/>
      <c r="F1202" s="29"/>
    </row>
    <row r="1203" spans="1:6" x14ac:dyDescent="0.2">
      <c r="A1203" s="30" t="s">
        <v>4406</v>
      </c>
      <c r="B1203" s="29"/>
      <c r="C1203" s="29"/>
      <c r="D1203" s="29"/>
      <c r="E1203" s="29"/>
      <c r="F1203" s="29"/>
    </row>
    <row r="1204" spans="1:6" x14ac:dyDescent="0.2">
      <c r="A1204" s="28" t="s">
        <v>4407</v>
      </c>
      <c r="B1204" s="29"/>
      <c r="C1204" s="29"/>
      <c r="D1204" s="29"/>
      <c r="E1204" s="29"/>
      <c r="F1204" s="29"/>
    </row>
    <row r="1205" spans="1:6" x14ac:dyDescent="0.2">
      <c r="A1205" s="30" t="s">
        <v>4408</v>
      </c>
      <c r="B1205" s="29"/>
      <c r="C1205" s="29"/>
      <c r="D1205" s="29"/>
      <c r="E1205" s="29"/>
      <c r="F1205" s="29"/>
    </row>
    <row r="1206" spans="1:6" x14ac:dyDescent="0.2">
      <c r="A1206" s="28" t="s">
        <v>4409</v>
      </c>
      <c r="B1206" s="29"/>
      <c r="C1206" s="29"/>
      <c r="D1206" s="29"/>
      <c r="E1206" s="29"/>
      <c r="F1206" s="29"/>
    </row>
    <row r="1207" spans="1:6" x14ac:dyDescent="0.2">
      <c r="A1207" s="30" t="s">
        <v>4410</v>
      </c>
      <c r="B1207" s="29"/>
      <c r="C1207" s="29"/>
      <c r="D1207" s="29"/>
      <c r="E1207" s="29"/>
      <c r="F1207" s="29"/>
    </row>
    <row r="1208" spans="1:6" x14ac:dyDescent="0.2">
      <c r="A1208" s="28" t="s">
        <v>4411</v>
      </c>
      <c r="B1208" s="29"/>
      <c r="C1208" s="29"/>
      <c r="D1208" s="29"/>
      <c r="E1208" s="29"/>
      <c r="F1208" s="29"/>
    </row>
    <row r="1209" spans="1:6" x14ac:dyDescent="0.2">
      <c r="A1209" s="30" t="s">
        <v>4412</v>
      </c>
      <c r="B1209" s="29"/>
      <c r="C1209" s="29"/>
      <c r="D1209" s="29"/>
      <c r="E1209" s="29"/>
      <c r="F1209" s="29"/>
    </row>
    <row r="1210" spans="1:6" x14ac:dyDescent="0.2">
      <c r="A1210" s="28" t="s">
        <v>4413</v>
      </c>
      <c r="B1210" s="29"/>
      <c r="C1210" s="29"/>
      <c r="D1210" s="29"/>
      <c r="E1210" s="29"/>
      <c r="F1210" s="29"/>
    </row>
    <row r="1211" spans="1:6" x14ac:dyDescent="0.2">
      <c r="A1211" s="30" t="s">
        <v>4414</v>
      </c>
      <c r="B1211" s="29"/>
      <c r="C1211" s="29"/>
      <c r="D1211" s="29"/>
      <c r="E1211" s="29"/>
      <c r="F1211" s="29"/>
    </row>
    <row r="1212" spans="1:6" x14ac:dyDescent="0.2">
      <c r="A1212" s="28" t="s">
        <v>4415</v>
      </c>
      <c r="B1212" s="29"/>
      <c r="C1212" s="29"/>
      <c r="D1212" s="29"/>
      <c r="E1212" s="29"/>
      <c r="F1212" s="29"/>
    </row>
    <row r="1213" spans="1:6" x14ac:dyDescent="0.2">
      <c r="A1213" s="30" t="s">
        <v>4416</v>
      </c>
      <c r="B1213" s="29"/>
      <c r="C1213" s="29"/>
      <c r="D1213" s="29"/>
      <c r="E1213" s="29"/>
      <c r="F1213" s="29"/>
    </row>
    <row r="1214" spans="1:6" x14ac:dyDescent="0.2">
      <c r="A1214" s="28" t="s">
        <v>4417</v>
      </c>
      <c r="B1214" s="29"/>
      <c r="C1214" s="29"/>
      <c r="D1214" s="29"/>
      <c r="E1214" s="29"/>
      <c r="F1214" s="29"/>
    </row>
    <row r="1215" spans="1:6" x14ac:dyDescent="0.2">
      <c r="A1215" s="30" t="s">
        <v>4418</v>
      </c>
      <c r="B1215" s="29"/>
      <c r="C1215" s="29"/>
      <c r="D1215" s="29"/>
      <c r="E1215" s="29"/>
      <c r="F1215" s="29"/>
    </row>
    <row r="1216" spans="1:6" x14ac:dyDescent="0.2">
      <c r="A1216" s="28" t="s">
        <v>4419</v>
      </c>
      <c r="B1216" s="29"/>
      <c r="C1216" s="29"/>
      <c r="D1216" s="29"/>
      <c r="E1216" s="29"/>
      <c r="F1216" s="29"/>
    </row>
    <row r="1217" spans="1:6" x14ac:dyDescent="0.2">
      <c r="A1217" s="30" t="s">
        <v>4420</v>
      </c>
      <c r="B1217" s="29"/>
      <c r="C1217" s="29"/>
      <c r="D1217" s="29"/>
      <c r="E1217" s="29"/>
      <c r="F1217" s="29"/>
    </row>
    <row r="1218" spans="1:6" x14ac:dyDescent="0.2">
      <c r="A1218" s="28" t="s">
        <v>4421</v>
      </c>
      <c r="B1218" s="29"/>
      <c r="C1218" s="29"/>
      <c r="D1218" s="29"/>
      <c r="E1218" s="29"/>
      <c r="F1218" s="29"/>
    </row>
    <row r="1219" spans="1:6" x14ac:dyDescent="0.2">
      <c r="A1219" s="30" t="s">
        <v>4422</v>
      </c>
      <c r="B1219" s="29"/>
      <c r="C1219" s="29"/>
      <c r="D1219" s="29"/>
      <c r="E1219" s="29"/>
      <c r="F1219" s="29"/>
    </row>
    <row r="1220" spans="1:6" x14ac:dyDescent="0.2">
      <c r="A1220" s="28" t="s">
        <v>4423</v>
      </c>
      <c r="B1220" s="29"/>
      <c r="C1220" s="29"/>
      <c r="D1220" s="29"/>
      <c r="E1220" s="29"/>
      <c r="F1220" s="29"/>
    </row>
    <row r="1221" spans="1:6" x14ac:dyDescent="0.2">
      <c r="A1221" s="30" t="s">
        <v>4424</v>
      </c>
      <c r="B1221" s="29"/>
      <c r="C1221" s="29"/>
      <c r="D1221" s="29"/>
      <c r="E1221" s="29"/>
      <c r="F1221" s="29"/>
    </row>
    <row r="1222" spans="1:6" x14ac:dyDescent="0.2">
      <c r="A1222" s="28" t="s">
        <v>4425</v>
      </c>
      <c r="B1222" s="29"/>
      <c r="C1222" s="29"/>
      <c r="D1222" s="29"/>
      <c r="E1222" s="29"/>
      <c r="F1222" s="29"/>
    </row>
    <row r="1223" spans="1:6" x14ac:dyDescent="0.2">
      <c r="A1223" s="30" t="s">
        <v>4426</v>
      </c>
      <c r="B1223" s="29"/>
      <c r="C1223" s="29"/>
      <c r="D1223" s="29"/>
      <c r="E1223" s="29"/>
      <c r="F1223" s="29"/>
    </row>
    <row r="1224" spans="1:6" x14ac:dyDescent="0.2">
      <c r="A1224" s="28" t="s">
        <v>4427</v>
      </c>
      <c r="B1224" s="29"/>
      <c r="C1224" s="29"/>
      <c r="D1224" s="29"/>
      <c r="E1224" s="29"/>
      <c r="F1224" s="29"/>
    </row>
    <row r="1225" spans="1:6" x14ac:dyDescent="0.2">
      <c r="A1225" s="30" t="s">
        <v>4428</v>
      </c>
      <c r="B1225" s="29"/>
      <c r="C1225" s="29"/>
      <c r="D1225" s="29"/>
      <c r="E1225" s="29"/>
      <c r="F1225" s="29"/>
    </row>
    <row r="1226" spans="1:6" x14ac:dyDescent="0.2">
      <c r="A1226" s="28" t="s">
        <v>4429</v>
      </c>
      <c r="B1226" s="29"/>
      <c r="C1226" s="29"/>
      <c r="D1226" s="29"/>
      <c r="E1226" s="29"/>
      <c r="F1226" s="29"/>
    </row>
    <row r="1227" spans="1:6" x14ac:dyDescent="0.2">
      <c r="A1227" s="30" t="s">
        <v>4430</v>
      </c>
      <c r="B1227" s="29"/>
      <c r="C1227" s="29"/>
      <c r="D1227" s="29"/>
      <c r="E1227" s="29"/>
      <c r="F1227" s="29"/>
    </row>
    <row r="1228" spans="1:6" x14ac:dyDescent="0.2">
      <c r="A1228" s="28" t="s">
        <v>4431</v>
      </c>
      <c r="B1228" s="29"/>
      <c r="C1228" s="29"/>
      <c r="D1228" s="29"/>
      <c r="E1228" s="29"/>
      <c r="F1228" s="29"/>
    </row>
    <row r="1229" spans="1:6" x14ac:dyDescent="0.2">
      <c r="A1229" s="30" t="s">
        <v>4432</v>
      </c>
      <c r="B1229" s="29"/>
      <c r="C1229" s="29"/>
      <c r="D1229" s="29"/>
      <c r="E1229" s="29"/>
      <c r="F1229" s="29"/>
    </row>
    <row r="1230" spans="1:6" x14ac:dyDescent="0.2">
      <c r="A1230" s="28" t="s">
        <v>4433</v>
      </c>
      <c r="B1230" s="29"/>
      <c r="C1230" s="29"/>
      <c r="D1230" s="29"/>
      <c r="E1230" s="29"/>
      <c r="F1230" s="29"/>
    </row>
    <row r="1231" spans="1:6" x14ac:dyDescent="0.2">
      <c r="A1231" s="30" t="s">
        <v>4434</v>
      </c>
      <c r="B1231" s="29"/>
      <c r="C1231" s="29"/>
      <c r="D1231" s="29"/>
      <c r="E1231" s="29"/>
      <c r="F1231" s="29"/>
    </row>
    <row r="1232" spans="1:6" x14ac:dyDescent="0.2">
      <c r="A1232" s="28" t="s">
        <v>4435</v>
      </c>
      <c r="B1232" s="29"/>
      <c r="C1232" s="29"/>
      <c r="D1232" s="29"/>
      <c r="E1232" s="29"/>
      <c r="F1232" s="29"/>
    </row>
    <row r="1233" spans="1:6" x14ac:dyDescent="0.2">
      <c r="A1233" s="30" t="s">
        <v>4436</v>
      </c>
      <c r="B1233" s="29"/>
      <c r="C1233" s="29"/>
      <c r="D1233" s="29"/>
      <c r="E1233" s="29"/>
      <c r="F1233" s="29"/>
    </row>
    <row r="1234" spans="1:6" x14ac:dyDescent="0.2">
      <c r="A1234" s="28" t="s">
        <v>4437</v>
      </c>
      <c r="B1234" s="29"/>
      <c r="C1234" s="29"/>
      <c r="D1234" s="29"/>
      <c r="E1234" s="29"/>
      <c r="F1234" s="29"/>
    </row>
    <row r="1235" spans="1:6" x14ac:dyDescent="0.2">
      <c r="A1235" s="30" t="s">
        <v>4438</v>
      </c>
      <c r="B1235" s="29"/>
      <c r="C1235" s="29"/>
      <c r="D1235" s="29"/>
      <c r="E1235" s="29"/>
      <c r="F1235" s="29"/>
    </row>
    <row r="1236" spans="1:6" x14ac:dyDescent="0.2">
      <c r="A1236" s="28" t="s">
        <v>4439</v>
      </c>
      <c r="B1236" s="29"/>
      <c r="C1236" s="29"/>
      <c r="D1236" s="29"/>
      <c r="E1236" s="29"/>
      <c r="F1236" s="29"/>
    </row>
    <row r="1237" spans="1:6" x14ac:dyDescent="0.2">
      <c r="A1237" s="30" t="s">
        <v>4440</v>
      </c>
      <c r="B1237" s="29"/>
      <c r="C1237" s="29"/>
      <c r="D1237" s="29"/>
      <c r="E1237" s="29"/>
      <c r="F1237" s="29"/>
    </row>
    <row r="1238" spans="1:6" x14ac:dyDescent="0.2">
      <c r="A1238" s="28" t="s">
        <v>4441</v>
      </c>
      <c r="B1238" s="29"/>
      <c r="C1238" s="29"/>
      <c r="D1238" s="29"/>
      <c r="E1238" s="29"/>
      <c r="F1238" s="29"/>
    </row>
    <row r="1239" spans="1:6" x14ac:dyDescent="0.2">
      <c r="A1239" s="30" t="s">
        <v>4442</v>
      </c>
      <c r="B1239" s="29"/>
      <c r="C1239" s="29"/>
      <c r="D1239" s="29"/>
      <c r="E1239" s="29"/>
      <c r="F1239" s="29"/>
    </row>
    <row r="1240" spans="1:6" x14ac:dyDescent="0.2">
      <c r="A1240" s="28" t="s">
        <v>4443</v>
      </c>
      <c r="B1240" s="29"/>
      <c r="C1240" s="29"/>
      <c r="D1240" s="29"/>
      <c r="E1240" s="29"/>
      <c r="F1240" s="29"/>
    </row>
    <row r="1241" spans="1:6" x14ac:dyDescent="0.2">
      <c r="A1241" s="30" t="s">
        <v>4444</v>
      </c>
      <c r="B1241" s="29"/>
      <c r="C1241" s="29"/>
      <c r="D1241" s="29"/>
      <c r="E1241" s="29"/>
      <c r="F1241" s="29"/>
    </row>
    <row r="1242" spans="1:6" x14ac:dyDescent="0.2">
      <c r="A1242" s="28" t="s">
        <v>4445</v>
      </c>
      <c r="B1242" s="29"/>
      <c r="C1242" s="29"/>
      <c r="D1242" s="29"/>
      <c r="E1242" s="29"/>
      <c r="F1242" s="29"/>
    </row>
    <row r="1243" spans="1:6" x14ac:dyDescent="0.2">
      <c r="A1243" s="30" t="s">
        <v>4446</v>
      </c>
      <c r="B1243" s="29"/>
      <c r="C1243" s="29"/>
      <c r="D1243" s="29"/>
      <c r="E1243" s="29"/>
      <c r="F1243" s="29"/>
    </row>
    <row r="1244" spans="1:6" x14ac:dyDescent="0.2">
      <c r="A1244" s="28" t="s">
        <v>4447</v>
      </c>
      <c r="B1244" s="29"/>
      <c r="C1244" s="29"/>
      <c r="D1244" s="29"/>
      <c r="E1244" s="29"/>
      <c r="F1244" s="29"/>
    </row>
    <row r="1245" spans="1:6" x14ac:dyDescent="0.2">
      <c r="A1245" s="30" t="s">
        <v>4448</v>
      </c>
      <c r="B1245" s="29"/>
      <c r="C1245" s="29"/>
      <c r="D1245" s="29"/>
      <c r="E1245" s="29"/>
      <c r="F1245" s="29"/>
    </row>
    <row r="1246" spans="1:6" x14ac:dyDescent="0.2">
      <c r="A1246" s="28" t="s">
        <v>4449</v>
      </c>
      <c r="B1246" s="29"/>
      <c r="C1246" s="29"/>
      <c r="D1246" s="29"/>
      <c r="E1246" s="29"/>
      <c r="F1246" s="29"/>
    </row>
    <row r="1247" spans="1:6" x14ac:dyDescent="0.2">
      <c r="A1247" s="30" t="s">
        <v>4450</v>
      </c>
      <c r="B1247" s="29"/>
      <c r="C1247" s="29"/>
      <c r="D1247" s="29"/>
      <c r="E1247" s="29"/>
      <c r="F1247" s="29"/>
    </row>
    <row r="1248" spans="1:6" x14ac:dyDescent="0.2">
      <c r="A1248" s="28" t="s">
        <v>4451</v>
      </c>
      <c r="B1248" s="29"/>
      <c r="C1248" s="29"/>
      <c r="D1248" s="29"/>
      <c r="E1248" s="29"/>
      <c r="F1248" s="29"/>
    </row>
    <row r="1249" spans="1:6" x14ac:dyDescent="0.2">
      <c r="A1249" s="30" t="s">
        <v>4452</v>
      </c>
      <c r="B1249" s="29"/>
      <c r="C1249" s="29"/>
      <c r="D1249" s="29"/>
      <c r="E1249" s="29"/>
      <c r="F1249" s="29"/>
    </row>
    <row r="1250" spans="1:6" x14ac:dyDescent="0.2">
      <c r="A1250" s="28" t="s">
        <v>4453</v>
      </c>
      <c r="B1250" s="29"/>
      <c r="C1250" s="29"/>
      <c r="D1250" s="29"/>
      <c r="E1250" s="29"/>
      <c r="F1250" s="29"/>
    </row>
    <row r="1251" spans="1:6" x14ac:dyDescent="0.2">
      <c r="A1251" s="30" t="s">
        <v>4454</v>
      </c>
      <c r="B1251" s="29"/>
      <c r="C1251" s="29"/>
      <c r="D1251" s="29"/>
      <c r="E1251" s="29"/>
      <c r="F1251" s="29"/>
    </row>
    <row r="1252" spans="1:6" x14ac:dyDescent="0.2">
      <c r="A1252" s="28" t="s">
        <v>4455</v>
      </c>
      <c r="B1252" s="29"/>
      <c r="C1252" s="29"/>
      <c r="D1252" s="29"/>
      <c r="E1252" s="29"/>
      <c r="F1252" s="29"/>
    </row>
    <row r="1253" spans="1:6" x14ac:dyDescent="0.2">
      <c r="A1253" s="30" t="s">
        <v>4456</v>
      </c>
      <c r="B1253" s="29"/>
      <c r="C1253" s="29"/>
      <c r="D1253" s="29"/>
      <c r="E1253" s="29"/>
      <c r="F1253" s="29"/>
    </row>
    <row r="1254" spans="1:6" x14ac:dyDescent="0.2">
      <c r="A1254" s="28" t="s">
        <v>4457</v>
      </c>
      <c r="B1254" s="29"/>
      <c r="C1254" s="29"/>
      <c r="D1254" s="29"/>
      <c r="E1254" s="29"/>
      <c r="F1254" s="29"/>
    </row>
    <row r="1255" spans="1:6" x14ac:dyDescent="0.2">
      <c r="A1255" s="30" t="s">
        <v>4458</v>
      </c>
      <c r="B1255" s="29"/>
      <c r="C1255" s="29"/>
      <c r="D1255" s="29"/>
      <c r="E1255" s="29"/>
      <c r="F1255" s="29"/>
    </row>
    <row r="1256" spans="1:6" x14ac:dyDescent="0.2">
      <c r="A1256" s="28" t="s">
        <v>4459</v>
      </c>
      <c r="B1256" s="29"/>
      <c r="C1256" s="29"/>
      <c r="D1256" s="29"/>
      <c r="E1256" s="29"/>
      <c r="F1256" s="29"/>
    </row>
    <row r="1257" spans="1:6" x14ac:dyDescent="0.2">
      <c r="A1257" s="30" t="s">
        <v>4460</v>
      </c>
      <c r="B1257" s="29"/>
      <c r="C1257" s="29"/>
      <c r="D1257" s="29"/>
      <c r="E1257" s="29"/>
      <c r="F1257" s="29"/>
    </row>
    <row r="1258" spans="1:6" x14ac:dyDescent="0.2">
      <c r="A1258" s="28" t="s">
        <v>4461</v>
      </c>
      <c r="B1258" s="29"/>
      <c r="C1258" s="29"/>
      <c r="D1258" s="29"/>
      <c r="E1258" s="29"/>
      <c r="F1258" s="29"/>
    </row>
    <row r="1259" spans="1:6" x14ac:dyDescent="0.2">
      <c r="A1259" s="30" t="s">
        <v>4462</v>
      </c>
      <c r="B1259" s="29"/>
      <c r="C1259" s="29"/>
      <c r="D1259" s="29"/>
      <c r="E1259" s="29"/>
      <c r="F1259" s="29"/>
    </row>
    <row r="1260" spans="1:6" x14ac:dyDescent="0.2">
      <c r="A1260" s="28" t="s">
        <v>4463</v>
      </c>
      <c r="B1260" s="29"/>
      <c r="C1260" s="29"/>
      <c r="D1260" s="29"/>
      <c r="E1260" s="29"/>
      <c r="F1260" s="29"/>
    </row>
    <row r="1261" spans="1:6" x14ac:dyDescent="0.2">
      <c r="A1261" s="30" t="s">
        <v>4464</v>
      </c>
      <c r="B1261" s="29"/>
      <c r="C1261" s="29"/>
      <c r="D1261" s="29"/>
      <c r="E1261" s="29"/>
      <c r="F1261" s="29"/>
    </row>
    <row r="1262" spans="1:6" x14ac:dyDescent="0.2">
      <c r="A1262" s="28" t="s">
        <v>4465</v>
      </c>
      <c r="B1262" s="29"/>
      <c r="C1262" s="29"/>
      <c r="D1262" s="29"/>
      <c r="E1262" s="29"/>
      <c r="F1262" s="29"/>
    </row>
    <row r="1263" spans="1:6" x14ac:dyDescent="0.2">
      <c r="A1263" s="30" t="s">
        <v>4466</v>
      </c>
      <c r="B1263" s="29"/>
      <c r="C1263" s="29"/>
      <c r="D1263" s="29"/>
      <c r="E1263" s="29"/>
      <c r="F1263" s="29"/>
    </row>
    <row r="1264" spans="1:6" x14ac:dyDescent="0.2">
      <c r="A1264" s="28" t="s">
        <v>4467</v>
      </c>
      <c r="B1264" s="29"/>
      <c r="C1264" s="29"/>
      <c r="D1264" s="29"/>
      <c r="E1264" s="29"/>
      <c r="F1264" s="29"/>
    </row>
    <row r="1265" spans="1:6" x14ac:dyDescent="0.2">
      <c r="A1265" s="30" t="s">
        <v>4468</v>
      </c>
      <c r="B1265" s="29"/>
      <c r="C1265" s="29"/>
      <c r="D1265" s="29"/>
      <c r="E1265" s="29"/>
      <c r="F1265" s="29"/>
    </row>
    <row r="1266" spans="1:6" x14ac:dyDescent="0.2">
      <c r="A1266" s="28" t="s">
        <v>4469</v>
      </c>
      <c r="B1266" s="29"/>
      <c r="C1266" s="29"/>
      <c r="D1266" s="29"/>
      <c r="E1266" s="29"/>
      <c r="F1266" s="29"/>
    </row>
    <row r="1267" spans="1:6" x14ac:dyDescent="0.2">
      <c r="A1267" s="30" t="s">
        <v>4470</v>
      </c>
      <c r="B1267" s="29"/>
      <c r="C1267" s="29"/>
      <c r="D1267" s="29"/>
      <c r="E1267" s="29"/>
      <c r="F1267" s="29"/>
    </row>
    <row r="1268" spans="1:6" x14ac:dyDescent="0.2">
      <c r="A1268" s="28" t="s">
        <v>4471</v>
      </c>
      <c r="B1268" s="29"/>
      <c r="C1268" s="29"/>
      <c r="D1268" s="29"/>
      <c r="E1268" s="29"/>
      <c r="F1268" s="29"/>
    </row>
    <row r="1269" spans="1:6" x14ac:dyDescent="0.2">
      <c r="A1269" s="30" t="s">
        <v>4472</v>
      </c>
      <c r="B1269" s="29"/>
      <c r="C1269" s="29"/>
      <c r="D1269" s="29"/>
      <c r="E1269" s="29"/>
      <c r="F1269" s="29"/>
    </row>
    <row r="1270" spans="1:6" x14ac:dyDescent="0.2">
      <c r="A1270" s="28" t="s">
        <v>4473</v>
      </c>
      <c r="B1270" s="29"/>
      <c r="C1270" s="29"/>
      <c r="D1270" s="29"/>
      <c r="E1270" s="29"/>
      <c r="F1270" s="29"/>
    </row>
    <row r="1271" spans="1:6" x14ac:dyDescent="0.2">
      <c r="A1271" s="30" t="s">
        <v>4474</v>
      </c>
      <c r="B1271" s="29"/>
      <c r="C1271" s="29"/>
      <c r="D1271" s="29"/>
      <c r="E1271" s="29"/>
      <c r="F1271" s="29"/>
    </row>
    <row r="1272" spans="1:6" x14ac:dyDescent="0.2">
      <c r="A1272" s="28" t="s">
        <v>4475</v>
      </c>
      <c r="B1272" s="29"/>
      <c r="C1272" s="29"/>
      <c r="D1272" s="29"/>
      <c r="E1272" s="29"/>
      <c r="F1272" s="29"/>
    </row>
    <row r="1273" spans="1:6" x14ac:dyDescent="0.2">
      <c r="A1273" s="30" t="s">
        <v>4476</v>
      </c>
      <c r="B1273" s="29"/>
      <c r="C1273" s="29"/>
      <c r="D1273" s="29"/>
      <c r="E1273" s="29"/>
      <c r="F1273" s="29"/>
    </row>
    <row r="1274" spans="1:6" x14ac:dyDescent="0.2">
      <c r="A1274" s="28" t="s">
        <v>4477</v>
      </c>
      <c r="B1274" s="29"/>
      <c r="C1274" s="29"/>
      <c r="D1274" s="29"/>
      <c r="E1274" s="29"/>
      <c r="F1274" s="29"/>
    </row>
    <row r="1275" spans="1:6" x14ac:dyDescent="0.2">
      <c r="A1275" s="30" t="s">
        <v>4478</v>
      </c>
      <c r="B1275" s="29"/>
      <c r="C1275" s="29"/>
      <c r="D1275" s="29"/>
      <c r="E1275" s="29"/>
      <c r="F1275" s="29"/>
    </row>
    <row r="1276" spans="1:6" x14ac:dyDescent="0.2">
      <c r="A1276" s="28" t="s">
        <v>4479</v>
      </c>
      <c r="B1276" s="29"/>
      <c r="C1276" s="29"/>
      <c r="D1276" s="29"/>
      <c r="E1276" s="29"/>
      <c r="F1276" s="29"/>
    </row>
    <row r="1277" spans="1:6" x14ac:dyDescent="0.2">
      <c r="A1277" s="30" t="s">
        <v>4480</v>
      </c>
      <c r="B1277" s="29"/>
      <c r="C1277" s="29"/>
      <c r="D1277" s="29"/>
      <c r="E1277" s="29"/>
      <c r="F1277" s="29"/>
    </row>
    <row r="1278" spans="1:6" x14ac:dyDescent="0.2">
      <c r="A1278" s="28" t="s">
        <v>4481</v>
      </c>
      <c r="B1278" s="29"/>
      <c r="C1278" s="29"/>
      <c r="D1278" s="29"/>
      <c r="E1278" s="29"/>
      <c r="F1278" s="29"/>
    </row>
    <row r="1279" spans="1:6" x14ac:dyDescent="0.2">
      <c r="A1279" s="30" t="s">
        <v>4482</v>
      </c>
      <c r="B1279" s="29"/>
      <c r="C1279" s="29"/>
      <c r="D1279" s="29"/>
      <c r="E1279" s="29"/>
      <c r="F1279" s="29"/>
    </row>
    <row r="1280" spans="1:6" x14ac:dyDescent="0.2">
      <c r="A1280" s="28" t="s">
        <v>4483</v>
      </c>
      <c r="B1280" s="29"/>
      <c r="C1280" s="29"/>
      <c r="D1280" s="29"/>
      <c r="E1280" s="29"/>
      <c r="F1280" s="29"/>
    </row>
    <row r="1281" spans="1:6" x14ac:dyDescent="0.2">
      <c r="A1281" s="30" t="s">
        <v>4484</v>
      </c>
      <c r="B1281" s="29"/>
      <c r="C1281" s="29"/>
      <c r="D1281" s="29"/>
      <c r="E1281" s="29"/>
      <c r="F1281" s="29"/>
    </row>
    <row r="1282" spans="1:6" x14ac:dyDescent="0.2">
      <c r="A1282" s="28" t="s">
        <v>4485</v>
      </c>
      <c r="B1282" s="29"/>
      <c r="C1282" s="29"/>
      <c r="D1282" s="29"/>
      <c r="E1282" s="29"/>
      <c r="F1282" s="29"/>
    </row>
    <row r="1283" spans="1:6" x14ac:dyDescent="0.2">
      <c r="A1283" s="30" t="s">
        <v>4486</v>
      </c>
      <c r="B1283" s="29"/>
      <c r="C1283" s="29"/>
      <c r="D1283" s="29"/>
      <c r="E1283" s="29"/>
      <c r="F1283" s="29"/>
    </row>
    <row r="1284" spans="1:6" x14ac:dyDescent="0.2">
      <c r="A1284" s="28" t="s">
        <v>4487</v>
      </c>
      <c r="B1284" s="29"/>
      <c r="C1284" s="29"/>
      <c r="D1284" s="29"/>
      <c r="E1284" s="29"/>
      <c r="F1284" s="29"/>
    </row>
    <row r="1285" spans="1:6" x14ac:dyDescent="0.2">
      <c r="A1285" s="30" t="s">
        <v>4488</v>
      </c>
      <c r="B1285" s="29"/>
      <c r="C1285" s="29"/>
      <c r="D1285" s="29"/>
      <c r="E1285" s="29"/>
      <c r="F1285" s="29"/>
    </row>
    <row r="1286" spans="1:6" x14ac:dyDescent="0.2">
      <c r="A1286" s="28" t="s">
        <v>4489</v>
      </c>
      <c r="B1286" s="29"/>
      <c r="C1286" s="29"/>
      <c r="D1286" s="29"/>
      <c r="E1286" s="29"/>
      <c r="F1286" s="29"/>
    </row>
    <row r="1287" spans="1:6" x14ac:dyDescent="0.2">
      <c r="A1287" s="30" t="s">
        <v>4490</v>
      </c>
      <c r="B1287" s="29"/>
      <c r="C1287" s="29"/>
      <c r="D1287" s="29"/>
      <c r="E1287" s="29"/>
      <c r="F1287" s="29"/>
    </row>
    <row r="1288" spans="1:6" x14ac:dyDescent="0.2">
      <c r="A1288" s="28" t="s">
        <v>4491</v>
      </c>
      <c r="B1288" s="29"/>
      <c r="C1288" s="29"/>
      <c r="D1288" s="29"/>
      <c r="E1288" s="29"/>
      <c r="F1288" s="29"/>
    </row>
    <row r="1289" spans="1:6" x14ac:dyDescent="0.2">
      <c r="A1289" s="30" t="s">
        <v>4492</v>
      </c>
      <c r="B1289" s="29"/>
      <c r="C1289" s="29"/>
      <c r="D1289" s="29"/>
      <c r="E1289" s="29"/>
      <c r="F1289" s="29"/>
    </row>
    <row r="1290" spans="1:6" x14ac:dyDescent="0.2">
      <c r="A1290" s="28" t="s">
        <v>4493</v>
      </c>
      <c r="B1290" s="29"/>
      <c r="C1290" s="29"/>
      <c r="D1290" s="29"/>
      <c r="E1290" s="29"/>
      <c r="F1290" s="29"/>
    </row>
    <row r="1291" spans="1:6" x14ac:dyDescent="0.2">
      <c r="A1291" s="30" t="s">
        <v>4494</v>
      </c>
      <c r="B1291" s="29"/>
      <c r="C1291" s="29"/>
      <c r="D1291" s="29"/>
      <c r="E1291" s="29"/>
      <c r="F1291" s="29"/>
    </row>
    <row r="1292" spans="1:6" x14ac:dyDescent="0.2">
      <c r="A1292" s="28" t="s">
        <v>4495</v>
      </c>
      <c r="B1292" s="29"/>
      <c r="C1292" s="29"/>
      <c r="D1292" s="29"/>
      <c r="E1292" s="29"/>
      <c r="F1292" s="29"/>
    </row>
    <row r="1293" spans="1:6" x14ac:dyDescent="0.2">
      <c r="A1293" s="30" t="s">
        <v>4496</v>
      </c>
      <c r="B1293" s="29"/>
      <c r="C1293" s="29"/>
      <c r="D1293" s="29"/>
      <c r="E1293" s="29"/>
      <c r="F1293" s="29"/>
    </row>
    <row r="1294" spans="1:6" x14ac:dyDescent="0.2">
      <c r="A1294" s="28" t="s">
        <v>4497</v>
      </c>
      <c r="B1294" s="29"/>
      <c r="C1294" s="29"/>
      <c r="D1294" s="29"/>
      <c r="E1294" s="29"/>
      <c r="F1294" s="29"/>
    </row>
    <row r="1295" spans="1:6" x14ac:dyDescent="0.2">
      <c r="A1295" s="30" t="s">
        <v>4498</v>
      </c>
      <c r="B1295" s="29"/>
      <c r="C1295" s="29"/>
      <c r="D1295" s="29"/>
      <c r="E1295" s="29"/>
      <c r="F1295" s="29"/>
    </row>
    <row r="1296" spans="1:6" x14ac:dyDescent="0.2">
      <c r="A1296" s="28" t="s">
        <v>4499</v>
      </c>
      <c r="B1296" s="29"/>
      <c r="C1296" s="29"/>
      <c r="D1296" s="29"/>
      <c r="E1296" s="29"/>
      <c r="F1296" s="29"/>
    </row>
    <row r="1297" spans="1:6" x14ac:dyDescent="0.2">
      <c r="A1297" s="30" t="s">
        <v>4500</v>
      </c>
      <c r="B1297" s="29"/>
      <c r="C1297" s="29"/>
      <c r="D1297" s="29"/>
      <c r="E1297" s="29"/>
      <c r="F1297" s="29"/>
    </row>
    <row r="1298" spans="1:6" x14ac:dyDescent="0.2">
      <c r="A1298" s="28" t="s">
        <v>4501</v>
      </c>
      <c r="B1298" s="29"/>
      <c r="C1298" s="29"/>
      <c r="D1298" s="29"/>
      <c r="E1298" s="29"/>
      <c r="F1298" s="29"/>
    </row>
    <row r="1299" spans="1:6" x14ac:dyDescent="0.2">
      <c r="A1299" s="30" t="s">
        <v>4502</v>
      </c>
      <c r="B1299" s="29"/>
      <c r="C1299" s="29"/>
      <c r="D1299" s="29"/>
      <c r="E1299" s="29"/>
      <c r="F1299" s="29"/>
    </row>
    <row r="1300" spans="1:6" x14ac:dyDescent="0.2">
      <c r="A1300" s="28" t="s">
        <v>4503</v>
      </c>
      <c r="B1300" s="29"/>
      <c r="C1300" s="29"/>
      <c r="D1300" s="29"/>
      <c r="E1300" s="29"/>
      <c r="F1300" s="29"/>
    </row>
    <row r="1301" spans="1:6" x14ac:dyDescent="0.2">
      <c r="A1301" s="30" t="s">
        <v>4504</v>
      </c>
      <c r="B1301" s="29"/>
      <c r="C1301" s="29"/>
      <c r="D1301" s="29"/>
      <c r="E1301" s="29"/>
      <c r="F1301" s="29"/>
    </row>
    <row r="1302" spans="1:6" x14ac:dyDescent="0.2">
      <c r="A1302" s="28" t="s">
        <v>4505</v>
      </c>
      <c r="B1302" s="29"/>
      <c r="C1302" s="29"/>
      <c r="D1302" s="29"/>
      <c r="E1302" s="29"/>
      <c r="F1302" s="29"/>
    </row>
    <row r="1303" spans="1:6" x14ac:dyDescent="0.2">
      <c r="A1303" s="30" t="s">
        <v>4506</v>
      </c>
      <c r="B1303" s="29"/>
      <c r="C1303" s="29"/>
      <c r="D1303" s="29"/>
      <c r="E1303" s="29"/>
      <c r="F1303" s="29"/>
    </row>
    <row r="1304" spans="1:6" x14ac:dyDescent="0.2">
      <c r="A1304" s="28" t="s">
        <v>4507</v>
      </c>
      <c r="B1304" s="29"/>
      <c r="C1304" s="29"/>
      <c r="D1304" s="29"/>
      <c r="E1304" s="29"/>
      <c r="F1304" s="29"/>
    </row>
    <row r="1305" spans="1:6" x14ac:dyDescent="0.2">
      <c r="A1305" s="30" t="s">
        <v>4508</v>
      </c>
      <c r="B1305" s="29"/>
      <c r="C1305" s="29"/>
      <c r="D1305" s="29"/>
      <c r="E1305" s="29"/>
      <c r="F1305" s="29"/>
    </row>
    <row r="1306" spans="1:6" x14ac:dyDescent="0.2">
      <c r="A1306" s="28" t="s">
        <v>4509</v>
      </c>
      <c r="B1306" s="29"/>
      <c r="C1306" s="29"/>
      <c r="D1306" s="29"/>
      <c r="E1306" s="29"/>
      <c r="F1306" s="29"/>
    </row>
    <row r="1307" spans="1:6" x14ac:dyDescent="0.2">
      <c r="A1307" s="30" t="s">
        <v>4510</v>
      </c>
      <c r="B1307" s="29"/>
      <c r="C1307" s="29"/>
      <c r="D1307" s="29"/>
      <c r="E1307" s="29"/>
      <c r="F1307" s="29"/>
    </row>
    <row r="1308" spans="1:6" x14ac:dyDescent="0.2">
      <c r="A1308" s="28" t="s">
        <v>4511</v>
      </c>
      <c r="B1308" s="29"/>
      <c r="C1308" s="29"/>
      <c r="D1308" s="29"/>
      <c r="E1308" s="29"/>
      <c r="F1308" s="29"/>
    </row>
    <row r="1309" spans="1:6" x14ac:dyDescent="0.2">
      <c r="A1309" s="30" t="s">
        <v>4512</v>
      </c>
      <c r="B1309" s="29"/>
      <c r="C1309" s="29"/>
      <c r="D1309" s="29"/>
      <c r="E1309" s="29"/>
      <c r="F1309" s="29"/>
    </row>
    <row r="1310" spans="1:6" x14ac:dyDescent="0.2">
      <c r="A1310" s="28" t="s">
        <v>4513</v>
      </c>
      <c r="B1310" s="29"/>
      <c r="C1310" s="29"/>
      <c r="D1310" s="29"/>
      <c r="E1310" s="29"/>
      <c r="F1310" s="29"/>
    </row>
    <row r="1311" spans="1:6" x14ac:dyDescent="0.2">
      <c r="A1311" s="30" t="s">
        <v>4514</v>
      </c>
      <c r="B1311" s="29"/>
      <c r="C1311" s="29"/>
      <c r="D1311" s="29"/>
      <c r="E1311" s="29"/>
      <c r="F1311" s="29"/>
    </row>
    <row r="1312" spans="1:6" x14ac:dyDescent="0.2">
      <c r="A1312" s="28" t="s">
        <v>4515</v>
      </c>
      <c r="B1312" s="29"/>
      <c r="C1312" s="29"/>
      <c r="D1312" s="29"/>
      <c r="E1312" s="29"/>
      <c r="F1312" s="29"/>
    </row>
    <row r="1313" spans="1:6" x14ac:dyDescent="0.2">
      <c r="A1313" s="30" t="s">
        <v>4516</v>
      </c>
      <c r="B1313" s="29"/>
      <c r="C1313" s="29"/>
      <c r="D1313" s="29"/>
      <c r="E1313" s="29"/>
      <c r="F1313" s="29"/>
    </row>
    <row r="1314" spans="1:6" x14ac:dyDescent="0.2">
      <c r="A1314" s="28" t="s">
        <v>4517</v>
      </c>
      <c r="B1314" s="29"/>
      <c r="C1314" s="29"/>
      <c r="D1314" s="29"/>
      <c r="E1314" s="29"/>
      <c r="F1314" s="29"/>
    </row>
    <row r="1315" spans="1:6" x14ac:dyDescent="0.2">
      <c r="A1315" s="30" t="s">
        <v>4518</v>
      </c>
      <c r="B1315" s="29"/>
      <c r="C1315" s="29"/>
      <c r="D1315" s="29"/>
      <c r="E1315" s="29"/>
      <c r="F1315" s="29"/>
    </row>
    <row r="1316" spans="1:6" x14ac:dyDescent="0.2">
      <c r="A1316" s="28" t="s">
        <v>4519</v>
      </c>
      <c r="B1316" s="29"/>
      <c r="C1316" s="29"/>
      <c r="D1316" s="29"/>
      <c r="E1316" s="29"/>
      <c r="F1316" s="29"/>
    </row>
    <row r="1317" spans="1:6" x14ac:dyDescent="0.2">
      <c r="A1317" s="30" t="s">
        <v>4520</v>
      </c>
      <c r="B1317" s="29"/>
      <c r="C1317" s="29"/>
      <c r="D1317" s="29"/>
      <c r="E1317" s="29"/>
      <c r="F1317" s="29"/>
    </row>
    <row r="1318" spans="1:6" x14ac:dyDescent="0.2">
      <c r="A1318" s="28" t="s">
        <v>4521</v>
      </c>
      <c r="B1318" s="29"/>
      <c r="C1318" s="29"/>
      <c r="D1318" s="29"/>
      <c r="E1318" s="29"/>
      <c r="F1318" s="29"/>
    </row>
    <row r="1319" spans="1:6" x14ac:dyDescent="0.2">
      <c r="A1319" s="30" t="s">
        <v>4522</v>
      </c>
      <c r="B1319" s="29"/>
      <c r="C1319" s="29"/>
      <c r="D1319" s="29"/>
      <c r="E1319" s="29"/>
      <c r="F1319" s="29"/>
    </row>
    <row r="1320" spans="1:6" x14ac:dyDescent="0.2">
      <c r="A1320" s="28" t="s">
        <v>4523</v>
      </c>
      <c r="B1320" s="29"/>
      <c r="C1320" s="29"/>
      <c r="D1320" s="29"/>
      <c r="E1320" s="29"/>
      <c r="F1320" s="29"/>
    </row>
    <row r="1321" spans="1:6" x14ac:dyDescent="0.2">
      <c r="A1321" s="30" t="s">
        <v>4524</v>
      </c>
      <c r="B1321" s="29"/>
      <c r="C1321" s="29"/>
      <c r="D1321" s="29"/>
      <c r="E1321" s="29"/>
      <c r="F1321" s="29"/>
    </row>
    <row r="1322" spans="1:6" x14ac:dyDescent="0.2">
      <c r="A1322" s="28" t="s">
        <v>4525</v>
      </c>
      <c r="B1322" s="29"/>
      <c r="C1322" s="29"/>
      <c r="D1322" s="29"/>
      <c r="E1322" s="29"/>
      <c r="F1322" s="29"/>
    </row>
    <row r="1323" spans="1:6" x14ac:dyDescent="0.2">
      <c r="A1323" s="30" t="s">
        <v>4526</v>
      </c>
      <c r="B1323" s="29"/>
      <c r="C1323" s="29"/>
      <c r="D1323" s="29"/>
      <c r="E1323" s="29"/>
      <c r="F1323" s="29"/>
    </row>
    <row r="1324" spans="1:6" x14ac:dyDescent="0.2">
      <c r="A1324" s="28" t="s">
        <v>4527</v>
      </c>
      <c r="B1324" s="29"/>
      <c r="C1324" s="29"/>
      <c r="D1324" s="29"/>
      <c r="E1324" s="29"/>
      <c r="F1324" s="29"/>
    </row>
    <row r="1325" spans="1:6" x14ac:dyDescent="0.2">
      <c r="A1325" s="30" t="s">
        <v>4528</v>
      </c>
      <c r="B1325" s="29"/>
      <c r="C1325" s="29"/>
      <c r="D1325" s="29"/>
      <c r="E1325" s="29"/>
      <c r="F1325" s="29"/>
    </row>
    <row r="1326" spans="1:6" x14ac:dyDescent="0.2">
      <c r="A1326" s="28" t="s">
        <v>4529</v>
      </c>
      <c r="B1326" s="29"/>
      <c r="C1326" s="29"/>
      <c r="D1326" s="29"/>
      <c r="E1326" s="29"/>
      <c r="F1326" s="29"/>
    </row>
    <row r="1327" spans="1:6" x14ac:dyDescent="0.2">
      <c r="A1327" s="30" t="s">
        <v>4530</v>
      </c>
      <c r="B1327" s="29"/>
      <c r="C1327" s="29"/>
      <c r="D1327" s="29"/>
      <c r="E1327" s="29"/>
      <c r="F1327" s="29"/>
    </row>
    <row r="1328" spans="1:6" x14ac:dyDescent="0.2">
      <c r="A1328" s="28" t="s">
        <v>4531</v>
      </c>
      <c r="B1328" s="29"/>
      <c r="C1328" s="29"/>
      <c r="D1328" s="29"/>
      <c r="E1328" s="29"/>
      <c r="F1328" s="29"/>
    </row>
    <row r="1329" spans="1:6" x14ac:dyDescent="0.2">
      <c r="A1329" s="30" t="s">
        <v>4532</v>
      </c>
      <c r="B1329" s="29"/>
      <c r="C1329" s="29"/>
      <c r="D1329" s="29"/>
      <c r="E1329" s="29"/>
      <c r="F1329" s="29"/>
    </row>
    <row r="1330" spans="1:6" x14ac:dyDescent="0.2">
      <c r="A1330" s="28" t="s">
        <v>4533</v>
      </c>
      <c r="B1330" s="29"/>
      <c r="C1330" s="29"/>
      <c r="D1330" s="29"/>
      <c r="E1330" s="29"/>
      <c r="F1330" s="29"/>
    </row>
    <row r="1331" spans="1:6" x14ac:dyDescent="0.2">
      <c r="A1331" s="30" t="s">
        <v>4534</v>
      </c>
      <c r="B1331" s="29"/>
      <c r="C1331" s="29"/>
      <c r="D1331" s="29"/>
      <c r="E1331" s="29"/>
      <c r="F1331" s="29"/>
    </row>
    <row r="1332" spans="1:6" x14ac:dyDescent="0.2">
      <c r="A1332" s="28" t="s">
        <v>4535</v>
      </c>
      <c r="B1332" s="29"/>
      <c r="C1332" s="29"/>
      <c r="D1332" s="29"/>
      <c r="E1332" s="29"/>
      <c r="F1332" s="29"/>
    </row>
    <row r="1333" spans="1:6" x14ac:dyDescent="0.2">
      <c r="A1333" s="30" t="s">
        <v>4536</v>
      </c>
      <c r="B1333" s="29"/>
      <c r="C1333" s="29"/>
      <c r="D1333" s="29"/>
      <c r="E1333" s="29"/>
      <c r="F1333" s="29"/>
    </row>
    <row r="1334" spans="1:6" x14ac:dyDescent="0.2">
      <c r="A1334" s="28" t="s">
        <v>4537</v>
      </c>
      <c r="B1334" s="29"/>
      <c r="C1334" s="29"/>
      <c r="D1334" s="29"/>
      <c r="E1334" s="29"/>
      <c r="F1334" s="29"/>
    </row>
    <row r="1335" spans="1:6" x14ac:dyDescent="0.2">
      <c r="A1335" s="30" t="s">
        <v>4538</v>
      </c>
      <c r="B1335" s="29"/>
      <c r="C1335" s="29"/>
      <c r="D1335" s="29"/>
      <c r="E1335" s="29"/>
      <c r="F1335" s="29"/>
    </row>
    <row r="1336" spans="1:6" x14ac:dyDescent="0.2">
      <c r="A1336" s="28" t="s">
        <v>4539</v>
      </c>
      <c r="B1336" s="29"/>
      <c r="C1336" s="29"/>
      <c r="D1336" s="29"/>
      <c r="E1336" s="29"/>
      <c r="F1336" s="29"/>
    </row>
    <row r="1337" spans="1:6" x14ac:dyDescent="0.2">
      <c r="A1337" s="30" t="s">
        <v>4540</v>
      </c>
      <c r="B1337" s="29"/>
      <c r="C1337" s="29"/>
      <c r="D1337" s="29"/>
      <c r="E1337" s="29"/>
      <c r="F1337" s="29"/>
    </row>
    <row r="1338" spans="1:6" x14ac:dyDescent="0.2">
      <c r="A1338" s="28" t="s">
        <v>4541</v>
      </c>
      <c r="B1338" s="29"/>
      <c r="C1338" s="29"/>
      <c r="D1338" s="29"/>
      <c r="E1338" s="29"/>
      <c r="F1338" s="29"/>
    </row>
    <row r="1339" spans="1:6" x14ac:dyDescent="0.2">
      <c r="A1339" s="30" t="s">
        <v>4542</v>
      </c>
      <c r="B1339" s="29"/>
      <c r="C1339" s="29"/>
      <c r="D1339" s="29"/>
      <c r="E1339" s="29"/>
      <c r="F1339" s="29"/>
    </row>
    <row r="1340" spans="1:6" x14ac:dyDescent="0.2">
      <c r="A1340" s="28" t="s">
        <v>4543</v>
      </c>
      <c r="B1340" s="29"/>
      <c r="C1340" s="29"/>
      <c r="D1340" s="29"/>
      <c r="E1340" s="29"/>
      <c r="F1340" s="29"/>
    </row>
    <row r="1341" spans="1:6" x14ac:dyDescent="0.2">
      <c r="A1341" s="30" t="s">
        <v>4544</v>
      </c>
      <c r="B1341" s="29"/>
      <c r="C1341" s="29"/>
      <c r="D1341" s="29"/>
      <c r="E1341" s="29"/>
      <c r="F1341" s="29"/>
    </row>
    <row r="1342" spans="1:6" x14ac:dyDescent="0.2">
      <c r="A1342" s="28" t="s">
        <v>4545</v>
      </c>
      <c r="B1342" s="29"/>
      <c r="C1342" s="29"/>
      <c r="D1342" s="29"/>
      <c r="E1342" s="29"/>
      <c r="F1342" s="29"/>
    </row>
    <row r="1343" spans="1:6" x14ac:dyDescent="0.2">
      <c r="A1343" s="30" t="s">
        <v>4546</v>
      </c>
      <c r="B1343" s="29"/>
      <c r="C1343" s="29"/>
      <c r="D1343" s="29"/>
      <c r="E1343" s="29"/>
      <c r="F1343" s="29"/>
    </row>
    <row r="1344" spans="1:6" x14ac:dyDescent="0.2">
      <c r="A1344" s="28" t="s">
        <v>4547</v>
      </c>
      <c r="B1344" s="29"/>
      <c r="C1344" s="29"/>
      <c r="D1344" s="29"/>
      <c r="E1344" s="29"/>
      <c r="F1344" s="29"/>
    </row>
    <row r="1345" spans="1:6" x14ac:dyDescent="0.2">
      <c r="A1345" s="30" t="s">
        <v>4548</v>
      </c>
      <c r="B1345" s="29"/>
      <c r="C1345" s="29"/>
      <c r="D1345" s="29"/>
      <c r="E1345" s="29"/>
      <c r="F1345" s="29"/>
    </row>
    <row r="1346" spans="1:6" x14ac:dyDescent="0.2">
      <c r="A1346" s="28" t="s">
        <v>4549</v>
      </c>
      <c r="B1346" s="29"/>
      <c r="C1346" s="29"/>
      <c r="D1346" s="29"/>
      <c r="E1346" s="29"/>
      <c r="F1346" s="29"/>
    </row>
    <row r="1347" spans="1:6" x14ac:dyDescent="0.2">
      <c r="A1347" s="30" t="s">
        <v>4550</v>
      </c>
      <c r="B1347" s="29"/>
      <c r="C1347" s="29"/>
      <c r="D1347" s="29"/>
      <c r="E1347" s="29"/>
      <c r="F1347" s="29"/>
    </row>
    <row r="1348" spans="1:6" x14ac:dyDescent="0.2">
      <c r="A1348" s="28" t="s">
        <v>4551</v>
      </c>
      <c r="B1348" s="29"/>
      <c r="C1348" s="29"/>
      <c r="D1348" s="29"/>
      <c r="E1348" s="29"/>
      <c r="F1348" s="29"/>
    </row>
    <row r="1349" spans="1:6" x14ac:dyDescent="0.2">
      <c r="A1349" s="30" t="s">
        <v>4552</v>
      </c>
      <c r="B1349" s="29"/>
      <c r="C1349" s="29"/>
      <c r="D1349" s="29"/>
      <c r="E1349" s="29"/>
      <c r="F1349" s="29"/>
    </row>
    <row r="1350" spans="1:6" x14ac:dyDescent="0.2">
      <c r="A1350" s="28" t="s">
        <v>4553</v>
      </c>
      <c r="B1350" s="29"/>
      <c r="C1350" s="29"/>
      <c r="D1350" s="29"/>
      <c r="E1350" s="29"/>
      <c r="F1350" s="29"/>
    </row>
    <row r="1351" spans="1:6" x14ac:dyDescent="0.2">
      <c r="A1351" s="30" t="s">
        <v>4554</v>
      </c>
      <c r="B1351" s="29"/>
      <c r="C1351" s="29"/>
      <c r="D1351" s="29"/>
      <c r="E1351" s="29"/>
      <c r="F1351" s="29"/>
    </row>
    <row r="1352" spans="1:6" x14ac:dyDescent="0.2">
      <c r="A1352" s="28" t="s">
        <v>4555</v>
      </c>
      <c r="B1352" s="29"/>
      <c r="C1352" s="29"/>
      <c r="D1352" s="29"/>
      <c r="E1352" s="29"/>
      <c r="F1352" s="29"/>
    </row>
    <row r="1353" spans="1:6" x14ac:dyDescent="0.2">
      <c r="A1353" s="30" t="s">
        <v>4556</v>
      </c>
      <c r="B1353" s="29"/>
      <c r="C1353" s="29"/>
      <c r="D1353" s="29"/>
      <c r="E1353" s="29"/>
      <c r="F1353" s="29"/>
    </row>
    <row r="1354" spans="1:6" x14ac:dyDescent="0.2">
      <c r="A1354" s="28" t="s">
        <v>4557</v>
      </c>
      <c r="B1354" s="29"/>
      <c r="C1354" s="29"/>
      <c r="D1354" s="29"/>
      <c r="E1354" s="29"/>
      <c r="F1354" s="29"/>
    </row>
    <row r="1355" spans="1:6" x14ac:dyDescent="0.2">
      <c r="A1355" s="30" t="s">
        <v>4558</v>
      </c>
      <c r="B1355" s="29"/>
      <c r="C1355" s="29"/>
      <c r="D1355" s="29"/>
      <c r="E1355" s="29"/>
      <c r="F1355" s="29"/>
    </row>
    <row r="1356" spans="1:6" x14ac:dyDescent="0.2">
      <c r="A1356" s="28" t="s">
        <v>4559</v>
      </c>
      <c r="B1356" s="29"/>
      <c r="C1356" s="29"/>
      <c r="D1356" s="29"/>
      <c r="E1356" s="29"/>
      <c r="F1356" s="29"/>
    </row>
    <row r="1357" spans="1:6" x14ac:dyDescent="0.2">
      <c r="A1357" s="30" t="s">
        <v>4560</v>
      </c>
      <c r="B1357" s="29"/>
      <c r="C1357" s="29"/>
      <c r="D1357" s="29"/>
      <c r="E1357" s="29"/>
      <c r="F1357" s="29"/>
    </row>
    <row r="1358" spans="1:6" x14ac:dyDescent="0.2">
      <c r="A1358" s="28" t="s">
        <v>4561</v>
      </c>
      <c r="B1358" s="29"/>
      <c r="C1358" s="29"/>
      <c r="D1358" s="29"/>
      <c r="E1358" s="29"/>
      <c r="F1358" s="29"/>
    </row>
    <row r="1359" spans="1:6" x14ac:dyDescent="0.2">
      <c r="A1359" s="30" t="s">
        <v>4562</v>
      </c>
      <c r="B1359" s="29"/>
      <c r="C1359" s="29"/>
      <c r="D1359" s="29"/>
      <c r="E1359" s="29"/>
      <c r="F1359" s="29"/>
    </row>
    <row r="1360" spans="1:6" x14ac:dyDescent="0.2">
      <c r="A1360" s="28" t="s">
        <v>4563</v>
      </c>
      <c r="B1360" s="29"/>
      <c r="C1360" s="29"/>
      <c r="D1360" s="29"/>
      <c r="E1360" s="29"/>
      <c r="F1360" s="29"/>
    </row>
    <row r="1361" spans="1:6" x14ac:dyDescent="0.2">
      <c r="A1361" s="30" t="s">
        <v>4564</v>
      </c>
      <c r="B1361" s="29"/>
      <c r="C1361" s="29"/>
      <c r="D1361" s="29"/>
      <c r="E1361" s="29"/>
      <c r="F1361" s="29"/>
    </row>
    <row r="1362" spans="1:6" x14ac:dyDescent="0.2">
      <c r="A1362" s="28" t="s">
        <v>4565</v>
      </c>
      <c r="B1362" s="29"/>
      <c r="C1362" s="29"/>
      <c r="D1362" s="29"/>
      <c r="E1362" s="29"/>
      <c r="F1362" s="29"/>
    </row>
    <row r="1363" spans="1:6" x14ac:dyDescent="0.2">
      <c r="A1363" s="30" t="s">
        <v>4566</v>
      </c>
      <c r="B1363" s="29"/>
      <c r="C1363" s="29"/>
      <c r="D1363" s="29"/>
      <c r="E1363" s="29"/>
      <c r="F1363" s="29"/>
    </row>
    <row r="1364" spans="1:6" x14ac:dyDescent="0.2">
      <c r="A1364" s="28" t="s">
        <v>4567</v>
      </c>
      <c r="B1364" s="29"/>
      <c r="C1364" s="29"/>
      <c r="D1364" s="29"/>
      <c r="E1364" s="29"/>
      <c r="F1364" s="29"/>
    </row>
    <row r="1365" spans="1:6" x14ac:dyDescent="0.2">
      <c r="A1365" s="30" t="s">
        <v>4568</v>
      </c>
      <c r="B1365" s="29"/>
      <c r="C1365" s="29"/>
      <c r="D1365" s="29"/>
      <c r="E1365" s="29"/>
      <c r="F1365" s="29"/>
    </row>
    <row r="1366" spans="1:6" x14ac:dyDescent="0.2">
      <c r="A1366" s="28" t="s">
        <v>4569</v>
      </c>
      <c r="B1366" s="29"/>
      <c r="C1366" s="29"/>
      <c r="D1366" s="29"/>
      <c r="E1366" s="29"/>
      <c r="F1366" s="29"/>
    </row>
    <row r="1367" spans="1:6" x14ac:dyDescent="0.2">
      <c r="A1367" s="30" t="s">
        <v>4570</v>
      </c>
      <c r="B1367" s="29"/>
      <c r="C1367" s="29"/>
      <c r="D1367" s="29"/>
      <c r="E1367" s="29"/>
      <c r="F1367" s="29"/>
    </row>
    <row r="1368" spans="1:6" x14ac:dyDescent="0.2">
      <c r="A1368" s="28" t="s">
        <v>4571</v>
      </c>
      <c r="B1368" s="29"/>
      <c r="C1368" s="29"/>
      <c r="D1368" s="29"/>
      <c r="E1368" s="29"/>
      <c r="F1368" s="29"/>
    </row>
    <row r="1369" spans="1:6" x14ac:dyDescent="0.2">
      <c r="A1369" s="30" t="s">
        <v>4572</v>
      </c>
      <c r="B1369" s="29"/>
      <c r="C1369" s="29"/>
      <c r="D1369" s="29"/>
      <c r="E1369" s="29"/>
      <c r="F1369" s="29"/>
    </row>
    <row r="1370" spans="1:6" x14ac:dyDescent="0.2">
      <c r="A1370" s="28" t="s">
        <v>4573</v>
      </c>
      <c r="B1370" s="29"/>
      <c r="C1370" s="29"/>
      <c r="D1370" s="29"/>
      <c r="E1370" s="29"/>
      <c r="F1370" s="29"/>
    </row>
    <row r="1371" spans="1:6" x14ac:dyDescent="0.2">
      <c r="A1371" s="30" t="s">
        <v>4574</v>
      </c>
      <c r="B1371" s="29"/>
      <c r="C1371" s="29"/>
      <c r="D1371" s="29"/>
      <c r="E1371" s="29"/>
      <c r="F1371" s="29"/>
    </row>
    <row r="1372" spans="1:6" x14ac:dyDescent="0.2">
      <c r="A1372" s="28" t="s">
        <v>4575</v>
      </c>
      <c r="B1372" s="29"/>
      <c r="C1372" s="29"/>
      <c r="D1372" s="29"/>
      <c r="E1372" s="29"/>
      <c r="F1372" s="29"/>
    </row>
    <row r="1373" spans="1:6" x14ac:dyDescent="0.2">
      <c r="A1373" s="30" t="s">
        <v>4576</v>
      </c>
      <c r="B1373" s="29"/>
      <c r="C1373" s="29"/>
      <c r="D1373" s="29"/>
      <c r="E1373" s="29"/>
      <c r="F1373" s="29"/>
    </row>
    <row r="1374" spans="1:6" x14ac:dyDescent="0.2">
      <c r="A1374" s="28" t="s">
        <v>4577</v>
      </c>
      <c r="B1374" s="29"/>
      <c r="C1374" s="29"/>
      <c r="D1374" s="29"/>
      <c r="E1374" s="29"/>
      <c r="F1374" s="29"/>
    </row>
    <row r="1375" spans="1:6" x14ac:dyDescent="0.2">
      <c r="A1375" s="30" t="s">
        <v>4578</v>
      </c>
      <c r="B1375" s="29"/>
      <c r="C1375" s="29"/>
      <c r="D1375" s="29"/>
      <c r="E1375" s="29"/>
      <c r="F1375" s="29"/>
    </row>
    <row r="1376" spans="1:6" x14ac:dyDescent="0.2">
      <c r="A1376" s="28" t="s">
        <v>4579</v>
      </c>
      <c r="B1376" s="29"/>
      <c r="C1376" s="29"/>
      <c r="D1376" s="29"/>
      <c r="E1376" s="29"/>
      <c r="F1376" s="29"/>
    </row>
    <row r="1377" spans="1:6" x14ac:dyDescent="0.2">
      <c r="A1377" s="30" t="s">
        <v>4580</v>
      </c>
      <c r="B1377" s="29"/>
      <c r="C1377" s="29"/>
      <c r="D1377" s="29"/>
      <c r="E1377" s="29"/>
      <c r="F1377" s="29"/>
    </row>
    <row r="1378" spans="1:6" x14ac:dyDescent="0.2">
      <c r="A1378" s="28" t="s">
        <v>4581</v>
      </c>
      <c r="B1378" s="29"/>
      <c r="C1378" s="29"/>
      <c r="D1378" s="29"/>
      <c r="E1378" s="29"/>
      <c r="F1378" s="29"/>
    </row>
    <row r="1379" spans="1:6" x14ac:dyDescent="0.2">
      <c r="A1379" s="30" t="s">
        <v>4582</v>
      </c>
      <c r="B1379" s="29"/>
      <c r="C1379" s="29"/>
      <c r="D1379" s="29"/>
      <c r="E1379" s="29"/>
      <c r="F1379" s="29"/>
    </row>
    <row r="1380" spans="1:6" x14ac:dyDescent="0.2">
      <c r="A1380" s="28" t="s">
        <v>4583</v>
      </c>
      <c r="B1380" s="29"/>
      <c r="C1380" s="29"/>
      <c r="D1380" s="29"/>
      <c r="E1380" s="29"/>
      <c r="F1380" s="29"/>
    </row>
    <row r="1381" spans="1:6" x14ac:dyDescent="0.2">
      <c r="A1381" s="30" t="s">
        <v>4584</v>
      </c>
      <c r="B1381" s="29"/>
      <c r="C1381" s="29"/>
      <c r="D1381" s="29"/>
      <c r="E1381" s="29"/>
      <c r="F1381" s="29"/>
    </row>
    <row r="1382" spans="1:6" x14ac:dyDescent="0.2">
      <c r="A1382" s="28" t="s">
        <v>4585</v>
      </c>
      <c r="B1382" s="29"/>
      <c r="C1382" s="29"/>
      <c r="D1382" s="29"/>
      <c r="E1382" s="29"/>
      <c r="F1382" s="29"/>
    </row>
    <row r="1383" spans="1:6" x14ac:dyDescent="0.2">
      <c r="A1383" s="30" t="s">
        <v>4586</v>
      </c>
      <c r="B1383" s="29"/>
      <c r="C1383" s="29"/>
      <c r="D1383" s="29"/>
      <c r="E1383" s="29"/>
      <c r="F1383" s="29"/>
    </row>
    <row r="1384" spans="1:6" x14ac:dyDescent="0.2">
      <c r="A1384" s="28" t="s">
        <v>4587</v>
      </c>
      <c r="B1384" s="29"/>
      <c r="C1384" s="29"/>
      <c r="D1384" s="29"/>
      <c r="E1384" s="29"/>
      <c r="F1384" s="29"/>
    </row>
    <row r="1385" spans="1:6" x14ac:dyDescent="0.2">
      <c r="A1385" s="30" t="s">
        <v>4588</v>
      </c>
      <c r="B1385" s="29"/>
      <c r="C1385" s="29"/>
      <c r="D1385" s="29"/>
      <c r="E1385" s="29"/>
      <c r="F1385" s="29"/>
    </row>
    <row r="1386" spans="1:6" x14ac:dyDescent="0.2">
      <c r="A1386" s="28" t="s">
        <v>4589</v>
      </c>
      <c r="B1386" s="29"/>
      <c r="C1386" s="29"/>
      <c r="D1386" s="29"/>
      <c r="E1386" s="29"/>
      <c r="F1386" s="29"/>
    </row>
    <row r="1387" spans="1:6" x14ac:dyDescent="0.2">
      <c r="A1387" s="30" t="s">
        <v>4590</v>
      </c>
      <c r="B1387" s="29"/>
      <c r="C1387" s="29"/>
      <c r="D1387" s="29"/>
      <c r="E1387" s="29"/>
      <c r="F1387" s="29"/>
    </row>
    <row r="1388" spans="1:6" x14ac:dyDescent="0.2">
      <c r="A1388" s="28" t="s">
        <v>4591</v>
      </c>
      <c r="B1388" s="29"/>
      <c r="C1388" s="29"/>
      <c r="D1388" s="29"/>
      <c r="E1388" s="29"/>
      <c r="F1388" s="29"/>
    </row>
    <row r="1389" spans="1:6" x14ac:dyDescent="0.2">
      <c r="A1389" s="30" t="s">
        <v>4592</v>
      </c>
      <c r="B1389" s="29"/>
      <c r="C1389" s="29"/>
      <c r="D1389" s="29"/>
      <c r="E1389" s="29"/>
      <c r="F1389" s="29"/>
    </row>
    <row r="1390" spans="1:6" x14ac:dyDescent="0.2">
      <c r="A1390" s="28" t="s">
        <v>4593</v>
      </c>
      <c r="B1390" s="29"/>
      <c r="C1390" s="29"/>
      <c r="D1390" s="29"/>
      <c r="E1390" s="29"/>
      <c r="F1390" s="29"/>
    </row>
    <row r="1391" spans="1:6" x14ac:dyDescent="0.2">
      <c r="A1391" s="30" t="s">
        <v>4594</v>
      </c>
      <c r="B1391" s="29"/>
      <c r="C1391" s="29"/>
      <c r="D1391" s="29"/>
      <c r="E1391" s="29"/>
      <c r="F1391" s="29"/>
    </row>
    <row r="1392" spans="1:6" x14ac:dyDescent="0.2">
      <c r="A1392" s="28" t="s">
        <v>4595</v>
      </c>
      <c r="B1392" s="29"/>
      <c r="C1392" s="29"/>
      <c r="D1392" s="29"/>
      <c r="E1392" s="29"/>
      <c r="F1392" s="29"/>
    </row>
    <row r="1393" spans="1:6" x14ac:dyDescent="0.2">
      <c r="A1393" s="30" t="s">
        <v>4596</v>
      </c>
      <c r="B1393" s="29"/>
      <c r="C1393" s="29"/>
      <c r="D1393" s="29"/>
      <c r="E1393" s="29"/>
      <c r="F1393" s="29"/>
    </row>
    <row r="1394" spans="1:6" x14ac:dyDescent="0.2">
      <c r="A1394" s="28" t="s">
        <v>4597</v>
      </c>
      <c r="B1394" s="29"/>
      <c r="C1394" s="29"/>
      <c r="D1394" s="29"/>
      <c r="E1394" s="29"/>
      <c r="F1394" s="29"/>
    </row>
    <row r="1395" spans="1:6" x14ac:dyDescent="0.2">
      <c r="A1395" s="30" t="s">
        <v>4598</v>
      </c>
      <c r="B1395" s="29"/>
      <c r="C1395" s="29"/>
      <c r="D1395" s="29"/>
      <c r="E1395" s="29"/>
      <c r="F1395" s="29"/>
    </row>
    <row r="1396" spans="1:6" x14ac:dyDescent="0.2">
      <c r="A1396" s="28" t="s">
        <v>4599</v>
      </c>
      <c r="B1396" s="29"/>
      <c r="C1396" s="29"/>
      <c r="D1396" s="29"/>
      <c r="E1396" s="29"/>
      <c r="F1396" s="29"/>
    </row>
    <row r="1397" spans="1:6" x14ac:dyDescent="0.2">
      <c r="A1397" s="30" t="s">
        <v>4600</v>
      </c>
      <c r="B1397" s="29"/>
      <c r="C1397" s="29"/>
      <c r="D1397" s="29"/>
      <c r="E1397" s="29"/>
      <c r="F1397" s="29"/>
    </row>
    <row r="1398" spans="1:6" x14ac:dyDescent="0.2">
      <c r="A1398" s="28" t="s">
        <v>4601</v>
      </c>
      <c r="B1398" s="29"/>
      <c r="C1398" s="29"/>
      <c r="D1398" s="29"/>
      <c r="E1398" s="29"/>
      <c r="F1398" s="29"/>
    </row>
    <row r="1399" spans="1:6" x14ac:dyDescent="0.2">
      <c r="A1399" s="30" t="s">
        <v>4602</v>
      </c>
      <c r="B1399" s="29"/>
      <c r="C1399" s="29"/>
      <c r="D1399" s="29"/>
      <c r="E1399" s="29"/>
      <c r="F1399" s="29"/>
    </row>
    <row r="1400" spans="1:6" x14ac:dyDescent="0.2">
      <c r="A1400" s="28" t="s">
        <v>4603</v>
      </c>
      <c r="B1400" s="29"/>
      <c r="C1400" s="29"/>
      <c r="D1400" s="29"/>
      <c r="E1400" s="29"/>
      <c r="F1400" s="29"/>
    </row>
    <row r="1401" spans="1:6" x14ac:dyDescent="0.2">
      <c r="A1401" s="30" t="s">
        <v>4604</v>
      </c>
      <c r="B1401" s="29"/>
      <c r="C1401" s="29"/>
      <c r="D1401" s="29"/>
      <c r="E1401" s="29"/>
      <c r="F1401" s="29"/>
    </row>
    <row r="1402" spans="1:6" x14ac:dyDescent="0.2">
      <c r="A1402" s="28" t="s">
        <v>4605</v>
      </c>
      <c r="B1402" s="29"/>
      <c r="C1402" s="29"/>
      <c r="D1402" s="29"/>
      <c r="E1402" s="29"/>
      <c r="F1402" s="29"/>
    </row>
    <row r="1403" spans="1:6" x14ac:dyDescent="0.2">
      <c r="A1403" s="30" t="s">
        <v>4606</v>
      </c>
      <c r="B1403" s="29"/>
      <c r="C1403" s="29"/>
      <c r="D1403" s="29"/>
      <c r="E1403" s="29"/>
      <c r="F1403" s="29"/>
    </row>
    <row r="1404" spans="1:6" x14ac:dyDescent="0.2">
      <c r="A1404" s="28" t="s">
        <v>4607</v>
      </c>
      <c r="B1404" s="29"/>
      <c r="C1404" s="29"/>
      <c r="D1404" s="29"/>
      <c r="E1404" s="29"/>
      <c r="F1404" s="29"/>
    </row>
    <row r="1405" spans="1:6" x14ac:dyDescent="0.2">
      <c r="A1405" s="30" t="s">
        <v>4608</v>
      </c>
      <c r="B1405" s="29"/>
      <c r="C1405" s="29"/>
      <c r="D1405" s="29"/>
      <c r="E1405" s="29"/>
      <c r="F1405" s="29"/>
    </row>
    <row r="1406" spans="1:6" x14ac:dyDescent="0.2">
      <c r="A1406" s="28" t="s">
        <v>4609</v>
      </c>
      <c r="B1406" s="29"/>
      <c r="C1406" s="29"/>
      <c r="D1406" s="29"/>
      <c r="E1406" s="29"/>
      <c r="F1406" s="29"/>
    </row>
    <row r="1407" spans="1:6" x14ac:dyDescent="0.2">
      <c r="A1407" s="30" t="s">
        <v>4610</v>
      </c>
      <c r="B1407" s="29"/>
      <c r="C1407" s="29"/>
      <c r="D1407" s="29"/>
      <c r="E1407" s="29"/>
      <c r="F1407" s="29"/>
    </row>
    <row r="1408" spans="1:6" x14ac:dyDescent="0.2">
      <c r="A1408" s="28" t="s">
        <v>4611</v>
      </c>
      <c r="B1408" s="29"/>
      <c r="C1408" s="29"/>
      <c r="D1408" s="29"/>
      <c r="E1408" s="29"/>
      <c r="F1408" s="29"/>
    </row>
    <row r="1409" spans="1:6" x14ac:dyDescent="0.2">
      <c r="A1409" s="30" t="s">
        <v>4612</v>
      </c>
      <c r="B1409" s="29"/>
      <c r="C1409" s="29"/>
      <c r="D1409" s="29"/>
      <c r="E1409" s="29"/>
      <c r="F1409" s="29"/>
    </row>
    <row r="1410" spans="1:6" x14ac:dyDescent="0.2">
      <c r="A1410" s="28" t="s">
        <v>4613</v>
      </c>
      <c r="B1410" s="29"/>
      <c r="C1410" s="29"/>
      <c r="D1410" s="29"/>
      <c r="E1410" s="29"/>
      <c r="F1410" s="29"/>
    </row>
    <row r="1411" spans="1:6" x14ac:dyDescent="0.2">
      <c r="A1411" s="30" t="s">
        <v>4614</v>
      </c>
      <c r="B1411" s="29"/>
      <c r="C1411" s="29"/>
      <c r="D1411" s="29"/>
      <c r="E1411" s="29"/>
      <c r="F1411" s="29"/>
    </row>
    <row r="1412" spans="1:6" x14ac:dyDescent="0.2">
      <c r="A1412" s="28" t="s">
        <v>4615</v>
      </c>
      <c r="B1412" s="29"/>
      <c r="C1412" s="29"/>
      <c r="D1412" s="29"/>
      <c r="E1412" s="29"/>
      <c r="F1412" s="29"/>
    </row>
    <row r="1413" spans="1:6" x14ac:dyDescent="0.2">
      <c r="A1413" s="30" t="s">
        <v>4616</v>
      </c>
      <c r="B1413" s="29"/>
      <c r="C1413" s="29"/>
      <c r="D1413" s="29"/>
      <c r="E1413" s="29"/>
      <c r="F1413" s="29"/>
    </row>
    <row r="1414" spans="1:6" x14ac:dyDescent="0.2">
      <c r="A1414" s="28" t="s">
        <v>4617</v>
      </c>
      <c r="B1414" s="29"/>
      <c r="C1414" s="29"/>
      <c r="D1414" s="29"/>
      <c r="E1414" s="29"/>
      <c r="F1414" s="29"/>
    </row>
    <row r="1415" spans="1:6" x14ac:dyDescent="0.2">
      <c r="A1415" s="30" t="s">
        <v>4618</v>
      </c>
      <c r="B1415" s="29"/>
      <c r="C1415" s="29"/>
      <c r="D1415" s="29"/>
      <c r="E1415" s="29"/>
      <c r="F1415" s="29"/>
    </row>
    <row r="1416" spans="1:6" x14ac:dyDescent="0.2">
      <c r="A1416" s="28" t="s">
        <v>4619</v>
      </c>
      <c r="B1416" s="29"/>
      <c r="C1416" s="29"/>
      <c r="D1416" s="29"/>
      <c r="E1416" s="29"/>
      <c r="F1416" s="29"/>
    </row>
    <row r="1417" spans="1:6" x14ac:dyDescent="0.2">
      <c r="A1417" s="30" t="s">
        <v>4620</v>
      </c>
      <c r="B1417" s="29"/>
      <c r="C1417" s="29"/>
      <c r="D1417" s="29"/>
      <c r="E1417" s="29"/>
      <c r="F1417" s="29"/>
    </row>
    <row r="1418" spans="1:6" x14ac:dyDescent="0.2">
      <c r="A1418" s="28" t="s">
        <v>4621</v>
      </c>
      <c r="B1418" s="29"/>
      <c r="C1418" s="29"/>
      <c r="D1418" s="29"/>
      <c r="E1418" s="29"/>
      <c r="F1418" s="29"/>
    </row>
    <row r="1419" spans="1:6" x14ac:dyDescent="0.2">
      <c r="A1419" s="30" t="s">
        <v>4622</v>
      </c>
      <c r="B1419" s="29"/>
      <c r="C1419" s="29"/>
      <c r="D1419" s="29"/>
      <c r="E1419" s="29"/>
      <c r="F1419" s="29"/>
    </row>
    <row r="1420" spans="1:6" x14ac:dyDescent="0.2">
      <c r="A1420" s="28" t="s">
        <v>4623</v>
      </c>
      <c r="B1420" s="29"/>
      <c r="C1420" s="29"/>
      <c r="D1420" s="29"/>
      <c r="E1420" s="29"/>
      <c r="F1420" s="29"/>
    </row>
    <row r="1421" spans="1:6" x14ac:dyDescent="0.2">
      <c r="A1421" s="30" t="s">
        <v>4624</v>
      </c>
      <c r="B1421" s="29"/>
      <c r="C1421" s="29"/>
      <c r="D1421" s="29"/>
      <c r="E1421" s="29"/>
      <c r="F1421" s="29"/>
    </row>
    <row r="1422" spans="1:6" x14ac:dyDescent="0.2">
      <c r="A1422" s="28" t="s">
        <v>4625</v>
      </c>
      <c r="B1422" s="29"/>
      <c r="C1422" s="29"/>
      <c r="D1422" s="29"/>
      <c r="E1422" s="29"/>
      <c r="F1422" s="29"/>
    </row>
    <row r="1423" spans="1:6" x14ac:dyDescent="0.2">
      <c r="A1423" s="30" t="s">
        <v>4626</v>
      </c>
      <c r="B1423" s="29"/>
      <c r="C1423" s="29"/>
      <c r="D1423" s="29"/>
      <c r="E1423" s="29"/>
      <c r="F1423" s="29"/>
    </row>
    <row r="1424" spans="1:6" x14ac:dyDescent="0.2">
      <c r="A1424" s="28" t="s">
        <v>4627</v>
      </c>
      <c r="B1424" s="29"/>
      <c r="C1424" s="29"/>
      <c r="D1424" s="29"/>
      <c r="E1424" s="29"/>
      <c r="F1424" s="29"/>
    </row>
    <row r="1425" spans="1:6" x14ac:dyDescent="0.2">
      <c r="A1425" s="30" t="s">
        <v>4628</v>
      </c>
      <c r="B1425" s="29"/>
      <c r="C1425" s="29"/>
      <c r="D1425" s="29"/>
      <c r="E1425" s="29"/>
      <c r="F1425" s="29"/>
    </row>
    <row r="1426" spans="1:6" x14ac:dyDescent="0.2">
      <c r="A1426" s="28" t="s">
        <v>4629</v>
      </c>
      <c r="B1426" s="29"/>
      <c r="C1426" s="29"/>
      <c r="D1426" s="29"/>
      <c r="E1426" s="29"/>
      <c r="F1426" s="29"/>
    </row>
    <row r="1427" spans="1:6" x14ac:dyDescent="0.2">
      <c r="A1427" s="30" t="s">
        <v>4630</v>
      </c>
      <c r="B1427" s="29"/>
      <c r="C1427" s="29"/>
      <c r="D1427" s="29"/>
      <c r="E1427" s="29"/>
      <c r="F1427" s="29"/>
    </row>
    <row r="1428" spans="1:6" x14ac:dyDescent="0.2">
      <c r="A1428" s="28" t="s">
        <v>4631</v>
      </c>
      <c r="B1428" s="29"/>
      <c r="C1428" s="29"/>
      <c r="D1428" s="29"/>
      <c r="E1428" s="29"/>
      <c r="F1428" s="29"/>
    </row>
    <row r="1429" spans="1:6" x14ac:dyDescent="0.2">
      <c r="A1429" s="30" t="s">
        <v>4632</v>
      </c>
      <c r="B1429" s="29"/>
      <c r="C1429" s="29"/>
      <c r="D1429" s="29"/>
      <c r="E1429" s="29"/>
      <c r="F1429" s="29"/>
    </row>
    <row r="1430" spans="1:6" x14ac:dyDescent="0.2">
      <c r="A1430" s="28" t="s">
        <v>4633</v>
      </c>
      <c r="B1430" s="29"/>
      <c r="C1430" s="29"/>
      <c r="D1430" s="29"/>
      <c r="E1430" s="29"/>
      <c r="F1430" s="29"/>
    </row>
    <row r="1431" spans="1:6" x14ac:dyDescent="0.2">
      <c r="A1431" s="30" t="s">
        <v>4634</v>
      </c>
      <c r="B1431" s="29"/>
      <c r="C1431" s="29"/>
      <c r="D1431" s="29"/>
      <c r="E1431" s="29"/>
      <c r="F1431" s="29"/>
    </row>
    <row r="1432" spans="1:6" x14ac:dyDescent="0.2">
      <c r="A1432" s="28" t="s">
        <v>4635</v>
      </c>
      <c r="B1432" s="29"/>
      <c r="C1432" s="29"/>
      <c r="D1432" s="29"/>
      <c r="E1432" s="29"/>
      <c r="F1432" s="29"/>
    </row>
    <row r="1433" spans="1:6" x14ac:dyDescent="0.2">
      <c r="A1433" s="30" t="s">
        <v>4636</v>
      </c>
      <c r="B1433" s="29"/>
      <c r="C1433" s="29"/>
      <c r="D1433" s="29"/>
      <c r="E1433" s="29"/>
      <c r="F1433" s="29"/>
    </row>
    <row r="1434" spans="1:6" x14ac:dyDescent="0.2">
      <c r="A1434" s="28" t="s">
        <v>4637</v>
      </c>
      <c r="B1434" s="29"/>
      <c r="C1434" s="29"/>
      <c r="D1434" s="29"/>
      <c r="E1434" s="29"/>
      <c r="F1434" s="29"/>
    </row>
    <row r="1435" spans="1:6" x14ac:dyDescent="0.2">
      <c r="A1435" s="30" t="s">
        <v>4638</v>
      </c>
      <c r="B1435" s="29"/>
      <c r="C1435" s="29"/>
      <c r="D1435" s="29"/>
      <c r="E1435" s="29"/>
      <c r="F1435" s="29"/>
    </row>
    <row r="1436" spans="1:6" x14ac:dyDescent="0.2">
      <c r="A1436" s="28" t="s">
        <v>4639</v>
      </c>
      <c r="B1436" s="29"/>
      <c r="C1436" s="29"/>
      <c r="D1436" s="29"/>
      <c r="E1436" s="29"/>
      <c r="F1436" s="29"/>
    </row>
    <row r="1437" spans="1:6" x14ac:dyDescent="0.2">
      <c r="A1437" s="30" t="s">
        <v>4640</v>
      </c>
      <c r="B1437" s="29"/>
      <c r="C1437" s="29"/>
      <c r="D1437" s="29"/>
      <c r="E1437" s="29"/>
      <c r="F1437" s="29"/>
    </row>
    <row r="1438" spans="1:6" x14ac:dyDescent="0.2">
      <c r="A1438" s="28" t="s">
        <v>4641</v>
      </c>
      <c r="B1438" s="29"/>
      <c r="C1438" s="29"/>
      <c r="D1438" s="29"/>
      <c r="E1438" s="29"/>
      <c r="F1438" s="29"/>
    </row>
    <row r="1439" spans="1:6" x14ac:dyDescent="0.2">
      <c r="A1439" s="30" t="s">
        <v>4642</v>
      </c>
      <c r="B1439" s="29"/>
      <c r="C1439" s="29"/>
      <c r="D1439" s="29"/>
      <c r="E1439" s="29"/>
      <c r="F1439" s="29"/>
    </row>
    <row r="1440" spans="1:6" x14ac:dyDescent="0.2">
      <c r="A1440" s="28" t="s">
        <v>4643</v>
      </c>
      <c r="B1440" s="29"/>
      <c r="C1440" s="29"/>
      <c r="D1440" s="29"/>
      <c r="E1440" s="29"/>
      <c r="F1440" s="29"/>
    </row>
    <row r="1441" spans="1:6" x14ac:dyDescent="0.2">
      <c r="A1441" s="30" t="s">
        <v>4644</v>
      </c>
      <c r="B1441" s="29"/>
      <c r="C1441" s="29"/>
      <c r="D1441" s="29"/>
      <c r="E1441" s="29"/>
      <c r="F1441" s="29"/>
    </row>
    <row r="1442" spans="1:6" x14ac:dyDescent="0.2">
      <c r="A1442" s="28" t="s">
        <v>4645</v>
      </c>
      <c r="B1442" s="29"/>
      <c r="C1442" s="29"/>
      <c r="D1442" s="29"/>
      <c r="E1442" s="29"/>
      <c r="F1442" s="29"/>
    </row>
    <row r="1443" spans="1:6" x14ac:dyDescent="0.2">
      <c r="A1443" s="30" t="s">
        <v>4646</v>
      </c>
      <c r="B1443" s="29"/>
      <c r="C1443" s="29"/>
      <c r="D1443" s="29"/>
      <c r="E1443" s="29"/>
      <c r="F1443" s="29"/>
    </row>
    <row r="1444" spans="1:6" x14ac:dyDescent="0.2">
      <c r="A1444" s="28" t="s">
        <v>4647</v>
      </c>
      <c r="B1444" s="29"/>
      <c r="C1444" s="29"/>
      <c r="D1444" s="29"/>
      <c r="E1444" s="29"/>
      <c r="F1444" s="29"/>
    </row>
    <row r="1445" spans="1:6" x14ac:dyDescent="0.2">
      <c r="A1445" s="30" t="s">
        <v>4648</v>
      </c>
      <c r="B1445" s="29"/>
      <c r="C1445" s="29"/>
      <c r="D1445" s="29"/>
      <c r="E1445" s="29"/>
      <c r="F1445" s="29"/>
    </row>
    <row r="1446" spans="1:6" x14ac:dyDescent="0.2">
      <c r="A1446" s="28" t="s">
        <v>4649</v>
      </c>
      <c r="B1446" s="29"/>
      <c r="C1446" s="29"/>
      <c r="D1446" s="29"/>
      <c r="E1446" s="29"/>
      <c r="F1446" s="29"/>
    </row>
    <row r="1447" spans="1:6" x14ac:dyDescent="0.2">
      <c r="A1447" s="30" t="s">
        <v>4650</v>
      </c>
      <c r="B1447" s="29"/>
      <c r="C1447" s="29"/>
      <c r="D1447" s="29"/>
      <c r="E1447" s="29"/>
      <c r="F1447" s="29"/>
    </row>
    <row r="1448" spans="1:6" x14ac:dyDescent="0.2">
      <c r="A1448" s="28" t="s">
        <v>4651</v>
      </c>
      <c r="B1448" s="29"/>
      <c r="C1448" s="29"/>
      <c r="D1448" s="29"/>
      <c r="E1448" s="29"/>
      <c r="F1448" s="29"/>
    </row>
    <row r="1449" spans="1:6" x14ac:dyDescent="0.2">
      <c r="A1449" s="30" t="s">
        <v>4652</v>
      </c>
      <c r="B1449" s="29"/>
      <c r="C1449" s="29"/>
      <c r="D1449" s="29"/>
      <c r="E1449" s="29"/>
      <c r="F1449" s="29"/>
    </row>
    <row r="1450" spans="1:6" x14ac:dyDescent="0.2">
      <c r="A1450" s="28" t="s">
        <v>4653</v>
      </c>
      <c r="B1450" s="29"/>
      <c r="C1450" s="29"/>
      <c r="D1450" s="29"/>
      <c r="E1450" s="29"/>
      <c r="F1450" s="29"/>
    </row>
    <row r="1451" spans="1:6" x14ac:dyDescent="0.2">
      <c r="A1451" s="30" t="s">
        <v>4654</v>
      </c>
      <c r="B1451" s="29"/>
      <c r="C1451" s="29"/>
      <c r="D1451" s="29"/>
      <c r="E1451" s="29"/>
      <c r="F1451" s="29"/>
    </row>
    <row r="1452" spans="1:6" x14ac:dyDescent="0.2">
      <c r="A1452" s="28" t="s">
        <v>4655</v>
      </c>
      <c r="B1452" s="29"/>
      <c r="C1452" s="29"/>
      <c r="D1452" s="29"/>
      <c r="E1452" s="29"/>
      <c r="F1452" s="29"/>
    </row>
    <row r="1453" spans="1:6" x14ac:dyDescent="0.2">
      <c r="A1453" s="30" t="s">
        <v>4656</v>
      </c>
      <c r="B1453" s="29"/>
      <c r="C1453" s="29"/>
      <c r="D1453" s="29"/>
      <c r="E1453" s="29"/>
      <c r="F1453" s="29"/>
    </row>
    <row r="1454" spans="1:6" x14ac:dyDescent="0.2">
      <c r="A1454" s="28" t="s">
        <v>4657</v>
      </c>
      <c r="B1454" s="29"/>
      <c r="C1454" s="29"/>
      <c r="D1454" s="29"/>
      <c r="E1454" s="29"/>
      <c r="F1454" s="29"/>
    </row>
    <row r="1455" spans="1:6" x14ac:dyDescent="0.2">
      <c r="A1455" s="30" t="s">
        <v>4658</v>
      </c>
      <c r="B1455" s="29"/>
      <c r="C1455" s="29"/>
      <c r="D1455" s="29"/>
      <c r="E1455" s="29"/>
      <c r="F1455" s="29"/>
    </row>
    <row r="1456" spans="1:6" x14ac:dyDescent="0.2">
      <c r="A1456" s="28" t="s">
        <v>4659</v>
      </c>
      <c r="B1456" s="29"/>
      <c r="C1456" s="29"/>
      <c r="D1456" s="29"/>
      <c r="E1456" s="29"/>
      <c r="F1456" s="29"/>
    </row>
    <row r="1457" spans="1:6" x14ac:dyDescent="0.2">
      <c r="A1457" s="30" t="s">
        <v>4660</v>
      </c>
      <c r="B1457" s="29"/>
      <c r="C1457" s="29"/>
      <c r="D1457" s="29"/>
      <c r="E1457" s="29"/>
      <c r="F1457" s="29"/>
    </row>
    <row r="1458" spans="1:6" x14ac:dyDescent="0.2">
      <c r="A1458" s="28" t="s">
        <v>4661</v>
      </c>
      <c r="B1458" s="29"/>
      <c r="C1458" s="29"/>
      <c r="D1458" s="29"/>
      <c r="E1458" s="29"/>
      <c r="F1458" s="29"/>
    </row>
    <row r="1459" spans="1:6" x14ac:dyDescent="0.2">
      <c r="A1459" s="30" t="s">
        <v>4662</v>
      </c>
      <c r="B1459" s="29"/>
      <c r="C1459" s="29"/>
      <c r="D1459" s="29"/>
      <c r="E1459" s="29"/>
      <c r="F1459" s="29"/>
    </row>
    <row r="1460" spans="1:6" x14ac:dyDescent="0.2">
      <c r="A1460" s="28" t="s">
        <v>4663</v>
      </c>
      <c r="B1460" s="29"/>
      <c r="C1460" s="29"/>
      <c r="D1460" s="29"/>
      <c r="E1460" s="29"/>
      <c r="F1460" s="29"/>
    </row>
    <row r="1461" spans="1:6" x14ac:dyDescent="0.2">
      <c r="A1461" s="30" t="s">
        <v>4664</v>
      </c>
      <c r="B1461" s="29"/>
      <c r="C1461" s="29"/>
      <c r="D1461" s="29"/>
      <c r="E1461" s="29"/>
      <c r="F1461" s="29"/>
    </row>
    <row r="1462" spans="1:6" x14ac:dyDescent="0.2">
      <c r="A1462" s="28" t="s">
        <v>4665</v>
      </c>
      <c r="B1462" s="29"/>
      <c r="C1462" s="29"/>
      <c r="D1462" s="29"/>
      <c r="E1462" s="29"/>
      <c r="F1462" s="29"/>
    </row>
    <row r="1463" spans="1:6" x14ac:dyDescent="0.2">
      <c r="A1463" s="30" t="s">
        <v>4666</v>
      </c>
      <c r="B1463" s="29"/>
      <c r="C1463" s="29"/>
      <c r="D1463" s="29"/>
      <c r="E1463" s="29"/>
      <c r="F1463" s="29"/>
    </row>
    <row r="1464" spans="1:6" x14ac:dyDescent="0.2">
      <c r="A1464" s="28" t="s">
        <v>4667</v>
      </c>
      <c r="B1464" s="29"/>
      <c r="C1464" s="29"/>
      <c r="D1464" s="29"/>
      <c r="E1464" s="29"/>
      <c r="F1464" s="29"/>
    </row>
    <row r="1465" spans="1:6" x14ac:dyDescent="0.2">
      <c r="A1465" s="30" t="s">
        <v>4668</v>
      </c>
      <c r="B1465" s="29"/>
      <c r="C1465" s="29"/>
      <c r="D1465" s="29"/>
      <c r="E1465" s="29"/>
      <c r="F1465" s="29"/>
    </row>
    <row r="1466" spans="1:6" x14ac:dyDescent="0.2">
      <c r="A1466" s="28" t="s">
        <v>4669</v>
      </c>
      <c r="B1466" s="29"/>
      <c r="C1466" s="29"/>
      <c r="D1466" s="29"/>
      <c r="E1466" s="29"/>
      <c r="F1466" s="29"/>
    </row>
    <row r="1467" spans="1:6" x14ac:dyDescent="0.2">
      <c r="A1467" s="30" t="s">
        <v>4670</v>
      </c>
      <c r="B1467" s="29"/>
      <c r="C1467" s="29"/>
      <c r="D1467" s="29"/>
      <c r="E1467" s="29"/>
      <c r="F1467" s="29"/>
    </row>
    <row r="1468" spans="1:6" x14ac:dyDescent="0.2">
      <c r="A1468" s="28" t="s">
        <v>4671</v>
      </c>
      <c r="B1468" s="29"/>
      <c r="C1468" s="29"/>
      <c r="D1468" s="29"/>
      <c r="E1468" s="29"/>
      <c r="F1468" s="29"/>
    </row>
    <row r="1469" spans="1:6" x14ac:dyDescent="0.2">
      <c r="A1469" s="30" t="s">
        <v>4672</v>
      </c>
      <c r="B1469" s="29"/>
      <c r="C1469" s="29"/>
      <c r="D1469" s="29"/>
      <c r="E1469" s="29"/>
      <c r="F1469" s="29"/>
    </row>
    <row r="1470" spans="1:6" x14ac:dyDescent="0.2">
      <c r="A1470" s="28" t="s">
        <v>4673</v>
      </c>
      <c r="B1470" s="29"/>
      <c r="C1470" s="29"/>
      <c r="D1470" s="29"/>
      <c r="E1470" s="29"/>
      <c r="F1470" s="29"/>
    </row>
    <row r="1471" spans="1:6" x14ac:dyDescent="0.2">
      <c r="A1471" s="30" t="s">
        <v>4674</v>
      </c>
      <c r="B1471" s="29"/>
      <c r="C1471" s="29"/>
      <c r="D1471" s="29"/>
      <c r="E1471" s="29"/>
      <c r="F1471" s="29"/>
    </row>
    <row r="1472" spans="1:6" x14ac:dyDescent="0.2">
      <c r="A1472" s="28" t="s">
        <v>4675</v>
      </c>
      <c r="B1472" s="29"/>
      <c r="C1472" s="29"/>
      <c r="D1472" s="29"/>
      <c r="E1472" s="29"/>
      <c r="F1472" s="29"/>
    </row>
    <row r="1473" spans="1:6" x14ac:dyDescent="0.2">
      <c r="A1473" s="30" t="s">
        <v>4676</v>
      </c>
      <c r="B1473" s="29"/>
      <c r="C1473" s="29"/>
      <c r="D1473" s="29"/>
      <c r="E1473" s="29"/>
      <c r="F1473" s="29"/>
    </row>
    <row r="1474" spans="1:6" x14ac:dyDescent="0.2">
      <c r="A1474" s="28" t="s">
        <v>4677</v>
      </c>
      <c r="B1474" s="29"/>
      <c r="C1474" s="29"/>
      <c r="D1474" s="29"/>
      <c r="E1474" s="29"/>
      <c r="F1474" s="29"/>
    </row>
    <row r="1475" spans="1:6" x14ac:dyDescent="0.2">
      <c r="A1475" s="30" t="s">
        <v>4678</v>
      </c>
      <c r="B1475" s="29"/>
      <c r="C1475" s="29"/>
      <c r="D1475" s="29"/>
      <c r="E1475" s="29"/>
      <c r="F1475" s="29"/>
    </row>
    <row r="1476" spans="1:6" x14ac:dyDescent="0.2">
      <c r="A1476" s="28" t="s">
        <v>4679</v>
      </c>
      <c r="B1476" s="29"/>
      <c r="C1476" s="29"/>
      <c r="D1476" s="29"/>
      <c r="E1476" s="29"/>
      <c r="F1476" s="29"/>
    </row>
    <row r="1477" spans="1:6" x14ac:dyDescent="0.2">
      <c r="A1477" s="30" t="s">
        <v>4680</v>
      </c>
      <c r="B1477" s="29"/>
      <c r="C1477" s="29"/>
      <c r="D1477" s="29"/>
      <c r="E1477" s="29"/>
      <c r="F1477" s="29"/>
    </row>
    <row r="1478" spans="1:6" x14ac:dyDescent="0.2">
      <c r="A1478" s="28" t="s">
        <v>4681</v>
      </c>
      <c r="B1478" s="29"/>
      <c r="C1478" s="29"/>
      <c r="D1478" s="29"/>
      <c r="E1478" s="29"/>
      <c r="F1478" s="29"/>
    </row>
    <row r="1479" spans="1:6" x14ac:dyDescent="0.2">
      <c r="A1479" s="30" t="s">
        <v>4682</v>
      </c>
      <c r="B1479" s="29"/>
      <c r="C1479" s="29"/>
      <c r="D1479" s="29"/>
      <c r="E1479" s="29"/>
      <c r="F1479" s="29"/>
    </row>
    <row r="1480" spans="1:6" x14ac:dyDescent="0.2">
      <c r="A1480" s="28" t="s">
        <v>4683</v>
      </c>
      <c r="B1480" s="29"/>
      <c r="C1480" s="29"/>
      <c r="D1480" s="29"/>
      <c r="E1480" s="29"/>
      <c r="F1480" s="29"/>
    </row>
    <row r="1481" spans="1:6" x14ac:dyDescent="0.2">
      <c r="A1481" s="30" t="s">
        <v>4684</v>
      </c>
      <c r="B1481" s="29"/>
      <c r="C1481" s="29"/>
      <c r="D1481" s="29"/>
      <c r="E1481" s="29"/>
      <c r="F1481" s="29"/>
    </row>
    <row r="1482" spans="1:6" x14ac:dyDescent="0.2">
      <c r="A1482" s="28" t="s">
        <v>4685</v>
      </c>
      <c r="B1482" s="29"/>
      <c r="C1482" s="29"/>
      <c r="D1482" s="29"/>
      <c r="E1482" s="29"/>
      <c r="F1482" s="29"/>
    </row>
    <row r="1483" spans="1:6" x14ac:dyDescent="0.2">
      <c r="A1483" s="30" t="s">
        <v>4686</v>
      </c>
      <c r="B1483" s="29"/>
      <c r="C1483" s="29"/>
      <c r="D1483" s="29"/>
      <c r="E1483" s="29"/>
      <c r="F1483" s="29"/>
    </row>
    <row r="1484" spans="1:6" x14ac:dyDescent="0.2">
      <c r="A1484" s="28" t="s">
        <v>4687</v>
      </c>
      <c r="B1484" s="29"/>
      <c r="C1484" s="29"/>
      <c r="D1484" s="29"/>
      <c r="E1484" s="29"/>
      <c r="F1484" s="29"/>
    </row>
    <row r="1485" spans="1:6" x14ac:dyDescent="0.2">
      <c r="A1485" s="30" t="s">
        <v>4688</v>
      </c>
      <c r="B1485" s="29"/>
      <c r="C1485" s="29"/>
      <c r="D1485" s="29"/>
      <c r="E1485" s="29"/>
      <c r="F1485" s="29"/>
    </row>
    <row r="1486" spans="1:6" x14ac:dyDescent="0.2">
      <c r="A1486" s="28" t="s">
        <v>4689</v>
      </c>
      <c r="B1486" s="29"/>
      <c r="C1486" s="29"/>
      <c r="D1486" s="29"/>
      <c r="E1486" s="29"/>
      <c r="F1486" s="29"/>
    </row>
    <row r="1487" spans="1:6" x14ac:dyDescent="0.2">
      <c r="A1487" s="30" t="s">
        <v>4690</v>
      </c>
      <c r="B1487" s="29"/>
      <c r="C1487" s="29"/>
      <c r="D1487" s="29"/>
      <c r="E1487" s="29"/>
      <c r="F1487" s="29"/>
    </row>
    <row r="1488" spans="1:6" x14ac:dyDescent="0.2">
      <c r="A1488" s="28" t="s">
        <v>4691</v>
      </c>
      <c r="B1488" s="29"/>
      <c r="C1488" s="29"/>
      <c r="D1488" s="29"/>
      <c r="E1488" s="29"/>
      <c r="F1488" s="29"/>
    </row>
    <row r="1489" spans="1:6" x14ac:dyDescent="0.2">
      <c r="A1489" s="30" t="s">
        <v>4692</v>
      </c>
      <c r="B1489" s="29"/>
      <c r="C1489" s="29"/>
      <c r="D1489" s="29"/>
      <c r="E1489" s="29"/>
      <c r="F1489" s="29"/>
    </row>
    <row r="1490" spans="1:6" x14ac:dyDescent="0.2">
      <c r="A1490" s="28" t="s">
        <v>4693</v>
      </c>
      <c r="B1490" s="29"/>
      <c r="C1490" s="29"/>
      <c r="D1490" s="29"/>
      <c r="E1490" s="29"/>
      <c r="F1490" s="29"/>
    </row>
    <row r="1491" spans="1:6" x14ac:dyDescent="0.2">
      <c r="A1491" s="30" t="s">
        <v>4694</v>
      </c>
      <c r="B1491" s="29"/>
      <c r="C1491" s="29"/>
      <c r="D1491" s="29"/>
      <c r="E1491" s="29"/>
      <c r="F1491" s="29"/>
    </row>
    <row r="1492" spans="1:6" x14ac:dyDescent="0.2">
      <c r="A1492" s="28" t="s">
        <v>4695</v>
      </c>
      <c r="B1492" s="29"/>
      <c r="C1492" s="29"/>
      <c r="D1492" s="29"/>
      <c r="E1492" s="29"/>
      <c r="F1492" s="29"/>
    </row>
    <row r="1493" spans="1:6" x14ac:dyDescent="0.2">
      <c r="A1493" s="30" t="s">
        <v>4696</v>
      </c>
      <c r="B1493" s="29"/>
      <c r="C1493" s="29"/>
      <c r="D1493" s="29"/>
      <c r="E1493" s="29"/>
      <c r="F1493" s="29"/>
    </row>
    <row r="1494" spans="1:6" x14ac:dyDescent="0.2">
      <c r="A1494" s="28" t="s">
        <v>4697</v>
      </c>
      <c r="B1494" s="29"/>
      <c r="C1494" s="29"/>
      <c r="D1494" s="29"/>
      <c r="E1494" s="29"/>
      <c r="F1494" s="29"/>
    </row>
    <row r="1495" spans="1:6" x14ac:dyDescent="0.2">
      <c r="A1495" s="30" t="s">
        <v>4698</v>
      </c>
      <c r="B1495" s="29"/>
      <c r="C1495" s="29"/>
      <c r="D1495" s="29"/>
      <c r="E1495" s="29"/>
      <c r="F1495" s="29"/>
    </row>
    <row r="1496" spans="1:6" x14ac:dyDescent="0.2">
      <c r="A1496" s="28" t="s">
        <v>4699</v>
      </c>
      <c r="B1496" s="29"/>
      <c r="C1496" s="29"/>
      <c r="D1496" s="29"/>
      <c r="E1496" s="29"/>
      <c r="F1496" s="29"/>
    </row>
    <row r="1497" spans="1:6" x14ac:dyDescent="0.2">
      <c r="A1497" s="30" t="s">
        <v>4700</v>
      </c>
      <c r="B1497" s="29"/>
      <c r="C1497" s="29"/>
      <c r="D1497" s="29"/>
      <c r="E1497" s="29"/>
      <c r="F1497" s="29"/>
    </row>
    <row r="1498" spans="1:6" x14ac:dyDescent="0.2">
      <c r="A1498" s="28" t="s">
        <v>4701</v>
      </c>
      <c r="B1498" s="29"/>
      <c r="C1498" s="29"/>
      <c r="D1498" s="29"/>
      <c r="E1498" s="29"/>
      <c r="F1498" s="29"/>
    </row>
    <row r="1499" spans="1:6" x14ac:dyDescent="0.2">
      <c r="A1499" s="30" t="s">
        <v>4702</v>
      </c>
      <c r="B1499" s="29"/>
      <c r="C1499" s="29"/>
      <c r="D1499" s="29"/>
      <c r="E1499" s="29"/>
      <c r="F1499" s="29"/>
    </row>
    <row r="1500" spans="1:6" x14ac:dyDescent="0.2">
      <c r="A1500" s="28" t="s">
        <v>4703</v>
      </c>
      <c r="B1500" s="29"/>
      <c r="C1500" s="29"/>
      <c r="D1500" s="29"/>
      <c r="E1500" s="29"/>
      <c r="F1500" s="29"/>
    </row>
    <row r="1501" spans="1:6" x14ac:dyDescent="0.2">
      <c r="A1501" s="25" t="s">
        <v>4704</v>
      </c>
      <c r="B1501" s="31"/>
      <c r="C1501" s="31"/>
      <c r="D1501" s="31"/>
      <c r="E1501" s="31"/>
      <c r="F1501" s="3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4BE5-2DC8-754A-9DE6-65DD3C90E629}">
  <sheetPr>
    <tabColor rgb="FF92D050"/>
  </sheetPr>
  <dimension ref="A1:J51"/>
  <sheetViews>
    <sheetView zoomScale="91" workbookViewId="0">
      <selection activeCell="AF11" sqref="AF11"/>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s>
  <sheetData>
    <row r="1" spans="1:6" x14ac:dyDescent="0.2">
      <c r="A1" s="32" t="s">
        <v>3873</v>
      </c>
      <c r="B1" s="32" t="s">
        <v>1667</v>
      </c>
      <c r="C1" s="32" t="s">
        <v>4922</v>
      </c>
      <c r="D1" s="32" t="s">
        <v>4923</v>
      </c>
      <c r="E1" s="32" t="s">
        <v>4960</v>
      </c>
      <c r="F1" s="32" t="s">
        <v>4924</v>
      </c>
    </row>
    <row r="2" spans="1:6" x14ac:dyDescent="0.2">
      <c r="A2" t="s">
        <v>3885</v>
      </c>
      <c r="B2" t="s">
        <v>15</v>
      </c>
      <c r="C2" t="s">
        <v>16</v>
      </c>
      <c r="D2" t="s">
        <v>3883</v>
      </c>
      <c r="E2">
        <v>96</v>
      </c>
      <c r="F2" t="s">
        <v>4925</v>
      </c>
    </row>
    <row r="3" spans="1:6" x14ac:dyDescent="0.2">
      <c r="A3" t="s">
        <v>3885</v>
      </c>
      <c r="B3" t="s">
        <v>15</v>
      </c>
      <c r="C3" t="s">
        <v>4926</v>
      </c>
      <c r="D3" t="s">
        <v>4927</v>
      </c>
      <c r="E3">
        <v>99</v>
      </c>
      <c r="F3" t="s">
        <v>4928</v>
      </c>
    </row>
    <row r="4" spans="1:6" x14ac:dyDescent="0.2">
      <c r="A4" t="s">
        <v>3885</v>
      </c>
      <c r="B4" t="s">
        <v>15</v>
      </c>
      <c r="C4" t="s">
        <v>84</v>
      </c>
      <c r="D4" t="s">
        <v>4929</v>
      </c>
      <c r="E4">
        <v>101</v>
      </c>
      <c r="F4" t="s">
        <v>4925</v>
      </c>
    </row>
    <row r="5" spans="1:6" x14ac:dyDescent="0.2">
      <c r="A5" t="s">
        <v>3885</v>
      </c>
      <c r="B5" t="s">
        <v>15</v>
      </c>
      <c r="C5" t="s">
        <v>164</v>
      </c>
      <c r="D5" t="s">
        <v>4930</v>
      </c>
      <c r="E5">
        <v>102</v>
      </c>
      <c r="F5" t="s">
        <v>4925</v>
      </c>
    </row>
    <row r="6" spans="1:6" x14ac:dyDescent="0.2">
      <c r="A6" t="s">
        <v>3885</v>
      </c>
      <c r="B6" t="s">
        <v>15</v>
      </c>
      <c r="C6" t="s">
        <v>241</v>
      </c>
      <c r="D6" t="s">
        <v>4710</v>
      </c>
      <c r="E6">
        <v>103</v>
      </c>
      <c r="F6" t="s">
        <v>4925</v>
      </c>
    </row>
    <row r="7" spans="1:6" x14ac:dyDescent="0.2">
      <c r="A7" t="s">
        <v>3885</v>
      </c>
      <c r="B7" t="s">
        <v>15</v>
      </c>
      <c r="C7" t="s">
        <v>339</v>
      </c>
      <c r="D7" t="s">
        <v>4779</v>
      </c>
      <c r="E7">
        <v>104</v>
      </c>
      <c r="F7" t="s">
        <v>4925</v>
      </c>
    </row>
    <row r="8" spans="1:6" x14ac:dyDescent="0.2">
      <c r="A8" t="s">
        <v>3885</v>
      </c>
      <c r="B8" t="s">
        <v>559</v>
      </c>
      <c r="C8" t="s">
        <v>4931</v>
      </c>
      <c r="D8" t="s">
        <v>4932</v>
      </c>
      <c r="E8">
        <v>110</v>
      </c>
      <c r="F8" t="s">
        <v>4933</v>
      </c>
    </row>
    <row r="9" spans="1:6" x14ac:dyDescent="0.2">
      <c r="A9" t="s">
        <v>3885</v>
      </c>
      <c r="B9" t="s">
        <v>559</v>
      </c>
      <c r="C9" t="s">
        <v>560</v>
      </c>
      <c r="D9" t="s">
        <v>4934</v>
      </c>
      <c r="E9">
        <v>112</v>
      </c>
      <c r="F9" t="s">
        <v>4925</v>
      </c>
    </row>
    <row r="10" spans="1:6" x14ac:dyDescent="0.2">
      <c r="A10" t="s">
        <v>3885</v>
      </c>
      <c r="B10" t="s">
        <v>559</v>
      </c>
      <c r="C10" t="s">
        <v>588</v>
      </c>
      <c r="D10" t="s">
        <v>4929</v>
      </c>
      <c r="E10">
        <v>113</v>
      </c>
      <c r="F10" t="s">
        <v>4925</v>
      </c>
    </row>
    <row r="11" spans="1:6" x14ac:dyDescent="0.2">
      <c r="A11" t="s">
        <v>3885</v>
      </c>
      <c r="B11" t="s">
        <v>559</v>
      </c>
      <c r="C11" t="s">
        <v>629</v>
      </c>
      <c r="D11" t="s">
        <v>4930</v>
      </c>
      <c r="E11">
        <v>115</v>
      </c>
      <c r="F11" t="s">
        <v>4925</v>
      </c>
    </row>
    <row r="12" spans="1:6" x14ac:dyDescent="0.2">
      <c r="A12" t="s">
        <v>3885</v>
      </c>
      <c r="B12" t="s">
        <v>559</v>
      </c>
      <c r="C12" t="s">
        <v>657</v>
      </c>
      <c r="D12" t="s">
        <v>4935</v>
      </c>
      <c r="E12">
        <v>115</v>
      </c>
      <c r="F12" t="s">
        <v>4925</v>
      </c>
    </row>
    <row r="13" spans="1:6" x14ac:dyDescent="0.2">
      <c r="A13" t="s">
        <v>3885</v>
      </c>
      <c r="B13" t="s">
        <v>745</v>
      </c>
      <c r="C13" t="s">
        <v>746</v>
      </c>
      <c r="D13" t="s">
        <v>4936</v>
      </c>
      <c r="E13">
        <v>120</v>
      </c>
      <c r="F13" t="s">
        <v>4925</v>
      </c>
    </row>
    <row r="14" spans="1:6" x14ac:dyDescent="0.2">
      <c r="A14" t="s">
        <v>3885</v>
      </c>
      <c r="B14" t="s">
        <v>745</v>
      </c>
      <c r="C14" t="s">
        <v>4937</v>
      </c>
      <c r="D14" t="s">
        <v>4938</v>
      </c>
      <c r="E14">
        <v>120</v>
      </c>
      <c r="F14" t="s">
        <v>4933</v>
      </c>
    </row>
    <row r="15" spans="1:6" x14ac:dyDescent="0.2">
      <c r="A15" t="s">
        <v>3885</v>
      </c>
      <c r="B15" t="s">
        <v>745</v>
      </c>
      <c r="C15" t="s">
        <v>4939</v>
      </c>
      <c r="D15" t="s">
        <v>4940</v>
      </c>
      <c r="E15">
        <v>121</v>
      </c>
      <c r="F15" t="s">
        <v>4928</v>
      </c>
    </row>
    <row r="16" spans="1:6" x14ac:dyDescent="0.2">
      <c r="A16" t="s">
        <v>3885</v>
      </c>
      <c r="B16" t="s">
        <v>745</v>
      </c>
      <c r="C16" t="s">
        <v>766</v>
      </c>
      <c r="D16" t="s">
        <v>4941</v>
      </c>
      <c r="E16">
        <v>126</v>
      </c>
      <c r="F16" t="s">
        <v>4925</v>
      </c>
    </row>
    <row r="17" spans="1:6" x14ac:dyDescent="0.2">
      <c r="A17" t="s">
        <v>3885</v>
      </c>
      <c r="B17" t="s">
        <v>745</v>
      </c>
      <c r="C17" t="s">
        <v>777</v>
      </c>
      <c r="D17" t="s">
        <v>4942</v>
      </c>
      <c r="E17">
        <v>127</v>
      </c>
      <c r="F17" t="s">
        <v>4925</v>
      </c>
    </row>
    <row r="18" spans="1:6" x14ac:dyDescent="0.2">
      <c r="A18" t="s">
        <v>3885</v>
      </c>
      <c r="B18" t="s">
        <v>745</v>
      </c>
      <c r="C18" t="s">
        <v>800</v>
      </c>
      <c r="D18" t="s">
        <v>4943</v>
      </c>
      <c r="E18">
        <v>129</v>
      </c>
      <c r="F18" t="s">
        <v>4925</v>
      </c>
    </row>
    <row r="19" spans="1:6" x14ac:dyDescent="0.2">
      <c r="A19" t="s">
        <v>3885</v>
      </c>
      <c r="B19" t="s">
        <v>745</v>
      </c>
      <c r="C19" t="s">
        <v>853</v>
      </c>
      <c r="D19" t="s">
        <v>4944</v>
      </c>
      <c r="E19">
        <v>130</v>
      </c>
      <c r="F19" t="s">
        <v>4925</v>
      </c>
    </row>
    <row r="20" spans="1:6" x14ac:dyDescent="0.2">
      <c r="A20" t="s">
        <v>3885</v>
      </c>
      <c r="B20" t="s">
        <v>1208</v>
      </c>
      <c r="C20" t="s">
        <v>4945</v>
      </c>
      <c r="D20" t="s">
        <v>4946</v>
      </c>
      <c r="E20">
        <v>141</v>
      </c>
      <c r="F20" t="s">
        <v>4933</v>
      </c>
    </row>
    <row r="21" spans="1:6" x14ac:dyDescent="0.2">
      <c r="A21" t="s">
        <v>3885</v>
      </c>
      <c r="B21" t="s">
        <v>1208</v>
      </c>
      <c r="C21" t="s">
        <v>1209</v>
      </c>
      <c r="D21" t="s">
        <v>4934</v>
      </c>
      <c r="E21">
        <v>141</v>
      </c>
      <c r="F21" t="s">
        <v>4925</v>
      </c>
    </row>
    <row r="22" spans="1:6" x14ac:dyDescent="0.2">
      <c r="A22" t="s">
        <v>3885</v>
      </c>
      <c r="B22" t="s">
        <v>1208</v>
      </c>
      <c r="C22" t="s">
        <v>1315</v>
      </c>
      <c r="D22" t="s">
        <v>4947</v>
      </c>
      <c r="E22">
        <v>141</v>
      </c>
      <c r="F22" t="s">
        <v>4925</v>
      </c>
    </row>
    <row r="23" spans="1:6" x14ac:dyDescent="0.2">
      <c r="A23" t="s">
        <v>3885</v>
      </c>
      <c r="B23" t="s">
        <v>1208</v>
      </c>
      <c r="C23" t="s">
        <v>1337</v>
      </c>
      <c r="D23" t="s">
        <v>4948</v>
      </c>
      <c r="E23">
        <v>142</v>
      </c>
      <c r="F23" t="s">
        <v>4925</v>
      </c>
    </row>
    <row r="24" spans="1:6" x14ac:dyDescent="0.2">
      <c r="A24" t="s">
        <v>3885</v>
      </c>
      <c r="B24" t="s">
        <v>1208</v>
      </c>
      <c r="C24" t="s">
        <v>1344</v>
      </c>
      <c r="D24" t="s">
        <v>4929</v>
      </c>
      <c r="E24">
        <v>143</v>
      </c>
      <c r="F24" t="s">
        <v>4925</v>
      </c>
    </row>
    <row r="25" spans="1:6" x14ac:dyDescent="0.2">
      <c r="A25" t="s">
        <v>3885</v>
      </c>
      <c r="B25" t="s">
        <v>1208</v>
      </c>
      <c r="C25" t="s">
        <v>1369</v>
      </c>
      <c r="D25" t="s">
        <v>4930</v>
      </c>
      <c r="E25">
        <v>144</v>
      </c>
      <c r="F25" t="s">
        <v>4925</v>
      </c>
    </row>
    <row r="26" spans="1:6" x14ac:dyDescent="0.2">
      <c r="A26" t="s">
        <v>3885</v>
      </c>
      <c r="B26" t="s">
        <v>1208</v>
      </c>
      <c r="C26" t="s">
        <v>1256</v>
      </c>
      <c r="D26" t="s">
        <v>4749</v>
      </c>
      <c r="E26">
        <v>145</v>
      </c>
      <c r="F26" t="s">
        <v>4925</v>
      </c>
    </row>
    <row r="27" spans="1:6" x14ac:dyDescent="0.2">
      <c r="A27" t="s">
        <v>3885</v>
      </c>
      <c r="B27" t="s">
        <v>1208</v>
      </c>
      <c r="C27" t="s">
        <v>3203</v>
      </c>
      <c r="D27" t="s">
        <v>4949</v>
      </c>
      <c r="E27">
        <v>145</v>
      </c>
      <c r="F27" t="s">
        <v>4925</v>
      </c>
    </row>
    <row r="28" spans="1:6" x14ac:dyDescent="0.2">
      <c r="A28" t="s">
        <v>3885</v>
      </c>
      <c r="B28" t="s">
        <v>1208</v>
      </c>
      <c r="C28" t="s">
        <v>4945</v>
      </c>
      <c r="D28" t="s">
        <v>4946</v>
      </c>
      <c r="E28">
        <v>146</v>
      </c>
      <c r="F28" t="s">
        <v>4933</v>
      </c>
    </row>
    <row r="29" spans="1:6" x14ac:dyDescent="0.2">
      <c r="A29" t="s">
        <v>3885</v>
      </c>
      <c r="B29" t="s">
        <v>1208</v>
      </c>
      <c r="C29" t="s">
        <v>1209</v>
      </c>
      <c r="D29" t="s">
        <v>4934</v>
      </c>
      <c r="E29">
        <v>146</v>
      </c>
      <c r="F29" t="s">
        <v>4925</v>
      </c>
    </row>
    <row r="30" spans="1:6" x14ac:dyDescent="0.2">
      <c r="A30" t="s">
        <v>3885</v>
      </c>
      <c r="B30" t="s">
        <v>1208</v>
      </c>
      <c r="C30" t="s">
        <v>1344</v>
      </c>
      <c r="D30" t="s">
        <v>4929</v>
      </c>
      <c r="E30">
        <v>148</v>
      </c>
      <c r="F30" t="s">
        <v>4925</v>
      </c>
    </row>
    <row r="31" spans="1:6" x14ac:dyDescent="0.2">
      <c r="A31" t="s">
        <v>3885</v>
      </c>
      <c r="B31" t="s">
        <v>1208</v>
      </c>
      <c r="C31" t="s">
        <v>1369</v>
      </c>
      <c r="D31" t="s">
        <v>4930</v>
      </c>
      <c r="E31">
        <v>149</v>
      </c>
      <c r="F31" t="s">
        <v>4925</v>
      </c>
    </row>
    <row r="32" spans="1:6" x14ac:dyDescent="0.2">
      <c r="A32" t="s">
        <v>3885</v>
      </c>
      <c r="B32" t="s">
        <v>1208</v>
      </c>
      <c r="C32" t="s">
        <v>1303</v>
      </c>
      <c r="D32" t="s">
        <v>4950</v>
      </c>
      <c r="E32">
        <v>147</v>
      </c>
      <c r="F32" t="s">
        <v>4925</v>
      </c>
    </row>
    <row r="33" spans="1:6" x14ac:dyDescent="0.2">
      <c r="A33" t="s">
        <v>3885</v>
      </c>
      <c r="B33" t="s">
        <v>1208</v>
      </c>
      <c r="C33" t="s">
        <v>4945</v>
      </c>
      <c r="D33" t="s">
        <v>4946</v>
      </c>
      <c r="E33">
        <v>148</v>
      </c>
      <c r="F33" t="s">
        <v>4933</v>
      </c>
    </row>
    <row r="34" spans="1:6" x14ac:dyDescent="0.2">
      <c r="A34" t="s">
        <v>3885</v>
      </c>
      <c r="B34" t="s">
        <v>1208</v>
      </c>
      <c r="C34" t="s">
        <v>1209</v>
      </c>
      <c r="D34" t="s">
        <v>4934</v>
      </c>
      <c r="E34">
        <v>148</v>
      </c>
      <c r="F34" t="s">
        <v>4925</v>
      </c>
    </row>
    <row r="35" spans="1:6" x14ac:dyDescent="0.2">
      <c r="A35" t="s">
        <v>3885</v>
      </c>
      <c r="B35" t="s">
        <v>1208</v>
      </c>
      <c r="C35" t="s">
        <v>1344</v>
      </c>
      <c r="D35" t="s">
        <v>4929</v>
      </c>
      <c r="E35">
        <v>148</v>
      </c>
      <c r="F35" t="s">
        <v>4925</v>
      </c>
    </row>
    <row r="36" spans="1:6" x14ac:dyDescent="0.2">
      <c r="A36" t="s">
        <v>3885</v>
      </c>
      <c r="B36" t="s">
        <v>1208</v>
      </c>
      <c r="C36" t="s">
        <v>1369</v>
      </c>
      <c r="D36" t="s">
        <v>4930</v>
      </c>
      <c r="E36">
        <v>149</v>
      </c>
      <c r="F36" t="s">
        <v>4925</v>
      </c>
    </row>
    <row r="37" spans="1:6" x14ac:dyDescent="0.2">
      <c r="A37" t="s">
        <v>3885</v>
      </c>
      <c r="B37" t="s">
        <v>1208</v>
      </c>
      <c r="C37" t="s">
        <v>3343</v>
      </c>
      <c r="D37" t="s">
        <v>4752</v>
      </c>
      <c r="E37">
        <v>149</v>
      </c>
      <c r="F37" t="s">
        <v>4925</v>
      </c>
    </row>
    <row r="38" spans="1:6" x14ac:dyDescent="0.2">
      <c r="A38" t="s">
        <v>3885</v>
      </c>
      <c r="B38" t="s">
        <v>1208</v>
      </c>
      <c r="C38" t="s">
        <v>1384</v>
      </c>
      <c r="D38" t="s">
        <v>4951</v>
      </c>
      <c r="E38">
        <v>150</v>
      </c>
      <c r="F38" t="s">
        <v>4925</v>
      </c>
    </row>
    <row r="39" spans="1:6" x14ac:dyDescent="0.2">
      <c r="A39" t="s">
        <v>3885</v>
      </c>
      <c r="B39" t="s">
        <v>1208</v>
      </c>
      <c r="C39" t="s">
        <v>3174</v>
      </c>
      <c r="D39" t="s">
        <v>4952</v>
      </c>
      <c r="E39">
        <v>152</v>
      </c>
      <c r="F39" t="s">
        <v>4925</v>
      </c>
    </row>
    <row r="40" spans="1:6" x14ac:dyDescent="0.2">
      <c r="A40" t="s">
        <v>3885</v>
      </c>
      <c r="B40" t="s">
        <v>1425</v>
      </c>
      <c r="C40" t="s">
        <v>4953</v>
      </c>
      <c r="D40" t="s">
        <v>4954</v>
      </c>
      <c r="E40">
        <v>155</v>
      </c>
      <c r="F40" t="s">
        <v>4933</v>
      </c>
    </row>
    <row r="41" spans="1:6" x14ac:dyDescent="0.2">
      <c r="A41" t="s">
        <v>3885</v>
      </c>
      <c r="B41" t="s">
        <v>1425</v>
      </c>
      <c r="C41" t="s">
        <v>4955</v>
      </c>
      <c r="D41" t="s">
        <v>4946</v>
      </c>
      <c r="E41">
        <v>156</v>
      </c>
      <c r="F41" t="s">
        <v>4933</v>
      </c>
    </row>
    <row r="42" spans="1:6" x14ac:dyDescent="0.2">
      <c r="A42" t="s">
        <v>3885</v>
      </c>
      <c r="B42" t="s">
        <v>1425</v>
      </c>
      <c r="C42" t="s">
        <v>1426</v>
      </c>
      <c r="D42" t="s">
        <v>4934</v>
      </c>
      <c r="E42">
        <v>157</v>
      </c>
      <c r="F42" t="s">
        <v>4925</v>
      </c>
    </row>
    <row r="43" spans="1:6" x14ac:dyDescent="0.2">
      <c r="A43" t="s">
        <v>3885</v>
      </c>
      <c r="B43" t="s">
        <v>1425</v>
      </c>
      <c r="C43" t="s">
        <v>1445</v>
      </c>
      <c r="D43" t="s">
        <v>4956</v>
      </c>
      <c r="E43">
        <v>158</v>
      </c>
      <c r="F43" t="s">
        <v>4925</v>
      </c>
    </row>
    <row r="44" spans="1:6" x14ac:dyDescent="0.2">
      <c r="A44" t="s">
        <v>3885</v>
      </c>
      <c r="B44" t="s">
        <v>1425</v>
      </c>
      <c r="C44" t="s">
        <v>1452</v>
      </c>
      <c r="D44" t="s">
        <v>4957</v>
      </c>
      <c r="E44">
        <v>159</v>
      </c>
      <c r="F44" t="s">
        <v>4925</v>
      </c>
    </row>
    <row r="45" spans="1:6" x14ac:dyDescent="0.2">
      <c r="A45" t="s">
        <v>3885</v>
      </c>
      <c r="B45" t="s">
        <v>1425</v>
      </c>
      <c r="C45" t="s">
        <v>1459</v>
      </c>
      <c r="D45" t="s">
        <v>4929</v>
      </c>
      <c r="E45">
        <v>160</v>
      </c>
      <c r="F45" t="s">
        <v>4925</v>
      </c>
    </row>
    <row r="46" spans="1:6" x14ac:dyDescent="0.2">
      <c r="A46" t="s">
        <v>3885</v>
      </c>
      <c r="B46" t="s">
        <v>1425</v>
      </c>
      <c r="C46" t="s">
        <v>1472</v>
      </c>
      <c r="D46" t="s">
        <v>4930</v>
      </c>
      <c r="E46">
        <v>161</v>
      </c>
      <c r="F46" t="s">
        <v>4925</v>
      </c>
    </row>
    <row r="47" spans="1:6" x14ac:dyDescent="0.2">
      <c r="A47" t="s">
        <v>3885</v>
      </c>
      <c r="B47" t="s">
        <v>1073</v>
      </c>
      <c r="C47" t="s">
        <v>4958</v>
      </c>
      <c r="D47" t="s">
        <v>4946</v>
      </c>
      <c r="E47">
        <v>163</v>
      </c>
      <c r="F47" t="s">
        <v>4928</v>
      </c>
    </row>
    <row r="48" spans="1:6" x14ac:dyDescent="0.2">
      <c r="A48" t="s">
        <v>3885</v>
      </c>
      <c r="B48" t="s">
        <v>1073</v>
      </c>
      <c r="C48" t="s">
        <v>1074</v>
      </c>
      <c r="D48" t="s">
        <v>4767</v>
      </c>
      <c r="E48">
        <v>163</v>
      </c>
      <c r="F48" t="s">
        <v>4925</v>
      </c>
    </row>
    <row r="49" spans="1:10" x14ac:dyDescent="0.2">
      <c r="A49" t="s">
        <v>3885</v>
      </c>
      <c r="B49" t="s">
        <v>1073</v>
      </c>
      <c r="C49" t="s">
        <v>1137</v>
      </c>
      <c r="D49" t="s">
        <v>4959</v>
      </c>
      <c r="E49">
        <v>163</v>
      </c>
      <c r="F49" t="s">
        <v>4925</v>
      </c>
    </row>
    <row r="50" spans="1:10" x14ac:dyDescent="0.2">
      <c r="A50" t="s">
        <v>3885</v>
      </c>
      <c r="B50" t="s">
        <v>1073</v>
      </c>
      <c r="C50" t="s">
        <v>1159</v>
      </c>
      <c r="D50" t="s">
        <v>4818</v>
      </c>
      <c r="E50">
        <v>164</v>
      </c>
      <c r="F50" t="s">
        <v>4925</v>
      </c>
    </row>
    <row r="51" spans="1:10" s="14" customFormat="1" x14ac:dyDescent="0.2">
      <c r="A51"/>
      <c r="B51"/>
      <c r="C51"/>
      <c r="D51"/>
      <c r="E51"/>
      <c r="F51"/>
      <c r="G51"/>
      <c r="H51"/>
      <c r="I51"/>
      <c r="J5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N102"/>
  <sheetViews>
    <sheetView topLeftCell="A16" zoomScale="125" workbookViewId="0">
      <selection activeCell="H49" sqref="H49"/>
    </sheetView>
  </sheetViews>
  <sheetFormatPr baseColWidth="10" defaultRowHeight="15" x14ac:dyDescent="0.2"/>
  <cols>
    <col min="3" max="3" width="23.83203125" customWidth="1"/>
    <col min="4" max="4" width="83.33203125" customWidth="1"/>
    <col min="5" max="5" width="33.1640625" customWidth="1"/>
    <col min="6" max="6" width="22.83203125" customWidth="1"/>
    <col min="7" max="7" width="22.83203125" style="14" customWidth="1"/>
    <col min="8" max="8" width="41.1640625" style="14" customWidth="1"/>
    <col min="9" max="9" width="80.1640625" style="14" customWidth="1"/>
    <col min="10" max="14" width="10.83203125" style="14"/>
  </cols>
  <sheetData>
    <row r="1" spans="1:14" s="13" customFormat="1" ht="16" customHeight="1" x14ac:dyDescent="0.2">
      <c r="A1" s="12" t="s">
        <v>3873</v>
      </c>
      <c r="B1" s="12" t="s">
        <v>1667</v>
      </c>
      <c r="C1" s="12" t="s">
        <v>1669</v>
      </c>
      <c r="D1" s="12" t="s">
        <v>3874</v>
      </c>
      <c r="E1" s="12" t="s">
        <v>3875</v>
      </c>
      <c r="F1" s="12" t="s">
        <v>3890</v>
      </c>
      <c r="G1" s="17" t="s">
        <v>3878</v>
      </c>
      <c r="H1" s="17" t="s">
        <v>3879</v>
      </c>
      <c r="I1" s="17" t="s">
        <v>3880</v>
      </c>
      <c r="J1" s="19"/>
      <c r="K1" s="19"/>
      <c r="L1" s="19"/>
      <c r="M1" s="19"/>
      <c r="N1" s="19"/>
    </row>
    <row r="2" spans="1:14" ht="16" customHeight="1" x14ac:dyDescent="0.2">
      <c r="A2" t="s">
        <v>3885</v>
      </c>
      <c r="B2" t="s">
        <v>4903</v>
      </c>
      <c r="C2" t="s">
        <v>16</v>
      </c>
      <c r="D2" t="s">
        <v>4819</v>
      </c>
      <c r="E2">
        <v>96</v>
      </c>
      <c r="F2" s="8"/>
    </row>
    <row r="3" spans="1:14" ht="16" customHeight="1" x14ac:dyDescent="0.2">
      <c r="A3" t="s">
        <v>3885</v>
      </c>
      <c r="B3" t="s">
        <v>4903</v>
      </c>
      <c r="C3" t="s">
        <v>16</v>
      </c>
      <c r="D3" t="s">
        <v>4820</v>
      </c>
      <c r="E3">
        <v>96</v>
      </c>
      <c r="F3" s="8" t="s">
        <v>4821</v>
      </c>
    </row>
    <row r="4" spans="1:14" ht="16" customHeight="1" x14ac:dyDescent="0.2">
      <c r="A4" t="s">
        <v>3885</v>
      </c>
      <c r="B4" t="s">
        <v>4903</v>
      </c>
      <c r="C4" t="s">
        <v>164</v>
      </c>
      <c r="D4" t="s">
        <v>4822</v>
      </c>
      <c r="E4">
        <v>102</v>
      </c>
      <c r="F4" s="8" t="s">
        <v>4823</v>
      </c>
    </row>
    <row r="5" spans="1:14" ht="32" customHeight="1" x14ac:dyDescent="0.2">
      <c r="A5" t="s">
        <v>3885</v>
      </c>
      <c r="B5" t="s">
        <v>4903</v>
      </c>
      <c r="C5" t="s">
        <v>241</v>
      </c>
      <c r="D5" t="s">
        <v>4824</v>
      </c>
      <c r="E5">
        <v>103</v>
      </c>
      <c r="F5" s="8" t="s">
        <v>4825</v>
      </c>
    </row>
    <row r="6" spans="1:14" ht="16" customHeight="1" x14ac:dyDescent="0.2">
      <c r="A6" t="s">
        <v>3885</v>
      </c>
      <c r="B6" t="s">
        <v>4903</v>
      </c>
      <c r="C6" t="s">
        <v>241</v>
      </c>
      <c r="D6" t="s">
        <v>4826</v>
      </c>
      <c r="E6">
        <v>103</v>
      </c>
      <c r="F6" s="8" t="s">
        <v>4827</v>
      </c>
    </row>
    <row r="7" spans="1:14" ht="16" customHeight="1" x14ac:dyDescent="0.2">
      <c r="A7" t="s">
        <v>3885</v>
      </c>
      <c r="B7" t="s">
        <v>4903</v>
      </c>
      <c r="C7" t="s">
        <v>241</v>
      </c>
      <c r="D7" t="s">
        <v>4828</v>
      </c>
      <c r="E7">
        <v>103</v>
      </c>
      <c r="F7" s="8" t="s">
        <v>4829</v>
      </c>
    </row>
    <row r="8" spans="1:14" ht="16" customHeight="1" x14ac:dyDescent="0.2">
      <c r="A8" t="s">
        <v>3885</v>
      </c>
      <c r="B8" t="s">
        <v>4903</v>
      </c>
      <c r="C8" t="s">
        <v>339</v>
      </c>
      <c r="D8" t="s">
        <v>4830</v>
      </c>
      <c r="E8">
        <v>104</v>
      </c>
      <c r="F8" s="8" t="s">
        <v>4831</v>
      </c>
    </row>
    <row r="9" spans="1:14" ht="16" customHeight="1" x14ac:dyDescent="0.2">
      <c r="A9" t="s">
        <v>3885</v>
      </c>
      <c r="B9" t="s">
        <v>4903</v>
      </c>
      <c r="C9" t="s">
        <v>339</v>
      </c>
      <c r="D9" t="s">
        <v>4832</v>
      </c>
      <c r="E9">
        <v>104</v>
      </c>
      <c r="F9" s="8" t="s">
        <v>4833</v>
      </c>
    </row>
    <row r="10" spans="1:14" ht="16" customHeight="1" x14ac:dyDescent="0.2">
      <c r="A10" t="s">
        <v>3885</v>
      </c>
      <c r="B10" t="s">
        <v>4904</v>
      </c>
      <c r="C10" t="s">
        <v>2273</v>
      </c>
      <c r="D10" t="s">
        <v>4834</v>
      </c>
      <c r="F10" s="8" t="s">
        <v>4835</v>
      </c>
    </row>
    <row r="11" spans="1:14" ht="16" customHeight="1" x14ac:dyDescent="0.2">
      <c r="A11" t="s">
        <v>3885</v>
      </c>
      <c r="B11" t="s">
        <v>4905</v>
      </c>
      <c r="C11" t="s">
        <v>560</v>
      </c>
      <c r="D11" t="s">
        <v>4836</v>
      </c>
      <c r="E11">
        <v>112</v>
      </c>
      <c r="F11" s="8" t="s">
        <v>4837</v>
      </c>
    </row>
    <row r="12" spans="1:14" ht="16" customHeight="1" x14ac:dyDescent="0.2">
      <c r="A12" t="s">
        <v>3885</v>
      </c>
      <c r="B12" t="s">
        <v>4905</v>
      </c>
      <c r="C12" t="s">
        <v>560</v>
      </c>
      <c r="D12" t="s">
        <v>4838</v>
      </c>
      <c r="E12">
        <v>113</v>
      </c>
      <c r="F12" s="8" t="s">
        <v>4839</v>
      </c>
    </row>
    <row r="13" spans="1:14" ht="16" customHeight="1" x14ac:dyDescent="0.2">
      <c r="A13" t="s">
        <v>3885</v>
      </c>
      <c r="B13" t="s">
        <v>4905</v>
      </c>
      <c r="C13" t="s">
        <v>560</v>
      </c>
      <c r="D13" t="s">
        <v>4840</v>
      </c>
      <c r="E13">
        <v>113</v>
      </c>
      <c r="F13" s="8" t="s">
        <v>4841</v>
      </c>
    </row>
    <row r="14" spans="1:14" ht="16" customHeight="1" x14ac:dyDescent="0.2">
      <c r="A14" t="s">
        <v>3885</v>
      </c>
      <c r="B14" t="s">
        <v>4905</v>
      </c>
      <c r="C14" t="s">
        <v>657</v>
      </c>
      <c r="D14" t="s">
        <v>4842</v>
      </c>
      <c r="E14">
        <v>115</v>
      </c>
      <c r="F14" s="8" t="s">
        <v>4843</v>
      </c>
    </row>
    <row r="15" spans="1:14" ht="32" customHeight="1" x14ac:dyDescent="0.2">
      <c r="A15" t="s">
        <v>3885</v>
      </c>
      <c r="B15" t="s">
        <v>4905</v>
      </c>
      <c r="C15" t="s">
        <v>657</v>
      </c>
      <c r="D15" t="s">
        <v>4844</v>
      </c>
      <c r="E15">
        <v>116</v>
      </c>
      <c r="F15" s="8" t="s">
        <v>4845</v>
      </c>
    </row>
    <row r="16" spans="1:14" ht="16" customHeight="1" x14ac:dyDescent="0.2">
      <c r="A16" t="s">
        <v>3885</v>
      </c>
      <c r="B16" t="s">
        <v>4904</v>
      </c>
      <c r="C16" t="s">
        <v>4846</v>
      </c>
      <c r="D16" t="s">
        <v>4847</v>
      </c>
      <c r="E16">
        <v>122</v>
      </c>
      <c r="F16" s="8" t="s">
        <v>4848</v>
      </c>
    </row>
    <row r="17" spans="1:6" ht="16" customHeight="1" x14ac:dyDescent="0.2">
      <c r="A17" t="s">
        <v>3885</v>
      </c>
      <c r="B17" t="s">
        <v>4904</v>
      </c>
      <c r="C17" t="s">
        <v>4846</v>
      </c>
      <c r="D17" t="s">
        <v>4849</v>
      </c>
      <c r="E17">
        <v>122</v>
      </c>
      <c r="F17" s="8" t="s">
        <v>4850</v>
      </c>
    </row>
    <row r="18" spans="1:6" ht="16" customHeight="1" x14ac:dyDescent="0.2">
      <c r="A18" t="s">
        <v>3885</v>
      </c>
      <c r="B18" t="s">
        <v>4904</v>
      </c>
      <c r="C18" t="s">
        <v>4846</v>
      </c>
      <c r="D18" t="s">
        <v>4851</v>
      </c>
      <c r="E18">
        <v>123</v>
      </c>
      <c r="F18" s="8" t="s">
        <v>4852</v>
      </c>
    </row>
    <row r="19" spans="1:6" ht="16" customHeight="1" x14ac:dyDescent="0.2">
      <c r="A19" t="s">
        <v>3885</v>
      </c>
      <c r="B19" t="s">
        <v>4906</v>
      </c>
      <c r="C19" t="s">
        <v>766</v>
      </c>
      <c r="D19" t="s">
        <v>4853</v>
      </c>
      <c r="E19">
        <v>126</v>
      </c>
      <c r="F19" s="8" t="s">
        <v>4854</v>
      </c>
    </row>
    <row r="20" spans="1:6" ht="16" customHeight="1" x14ac:dyDescent="0.2">
      <c r="A20" t="s">
        <v>3885</v>
      </c>
      <c r="B20" t="s">
        <v>4906</v>
      </c>
      <c r="C20" t="s">
        <v>766</v>
      </c>
      <c r="D20" t="s">
        <v>4855</v>
      </c>
      <c r="E20">
        <v>127</v>
      </c>
      <c r="F20" s="8" t="s">
        <v>4841</v>
      </c>
    </row>
    <row r="21" spans="1:6" ht="16" customHeight="1" x14ac:dyDescent="0.2">
      <c r="A21" t="s">
        <v>3885</v>
      </c>
      <c r="B21" t="s">
        <v>4906</v>
      </c>
      <c r="C21" t="s">
        <v>766</v>
      </c>
      <c r="D21" t="s">
        <v>4856</v>
      </c>
      <c r="E21">
        <v>127</v>
      </c>
      <c r="F21" s="8" t="s">
        <v>4857</v>
      </c>
    </row>
    <row r="22" spans="1:6" ht="32" customHeight="1" x14ac:dyDescent="0.2">
      <c r="A22" t="s">
        <v>3885</v>
      </c>
      <c r="B22" t="s">
        <v>4907</v>
      </c>
      <c r="C22" t="s">
        <v>4846</v>
      </c>
      <c r="D22" t="s">
        <v>4858</v>
      </c>
      <c r="E22">
        <v>149</v>
      </c>
      <c r="F22" s="8" t="s">
        <v>4859</v>
      </c>
    </row>
    <row r="23" spans="1:6" ht="16" customHeight="1" x14ac:dyDescent="0.2">
      <c r="A23" t="s">
        <v>3885</v>
      </c>
      <c r="B23" t="s">
        <v>4907</v>
      </c>
      <c r="C23" t="s">
        <v>4846</v>
      </c>
      <c r="D23" t="s">
        <v>4860</v>
      </c>
      <c r="E23">
        <v>149</v>
      </c>
      <c r="F23" s="8" t="s">
        <v>4861</v>
      </c>
    </row>
    <row r="24" spans="1:6" ht="16" customHeight="1" x14ac:dyDescent="0.2">
      <c r="A24" t="s">
        <v>3885</v>
      </c>
      <c r="B24" t="s">
        <v>4908</v>
      </c>
      <c r="C24" t="s">
        <v>1209</v>
      </c>
      <c r="D24" t="s">
        <v>4862</v>
      </c>
      <c r="E24" t="s">
        <v>4864</v>
      </c>
      <c r="F24" s="8" t="s">
        <v>4863</v>
      </c>
    </row>
    <row r="25" spans="1:6" ht="16" customHeight="1" x14ac:dyDescent="0.2">
      <c r="A25" t="s">
        <v>3885</v>
      </c>
      <c r="B25" t="s">
        <v>4908</v>
      </c>
      <c r="C25" t="s">
        <v>1209</v>
      </c>
      <c r="D25" t="s">
        <v>4865</v>
      </c>
      <c r="E25" t="s">
        <v>4864</v>
      </c>
      <c r="F25" s="8"/>
    </row>
    <row r="26" spans="1:6" ht="16" customHeight="1" x14ac:dyDescent="0.2">
      <c r="A26" t="s">
        <v>3885</v>
      </c>
      <c r="B26" t="s">
        <v>4908</v>
      </c>
      <c r="C26" t="s">
        <v>1209</v>
      </c>
      <c r="D26" t="s">
        <v>4866</v>
      </c>
      <c r="E26" t="s">
        <v>4864</v>
      </c>
      <c r="F26" s="8" t="s">
        <v>4867</v>
      </c>
    </row>
    <row r="27" spans="1:6" ht="16" customHeight="1" x14ac:dyDescent="0.2">
      <c r="A27" t="s">
        <v>3885</v>
      </c>
      <c r="B27" t="s">
        <v>4908</v>
      </c>
      <c r="C27" t="s">
        <v>1209</v>
      </c>
      <c r="D27" t="s">
        <v>4868</v>
      </c>
      <c r="E27">
        <v>141</v>
      </c>
      <c r="F27" s="8" t="s">
        <v>4869</v>
      </c>
    </row>
    <row r="28" spans="1:6" ht="16" customHeight="1" x14ac:dyDescent="0.2">
      <c r="A28" t="s">
        <v>3885</v>
      </c>
      <c r="B28" t="s">
        <v>4908</v>
      </c>
      <c r="C28" t="s">
        <v>1337</v>
      </c>
      <c r="D28" t="s">
        <v>4870</v>
      </c>
      <c r="E28">
        <v>142</v>
      </c>
      <c r="F28" s="8" t="s">
        <v>4871</v>
      </c>
    </row>
    <row r="29" spans="1:6" ht="16" customHeight="1" x14ac:dyDescent="0.2">
      <c r="A29" t="s">
        <v>3885</v>
      </c>
      <c r="B29" t="s">
        <v>4908</v>
      </c>
      <c r="C29" t="s">
        <v>1256</v>
      </c>
      <c r="D29" t="s">
        <v>4872</v>
      </c>
      <c r="E29">
        <v>145</v>
      </c>
      <c r="F29" s="8" t="s">
        <v>4873</v>
      </c>
    </row>
    <row r="30" spans="1:6" ht="16" customHeight="1" x14ac:dyDescent="0.2">
      <c r="A30" t="s">
        <v>3885</v>
      </c>
      <c r="B30" t="s">
        <v>4908</v>
      </c>
      <c r="C30" t="s">
        <v>1256</v>
      </c>
      <c r="D30" t="s">
        <v>4874</v>
      </c>
      <c r="E30">
        <v>145</v>
      </c>
      <c r="F30" s="8" t="s">
        <v>4875</v>
      </c>
    </row>
    <row r="31" spans="1:6" ht="16" customHeight="1" x14ac:dyDescent="0.2">
      <c r="A31" t="s">
        <v>3885</v>
      </c>
      <c r="B31" t="s">
        <v>4908</v>
      </c>
      <c r="C31" t="s">
        <v>1303</v>
      </c>
      <c r="D31" t="s">
        <v>4876</v>
      </c>
      <c r="E31">
        <v>147</v>
      </c>
      <c r="F31" s="8" t="s">
        <v>4877</v>
      </c>
    </row>
    <row r="32" spans="1:6" ht="16" customHeight="1" x14ac:dyDescent="0.2">
      <c r="A32" t="s">
        <v>3885</v>
      </c>
      <c r="B32" t="s">
        <v>4908</v>
      </c>
      <c r="C32" t="s">
        <v>1303</v>
      </c>
      <c r="D32" t="s">
        <v>4878</v>
      </c>
      <c r="E32">
        <v>147</v>
      </c>
      <c r="F32" s="8" t="s">
        <v>4879</v>
      </c>
    </row>
    <row r="33" spans="1:6" ht="16" customHeight="1" x14ac:dyDescent="0.2">
      <c r="A33" t="s">
        <v>3885</v>
      </c>
      <c r="B33" t="s">
        <v>4908</v>
      </c>
      <c r="C33" t="s">
        <v>3343</v>
      </c>
      <c r="D33" t="s">
        <v>4880</v>
      </c>
      <c r="E33">
        <v>150</v>
      </c>
      <c r="F33" s="8" t="s">
        <v>4881</v>
      </c>
    </row>
    <row r="34" spans="1:6" ht="16" customHeight="1" x14ac:dyDescent="0.2">
      <c r="A34" t="s">
        <v>3885</v>
      </c>
      <c r="B34" t="s">
        <v>4908</v>
      </c>
      <c r="C34" t="s">
        <v>3343</v>
      </c>
      <c r="D34" t="s">
        <v>4882</v>
      </c>
      <c r="E34">
        <v>150</v>
      </c>
      <c r="F34" s="8" t="s">
        <v>4883</v>
      </c>
    </row>
    <row r="35" spans="1:6" ht="16" customHeight="1" x14ac:dyDescent="0.2">
      <c r="A35" t="s">
        <v>3885</v>
      </c>
      <c r="B35" t="s">
        <v>4907</v>
      </c>
      <c r="C35" t="s">
        <v>4846</v>
      </c>
      <c r="D35" t="s">
        <v>4884</v>
      </c>
      <c r="E35">
        <v>156</v>
      </c>
      <c r="F35" s="8" t="s">
        <v>4885</v>
      </c>
    </row>
    <row r="36" spans="1:6" ht="16" customHeight="1" x14ac:dyDescent="0.2">
      <c r="A36" t="s">
        <v>3885</v>
      </c>
      <c r="B36" t="s">
        <v>4907</v>
      </c>
      <c r="C36" t="s">
        <v>1426</v>
      </c>
      <c r="D36" t="s">
        <v>4886</v>
      </c>
      <c r="E36">
        <v>157</v>
      </c>
      <c r="F36" s="8" t="s">
        <v>4887</v>
      </c>
    </row>
    <row r="37" spans="1:6" ht="16" customHeight="1" x14ac:dyDescent="0.2">
      <c r="A37" t="s">
        <v>3885</v>
      </c>
      <c r="B37" t="s">
        <v>4907</v>
      </c>
      <c r="C37" t="s">
        <v>1426</v>
      </c>
      <c r="D37" t="s">
        <v>4888</v>
      </c>
      <c r="E37">
        <v>157</v>
      </c>
      <c r="F37" s="8" t="s">
        <v>4889</v>
      </c>
    </row>
    <row r="38" spans="1:6" ht="16" customHeight="1" x14ac:dyDescent="0.2">
      <c r="A38" t="s">
        <v>3885</v>
      </c>
      <c r="B38" t="s">
        <v>4907</v>
      </c>
      <c r="C38" t="s">
        <v>1426</v>
      </c>
      <c r="D38" t="s">
        <v>4890</v>
      </c>
      <c r="E38">
        <v>157</v>
      </c>
      <c r="F38" s="8" t="s">
        <v>4891</v>
      </c>
    </row>
    <row r="39" spans="1:6" ht="16" customHeight="1" x14ac:dyDescent="0.2">
      <c r="A39" t="s">
        <v>3885</v>
      </c>
      <c r="B39" t="s">
        <v>4907</v>
      </c>
      <c r="C39" t="s">
        <v>1426</v>
      </c>
      <c r="D39" t="s">
        <v>4892</v>
      </c>
      <c r="E39">
        <v>157</v>
      </c>
      <c r="F39" s="8"/>
    </row>
    <row r="40" spans="1:6" ht="16" customHeight="1" x14ac:dyDescent="0.2">
      <c r="A40" t="s">
        <v>3885</v>
      </c>
      <c r="B40" t="s">
        <v>4907</v>
      </c>
      <c r="C40" t="s">
        <v>1459</v>
      </c>
      <c r="D40" t="s">
        <v>4893</v>
      </c>
      <c r="E40">
        <v>160</v>
      </c>
      <c r="F40" s="8" t="s">
        <v>4894</v>
      </c>
    </row>
    <row r="41" spans="1:6" ht="16" customHeight="1" x14ac:dyDescent="0.2">
      <c r="A41" t="s">
        <v>3885</v>
      </c>
      <c r="B41" t="s">
        <v>4909</v>
      </c>
      <c r="C41" t="s">
        <v>1074</v>
      </c>
      <c r="D41" t="s">
        <v>4895</v>
      </c>
      <c r="E41">
        <v>162</v>
      </c>
      <c r="F41" s="8" t="s">
        <v>4896</v>
      </c>
    </row>
    <row r="42" spans="1:6" ht="16" customHeight="1" x14ac:dyDescent="0.2">
      <c r="A42" t="s">
        <v>3885</v>
      </c>
      <c r="B42" t="s">
        <v>4909</v>
      </c>
      <c r="C42" t="s">
        <v>1074</v>
      </c>
      <c r="D42" t="s">
        <v>4897</v>
      </c>
      <c r="E42">
        <v>162</v>
      </c>
      <c r="F42" s="8" t="s">
        <v>4898</v>
      </c>
    </row>
    <row r="43" spans="1:6" ht="16" customHeight="1" x14ac:dyDescent="0.2">
      <c r="A43" t="s">
        <v>3885</v>
      </c>
      <c r="B43" t="s">
        <v>4909</v>
      </c>
      <c r="C43" t="s">
        <v>1159</v>
      </c>
      <c r="D43" t="s">
        <v>4899</v>
      </c>
      <c r="E43">
        <v>162</v>
      </c>
      <c r="F43" s="8" t="s">
        <v>4900</v>
      </c>
    </row>
    <row r="44" spans="1:6" ht="16" customHeight="1" x14ac:dyDescent="0.2">
      <c r="A44" t="s">
        <v>3885</v>
      </c>
      <c r="B44" t="s">
        <v>4909</v>
      </c>
      <c r="C44" t="s">
        <v>1159</v>
      </c>
      <c r="D44" t="s">
        <v>4901</v>
      </c>
      <c r="E44">
        <v>162</v>
      </c>
      <c r="F44" s="8" t="s">
        <v>4902</v>
      </c>
    </row>
    <row r="45" spans="1:6" ht="16" customHeight="1" x14ac:dyDescent="0.2">
      <c r="A45" s="14"/>
      <c r="B45" s="14"/>
      <c r="C45" s="14"/>
      <c r="D45" s="14"/>
      <c r="E45" s="14"/>
      <c r="F45" s="18"/>
    </row>
    <row r="46" spans="1:6" ht="16" customHeight="1" x14ac:dyDescent="0.2">
      <c r="A46" s="14"/>
      <c r="B46" s="14"/>
      <c r="C46" s="14"/>
      <c r="D46" s="14"/>
      <c r="E46" s="14"/>
      <c r="F46" s="18"/>
    </row>
    <row r="47" spans="1:6" ht="16" customHeight="1" x14ac:dyDescent="0.2">
      <c r="A47" s="14"/>
      <c r="B47" s="14"/>
      <c r="C47" s="14"/>
      <c r="D47" s="14"/>
      <c r="E47" s="14"/>
      <c r="F47" s="14"/>
    </row>
    <row r="48" spans="1:6" ht="16" customHeight="1" x14ac:dyDescent="0.2">
      <c r="A48" s="14"/>
      <c r="B48" s="14"/>
      <c r="C48" s="14"/>
      <c r="D48" s="14"/>
      <c r="E48" s="14"/>
      <c r="F48" s="14"/>
    </row>
    <row r="49" spans="1:6" ht="32" customHeight="1" x14ac:dyDescent="0.2">
      <c r="A49" s="14"/>
      <c r="B49" s="14"/>
      <c r="C49" s="14"/>
      <c r="D49" s="14"/>
      <c r="E49" s="14"/>
      <c r="F49" s="14"/>
    </row>
    <row r="50" spans="1:6" ht="32" customHeight="1" x14ac:dyDescent="0.2">
      <c r="A50" s="14"/>
      <c r="B50" s="14"/>
      <c r="C50" s="14"/>
      <c r="D50" s="14"/>
      <c r="E50" s="14"/>
      <c r="F50" s="14"/>
    </row>
    <row r="51" spans="1:6" ht="16" customHeight="1" x14ac:dyDescent="0.2">
      <c r="A51" s="14"/>
      <c r="B51" s="14"/>
      <c r="C51" s="14"/>
      <c r="D51" s="14"/>
      <c r="E51" s="14"/>
      <c r="F51" s="14"/>
    </row>
    <row r="52" spans="1:6" ht="16" customHeight="1" x14ac:dyDescent="0.2">
      <c r="A52" s="14"/>
      <c r="B52" s="14"/>
      <c r="C52" s="14"/>
      <c r="D52" s="14"/>
      <c r="E52" s="14"/>
      <c r="F52" s="14"/>
    </row>
    <row r="53" spans="1:6" ht="16" customHeight="1" x14ac:dyDescent="0.2">
      <c r="A53" s="14"/>
      <c r="B53" s="14"/>
      <c r="C53" s="14"/>
      <c r="D53" s="14"/>
      <c r="E53" s="14"/>
      <c r="F53" s="14"/>
    </row>
    <row r="54" spans="1:6" ht="16" customHeight="1" x14ac:dyDescent="0.2">
      <c r="A54" s="14"/>
      <c r="B54" s="14"/>
      <c r="C54" s="14"/>
      <c r="D54" s="14"/>
      <c r="E54" s="14"/>
      <c r="F54" s="14"/>
    </row>
    <row r="55" spans="1:6" ht="16" customHeight="1" x14ac:dyDescent="0.2">
      <c r="A55" s="14"/>
      <c r="B55" s="14"/>
      <c r="C55" s="14"/>
      <c r="D55" s="14"/>
      <c r="E55" s="14"/>
      <c r="F55" s="14"/>
    </row>
    <row r="56" spans="1:6" ht="16" customHeight="1" x14ac:dyDescent="0.2">
      <c r="A56" s="14"/>
      <c r="B56" s="14"/>
      <c r="C56" s="14"/>
      <c r="D56" s="14"/>
      <c r="E56" s="14"/>
      <c r="F56" s="14"/>
    </row>
    <row r="57" spans="1:6" ht="16" customHeight="1" x14ac:dyDescent="0.2">
      <c r="A57" s="14"/>
      <c r="B57" s="14"/>
      <c r="C57" s="14"/>
      <c r="D57" s="14"/>
      <c r="E57" s="14"/>
      <c r="F57" s="14"/>
    </row>
    <row r="58" spans="1:6" x14ac:dyDescent="0.2">
      <c r="A58" s="14"/>
      <c r="B58" s="14"/>
      <c r="C58" s="14"/>
      <c r="D58" s="14"/>
      <c r="E58" s="14"/>
      <c r="F58" s="14"/>
    </row>
    <row r="59" spans="1:6" x14ac:dyDescent="0.2">
      <c r="A59" s="14"/>
      <c r="B59" s="14"/>
      <c r="C59" s="14"/>
      <c r="D59" s="14"/>
      <c r="E59" s="14"/>
      <c r="F59" s="14"/>
    </row>
    <row r="60" spans="1:6" x14ac:dyDescent="0.2">
      <c r="A60" s="14"/>
      <c r="B60" s="14"/>
      <c r="C60" s="14"/>
      <c r="D60" s="14"/>
      <c r="E60" s="14"/>
      <c r="F60" s="14"/>
    </row>
    <row r="61" spans="1:6" x14ac:dyDescent="0.2">
      <c r="A61" s="14"/>
      <c r="B61" s="14"/>
      <c r="C61" s="14"/>
      <c r="D61" s="14"/>
      <c r="E61" s="14"/>
      <c r="F61" s="14"/>
    </row>
    <row r="62" spans="1:6" x14ac:dyDescent="0.2">
      <c r="A62" s="14"/>
      <c r="B62" s="14"/>
      <c r="C62" s="14"/>
      <c r="D62" s="14"/>
      <c r="E62" s="14"/>
      <c r="F62" s="14"/>
    </row>
    <row r="63" spans="1:6" x14ac:dyDescent="0.2">
      <c r="A63" s="14"/>
      <c r="B63" s="14"/>
      <c r="C63" s="14"/>
      <c r="D63" s="14"/>
      <c r="E63" s="14"/>
      <c r="F63" s="14"/>
    </row>
    <row r="64" spans="1:6" x14ac:dyDescent="0.2">
      <c r="A64" s="14"/>
      <c r="B64" s="14"/>
      <c r="C64" s="14"/>
      <c r="D64" s="14"/>
      <c r="E64" s="14"/>
      <c r="F64" s="14"/>
    </row>
    <row r="65" spans="1:6" x14ac:dyDescent="0.2">
      <c r="A65" s="14"/>
      <c r="B65" s="14"/>
      <c r="C65" s="14"/>
      <c r="D65" s="14"/>
      <c r="E65" s="14"/>
      <c r="F65" s="14"/>
    </row>
    <row r="66" spans="1:6" x14ac:dyDescent="0.2">
      <c r="A66" s="14"/>
      <c r="B66" s="14"/>
      <c r="C66" s="14"/>
      <c r="D66" s="14"/>
      <c r="E66" s="14"/>
      <c r="F66" s="14"/>
    </row>
    <row r="67" spans="1:6" x14ac:dyDescent="0.2">
      <c r="A67" s="14"/>
      <c r="B67" s="14"/>
      <c r="C67" s="14"/>
      <c r="D67" s="14"/>
      <c r="E67" s="14"/>
      <c r="F67" s="14"/>
    </row>
    <row r="68" spans="1:6" x14ac:dyDescent="0.2">
      <c r="A68" s="14"/>
      <c r="B68" s="14"/>
      <c r="C68" s="14"/>
      <c r="D68" s="14"/>
      <c r="E68" s="14"/>
      <c r="F68" s="14"/>
    </row>
    <row r="69" spans="1:6" x14ac:dyDescent="0.2">
      <c r="A69" s="14"/>
      <c r="B69" s="14"/>
      <c r="C69" s="14"/>
      <c r="D69" s="14"/>
      <c r="E69" s="14"/>
      <c r="F69" s="14"/>
    </row>
    <row r="70" spans="1:6" x14ac:dyDescent="0.2">
      <c r="A70" s="14"/>
      <c r="B70" s="14"/>
      <c r="C70" s="14"/>
      <c r="D70" s="14"/>
      <c r="E70" s="14"/>
      <c r="F70" s="14"/>
    </row>
    <row r="71" spans="1:6" x14ac:dyDescent="0.2">
      <c r="A71" s="14"/>
      <c r="B71" s="14"/>
      <c r="C71" s="14"/>
      <c r="D71" s="14"/>
      <c r="E71" s="14"/>
      <c r="F71" s="14"/>
    </row>
    <row r="72" spans="1:6" x14ac:dyDescent="0.2">
      <c r="A72" s="14"/>
      <c r="B72" s="14"/>
      <c r="C72" s="14"/>
      <c r="D72" s="14"/>
      <c r="E72" s="14"/>
      <c r="F72" s="14"/>
    </row>
    <row r="73" spans="1:6" x14ac:dyDescent="0.2">
      <c r="A73" s="14"/>
      <c r="B73" s="14"/>
      <c r="C73" s="14"/>
      <c r="D73" s="14"/>
      <c r="E73" s="14"/>
      <c r="F73" s="14"/>
    </row>
    <row r="74" spans="1:6" x14ac:dyDescent="0.2">
      <c r="A74" s="14"/>
      <c r="B74" s="14"/>
      <c r="C74" s="14"/>
      <c r="D74" s="14"/>
      <c r="E74" s="14"/>
      <c r="F74" s="14"/>
    </row>
    <row r="75" spans="1:6" x14ac:dyDescent="0.2">
      <c r="A75" s="14"/>
      <c r="B75" s="14"/>
      <c r="C75" s="14"/>
      <c r="D75" s="14"/>
      <c r="E75" s="14"/>
      <c r="F75" s="14"/>
    </row>
    <row r="76" spans="1:6" x14ac:dyDescent="0.2">
      <c r="A76" s="14"/>
      <c r="B76" s="14"/>
      <c r="C76" s="14"/>
      <c r="D76" s="14"/>
      <c r="E76" s="14"/>
      <c r="F76" s="14"/>
    </row>
    <row r="77" spans="1:6" x14ac:dyDescent="0.2">
      <c r="A77" s="14"/>
      <c r="B77" s="14"/>
      <c r="C77" s="14"/>
      <c r="D77" s="14"/>
      <c r="E77" s="14"/>
      <c r="F77" s="14"/>
    </row>
    <row r="78" spans="1:6" x14ac:dyDescent="0.2">
      <c r="A78" s="14"/>
      <c r="B78" s="14"/>
      <c r="C78" s="14"/>
      <c r="D78" s="14"/>
      <c r="E78" s="14"/>
      <c r="F78" s="14"/>
    </row>
    <row r="79" spans="1:6" x14ac:dyDescent="0.2">
      <c r="A79" s="14"/>
      <c r="B79" s="14"/>
      <c r="C79" s="14"/>
      <c r="D79" s="14"/>
      <c r="E79" s="14"/>
      <c r="F79" s="14"/>
    </row>
    <row r="80" spans="1:6" x14ac:dyDescent="0.2">
      <c r="A80" s="14"/>
      <c r="B80" s="14"/>
      <c r="C80" s="14"/>
      <c r="D80" s="14"/>
      <c r="E80" s="14"/>
      <c r="F80" s="14"/>
    </row>
    <row r="81" spans="1:6" x14ac:dyDescent="0.2">
      <c r="A81" s="14"/>
      <c r="B81" s="14"/>
      <c r="C81" s="14"/>
      <c r="D81" s="14"/>
      <c r="E81" s="14"/>
      <c r="F81" s="14"/>
    </row>
    <row r="82" spans="1:6" x14ac:dyDescent="0.2">
      <c r="A82" s="14"/>
      <c r="B82" s="14"/>
      <c r="C82" s="14"/>
      <c r="D82" s="14"/>
      <c r="E82" s="14"/>
      <c r="F82" s="14"/>
    </row>
    <row r="83" spans="1:6" x14ac:dyDescent="0.2">
      <c r="A83" s="14"/>
      <c r="B83" s="14"/>
      <c r="C83" s="14"/>
      <c r="D83" s="14"/>
      <c r="E83" s="14"/>
      <c r="F83" s="14"/>
    </row>
    <row r="84" spans="1:6" x14ac:dyDescent="0.2">
      <c r="A84" s="14"/>
      <c r="B84" s="14"/>
      <c r="C84" s="14"/>
      <c r="D84" s="14"/>
      <c r="E84" s="14"/>
      <c r="F84" s="14"/>
    </row>
    <row r="85" spans="1:6" x14ac:dyDescent="0.2">
      <c r="A85" s="14"/>
      <c r="B85" s="14"/>
      <c r="C85" s="14"/>
      <c r="D85" s="14"/>
      <c r="E85" s="14"/>
      <c r="F85" s="14"/>
    </row>
    <row r="86" spans="1:6" x14ac:dyDescent="0.2">
      <c r="A86" s="14"/>
      <c r="B86" s="14"/>
      <c r="C86" s="14"/>
      <c r="D86" s="14"/>
      <c r="E86" s="14"/>
      <c r="F86" s="14"/>
    </row>
    <row r="87" spans="1:6" x14ac:dyDescent="0.2">
      <c r="A87" s="14"/>
      <c r="B87" s="14"/>
      <c r="C87" s="14"/>
      <c r="D87" s="14"/>
      <c r="E87" s="14"/>
      <c r="F87" s="14"/>
    </row>
    <row r="88" spans="1:6" x14ac:dyDescent="0.2">
      <c r="A88" s="14"/>
      <c r="B88" s="14"/>
      <c r="C88" s="14"/>
      <c r="D88" s="14"/>
      <c r="E88" s="14"/>
      <c r="F88" s="14"/>
    </row>
    <row r="89" spans="1:6" x14ac:dyDescent="0.2">
      <c r="A89" s="14"/>
      <c r="B89" s="14"/>
      <c r="C89" s="14"/>
      <c r="D89" s="14"/>
      <c r="E89" s="14"/>
      <c r="F89" s="14"/>
    </row>
    <row r="90" spans="1:6" x14ac:dyDescent="0.2">
      <c r="A90" s="14"/>
      <c r="B90" s="14"/>
      <c r="C90" s="14"/>
      <c r="D90" s="14"/>
      <c r="E90" s="14"/>
      <c r="F90" s="14"/>
    </row>
    <row r="91" spans="1:6" x14ac:dyDescent="0.2">
      <c r="A91" s="14"/>
      <c r="B91" s="14"/>
      <c r="C91" s="14"/>
      <c r="D91" s="14"/>
      <c r="E91" s="14"/>
      <c r="F91" s="14"/>
    </row>
    <row r="92" spans="1:6" x14ac:dyDescent="0.2">
      <c r="A92" s="14"/>
      <c r="B92" s="14"/>
      <c r="C92" s="14"/>
      <c r="D92" s="14"/>
      <c r="E92" s="14"/>
      <c r="F92" s="14"/>
    </row>
    <row r="93" spans="1:6" x14ac:dyDescent="0.2">
      <c r="A93" s="14"/>
      <c r="B93" s="14"/>
      <c r="C93" s="14"/>
      <c r="D93" s="14"/>
      <c r="E93" s="14"/>
      <c r="F93" s="14"/>
    </row>
    <row r="94" spans="1:6" x14ac:dyDescent="0.2">
      <c r="A94" s="14"/>
      <c r="B94" s="14"/>
      <c r="C94" s="14"/>
      <c r="D94" s="14"/>
      <c r="E94" s="14"/>
      <c r="F94" s="14"/>
    </row>
    <row r="95" spans="1:6" x14ac:dyDescent="0.2">
      <c r="A95" s="14"/>
      <c r="B95" s="14"/>
      <c r="C95" s="14"/>
      <c r="D95" s="14"/>
      <c r="E95" s="14"/>
      <c r="F95" s="14"/>
    </row>
    <row r="96" spans="1:6" x14ac:dyDescent="0.2">
      <c r="A96" s="14"/>
      <c r="B96" s="14"/>
      <c r="C96" s="14"/>
      <c r="D96" s="14"/>
      <c r="E96" s="14"/>
      <c r="F96" s="14"/>
    </row>
    <row r="97" spans="1:6" x14ac:dyDescent="0.2">
      <c r="A97" s="14"/>
      <c r="B97" s="14"/>
      <c r="C97" s="14"/>
      <c r="D97" s="14"/>
      <c r="E97" s="14"/>
      <c r="F97" s="14"/>
    </row>
    <row r="98" spans="1:6" x14ac:dyDescent="0.2">
      <c r="A98" s="14"/>
      <c r="B98" s="14"/>
      <c r="C98" s="14"/>
      <c r="D98" s="14"/>
      <c r="E98" s="14"/>
      <c r="F98" s="14"/>
    </row>
    <row r="99" spans="1:6" x14ac:dyDescent="0.2">
      <c r="A99" s="14"/>
      <c r="B99" s="14"/>
      <c r="C99" s="14"/>
      <c r="D99" s="14"/>
      <c r="E99" s="14"/>
      <c r="F99" s="14"/>
    </row>
    <row r="100" spans="1:6" x14ac:dyDescent="0.2">
      <c r="A100" s="14"/>
      <c r="B100" s="14"/>
      <c r="C100" s="14"/>
      <c r="D100" s="14"/>
      <c r="E100" s="14"/>
      <c r="F100" s="14"/>
    </row>
    <row r="101" spans="1:6" x14ac:dyDescent="0.2">
      <c r="A101" s="14"/>
      <c r="B101" s="14"/>
      <c r="C101" s="14"/>
      <c r="D101" s="14"/>
      <c r="E101" s="14"/>
      <c r="F101" s="14"/>
    </row>
    <row r="102" spans="1:6" x14ac:dyDescent="0.2">
      <c r="A102" s="14"/>
      <c r="B102" s="14"/>
      <c r="C102" s="14"/>
      <c r="D102" s="14"/>
      <c r="E102" s="14"/>
      <c r="F102"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L404"/>
  <sheetViews>
    <sheetView topLeftCell="A35" zoomScale="75" workbookViewId="0">
      <selection activeCell="J21" sqref="J21"/>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3890</v>
      </c>
      <c r="G1" s="17" t="s">
        <v>3875</v>
      </c>
      <c r="H1" s="17" t="s">
        <v>3876</v>
      </c>
      <c r="I1" s="17" t="s">
        <v>3877</v>
      </c>
      <c r="J1" s="17" t="s">
        <v>3878</v>
      </c>
      <c r="K1" s="17" t="s">
        <v>3879</v>
      </c>
      <c r="L1" s="17" t="s">
        <v>3880</v>
      </c>
    </row>
    <row r="2" spans="1:12" ht="16" x14ac:dyDescent="0.2">
      <c r="A2" t="s">
        <v>3882</v>
      </c>
      <c r="B2" t="s">
        <v>4903</v>
      </c>
      <c r="C2" t="s">
        <v>16</v>
      </c>
      <c r="D2" s="8" t="s">
        <v>3883</v>
      </c>
      <c r="E2" t="s">
        <v>4773</v>
      </c>
      <c r="F2" t="s">
        <v>4772</v>
      </c>
      <c r="G2" s="14"/>
      <c r="H2" s="14"/>
      <c r="I2" s="14"/>
      <c r="J2" s="14"/>
      <c r="K2" s="14"/>
      <c r="L2" s="14"/>
    </row>
    <row r="3" spans="1:12" ht="16" x14ac:dyDescent="0.2">
      <c r="A3" t="s">
        <v>3882</v>
      </c>
      <c r="B3" t="s">
        <v>4903</v>
      </c>
      <c r="C3" t="s">
        <v>68</v>
      </c>
      <c r="D3" s="8" t="s">
        <v>4707</v>
      </c>
      <c r="E3">
        <v>24</v>
      </c>
      <c r="G3" s="14"/>
      <c r="H3" s="14"/>
      <c r="I3" s="14"/>
      <c r="J3" s="14"/>
      <c r="K3" s="14"/>
      <c r="L3" s="14"/>
    </row>
    <row r="4" spans="1:12" ht="16" x14ac:dyDescent="0.2">
      <c r="A4" t="s">
        <v>3882</v>
      </c>
      <c r="B4" t="s">
        <v>4903</v>
      </c>
      <c r="C4" t="s">
        <v>84</v>
      </c>
      <c r="D4" s="8" t="s">
        <v>4708</v>
      </c>
      <c r="E4">
        <v>27</v>
      </c>
      <c r="G4" s="14"/>
      <c r="H4" s="14"/>
      <c r="I4" s="14"/>
      <c r="J4" s="14"/>
      <c r="K4" s="14"/>
      <c r="L4" s="14"/>
    </row>
    <row r="5" spans="1:12" ht="16" x14ac:dyDescent="0.2">
      <c r="A5" t="s">
        <v>3882</v>
      </c>
      <c r="B5" t="s">
        <v>4903</v>
      </c>
      <c r="C5" t="s">
        <v>164</v>
      </c>
      <c r="D5" s="8" t="s">
        <v>4709</v>
      </c>
      <c r="E5" t="s">
        <v>4774</v>
      </c>
      <c r="G5" s="14"/>
      <c r="H5" s="14"/>
      <c r="I5" s="14"/>
      <c r="J5" s="14"/>
      <c r="K5" s="14"/>
      <c r="L5" s="14"/>
    </row>
    <row r="6" spans="1:12" ht="16" x14ac:dyDescent="0.2">
      <c r="A6" t="s">
        <v>3882</v>
      </c>
      <c r="B6" t="s">
        <v>4903</v>
      </c>
      <c r="C6" t="s">
        <v>241</v>
      </c>
      <c r="D6" s="8" t="s">
        <v>4710</v>
      </c>
      <c r="E6" t="s">
        <v>4775</v>
      </c>
      <c r="G6" s="14"/>
      <c r="H6" s="14"/>
      <c r="I6" s="14"/>
      <c r="J6" s="14"/>
      <c r="K6" s="14"/>
      <c r="L6" s="14"/>
    </row>
    <row r="7" spans="1:12" ht="16" x14ac:dyDescent="0.2">
      <c r="A7" t="s">
        <v>3882</v>
      </c>
      <c r="B7" t="s">
        <v>4903</v>
      </c>
      <c r="C7" t="s">
        <v>339</v>
      </c>
      <c r="D7" s="8" t="s">
        <v>4779</v>
      </c>
      <c r="E7" t="s">
        <v>4776</v>
      </c>
      <c r="G7" s="14"/>
      <c r="H7" s="14"/>
      <c r="I7" s="14"/>
      <c r="J7" s="14"/>
      <c r="K7" s="14"/>
      <c r="L7" s="14"/>
    </row>
    <row r="8" spans="1:12" ht="32" x14ac:dyDescent="0.2">
      <c r="A8" t="s">
        <v>3882</v>
      </c>
      <c r="B8" t="s">
        <v>4903</v>
      </c>
      <c r="C8" t="s">
        <v>502</v>
      </c>
      <c r="D8" s="8" t="s">
        <v>4777</v>
      </c>
      <c r="E8" t="s">
        <v>4773</v>
      </c>
      <c r="F8" t="s">
        <v>4778</v>
      </c>
      <c r="G8" s="14"/>
      <c r="H8" s="14"/>
      <c r="I8" s="14"/>
      <c r="J8" s="14"/>
      <c r="K8" s="14"/>
      <c r="L8" s="14"/>
    </row>
    <row r="9" spans="1:12" ht="16" x14ac:dyDescent="0.2">
      <c r="A9" t="s">
        <v>3882</v>
      </c>
      <c r="B9" t="s">
        <v>4905</v>
      </c>
      <c r="C9" t="s">
        <v>560</v>
      </c>
      <c r="D9" s="8" t="s">
        <v>4713</v>
      </c>
      <c r="E9" t="s">
        <v>4780</v>
      </c>
      <c r="G9" s="14"/>
      <c r="H9" s="14"/>
      <c r="I9" s="14"/>
      <c r="J9" s="14"/>
      <c r="K9" s="14"/>
      <c r="L9" s="14"/>
    </row>
    <row r="10" spans="1:12" ht="16" x14ac:dyDescent="0.2">
      <c r="A10" t="s">
        <v>3882</v>
      </c>
      <c r="B10" t="s">
        <v>4905</v>
      </c>
      <c r="C10" t="s">
        <v>588</v>
      </c>
      <c r="D10" s="8" t="s">
        <v>4715</v>
      </c>
      <c r="E10" t="s">
        <v>4781</v>
      </c>
      <c r="G10" s="14"/>
      <c r="H10" s="14"/>
      <c r="I10" s="14"/>
      <c r="J10" s="14"/>
      <c r="K10" s="14"/>
      <c r="L10" s="14"/>
    </row>
    <row r="11" spans="1:12" ht="16" x14ac:dyDescent="0.2">
      <c r="A11" t="s">
        <v>3882</v>
      </c>
      <c r="B11" t="s">
        <v>4905</v>
      </c>
      <c r="C11" t="s">
        <v>629</v>
      </c>
      <c r="D11" s="8" t="s">
        <v>4717</v>
      </c>
      <c r="E11">
        <v>32</v>
      </c>
      <c r="G11" s="14"/>
      <c r="H11" s="14"/>
      <c r="I11" s="14"/>
      <c r="J11" s="14"/>
      <c r="K11" s="14"/>
      <c r="L11" s="14"/>
    </row>
    <row r="12" spans="1:12" ht="16" x14ac:dyDescent="0.2">
      <c r="A12" t="s">
        <v>3882</v>
      </c>
      <c r="B12" t="s">
        <v>4905</v>
      </c>
      <c r="C12" t="s">
        <v>657</v>
      </c>
      <c r="D12" s="8" t="s">
        <v>3887</v>
      </c>
      <c r="E12">
        <v>90</v>
      </c>
      <c r="G12" s="14"/>
      <c r="H12" s="14"/>
      <c r="I12" s="14"/>
      <c r="J12" s="14"/>
      <c r="K12" s="14"/>
      <c r="L12" s="14"/>
    </row>
    <row r="13" spans="1:12" ht="16" x14ac:dyDescent="0.2">
      <c r="A13" t="s">
        <v>3882</v>
      </c>
      <c r="B13" t="s">
        <v>4905</v>
      </c>
      <c r="C13" t="s">
        <v>737</v>
      </c>
      <c r="D13" s="8" t="s">
        <v>4782</v>
      </c>
      <c r="E13" t="s">
        <v>4773</v>
      </c>
      <c r="F13" t="s">
        <v>4778</v>
      </c>
      <c r="G13" s="14"/>
      <c r="H13" s="14"/>
      <c r="I13" s="14"/>
      <c r="J13" s="14"/>
      <c r="K13" s="14"/>
      <c r="L13" s="14"/>
    </row>
    <row r="14" spans="1:12" ht="16" x14ac:dyDescent="0.2">
      <c r="A14" t="s">
        <v>3882</v>
      </c>
      <c r="B14" t="s">
        <v>4906</v>
      </c>
      <c r="C14" t="s">
        <v>746</v>
      </c>
      <c r="D14" s="8" t="s">
        <v>4783</v>
      </c>
      <c r="E14" t="s">
        <v>4784</v>
      </c>
      <c r="G14" s="14"/>
      <c r="H14" s="14"/>
      <c r="I14" s="14"/>
      <c r="J14" s="14"/>
      <c r="K14" s="14"/>
      <c r="L14" s="14"/>
    </row>
    <row r="15" spans="1:12" ht="16" x14ac:dyDescent="0.2">
      <c r="A15" t="s">
        <v>3882</v>
      </c>
      <c r="B15" t="s">
        <v>4906</v>
      </c>
      <c r="C15" t="s">
        <v>766</v>
      </c>
      <c r="D15" s="8" t="s">
        <v>4785</v>
      </c>
      <c r="E15" t="s">
        <v>4784</v>
      </c>
      <c r="G15" s="14"/>
      <c r="H15" s="14"/>
      <c r="I15" s="14"/>
      <c r="J15" s="14"/>
      <c r="K15" s="14"/>
      <c r="L15" s="14"/>
    </row>
    <row r="16" spans="1:12" ht="16" x14ac:dyDescent="0.2">
      <c r="A16" t="s">
        <v>3882</v>
      </c>
      <c r="B16" t="s">
        <v>4906</v>
      </c>
      <c r="C16" t="s">
        <v>777</v>
      </c>
      <c r="D16" s="8" t="s">
        <v>4786</v>
      </c>
      <c r="E16" t="s">
        <v>4787</v>
      </c>
      <c r="G16" s="14"/>
      <c r="H16" s="14"/>
      <c r="I16" s="14"/>
      <c r="J16" s="14"/>
      <c r="K16" s="14"/>
      <c r="L16" s="14"/>
    </row>
    <row r="17" spans="1:12" ht="16" x14ac:dyDescent="0.2">
      <c r="A17" t="s">
        <v>3882</v>
      </c>
      <c r="B17" t="s">
        <v>4906</v>
      </c>
      <c r="C17" t="s">
        <v>800</v>
      </c>
      <c r="D17" s="8" t="s">
        <v>4788</v>
      </c>
      <c r="E17" t="s">
        <v>4773</v>
      </c>
      <c r="F17" t="s">
        <v>4772</v>
      </c>
      <c r="G17" s="14"/>
      <c r="H17" s="14"/>
      <c r="I17" s="14"/>
      <c r="J17" s="14"/>
      <c r="K17" s="14"/>
      <c r="L17" s="14"/>
    </row>
    <row r="18" spans="1:12" ht="16" x14ac:dyDescent="0.2">
      <c r="A18" t="s">
        <v>3882</v>
      </c>
      <c r="B18" t="s">
        <v>4906</v>
      </c>
      <c r="C18" t="s">
        <v>853</v>
      </c>
      <c r="D18" s="8" t="s">
        <v>4789</v>
      </c>
      <c r="E18" t="s">
        <v>4773</v>
      </c>
      <c r="F18" t="s">
        <v>4772</v>
      </c>
      <c r="G18" s="14"/>
      <c r="H18" s="14"/>
      <c r="I18" s="14"/>
      <c r="J18" s="14"/>
      <c r="K18" s="14"/>
      <c r="L18" s="14"/>
    </row>
    <row r="19" spans="1:12" ht="16" x14ac:dyDescent="0.2">
      <c r="A19" t="s">
        <v>3882</v>
      </c>
      <c r="B19" t="s">
        <v>4906</v>
      </c>
      <c r="C19" t="s">
        <v>2774</v>
      </c>
      <c r="D19" s="8" t="s">
        <v>4790</v>
      </c>
      <c r="E19" t="s">
        <v>4773</v>
      </c>
      <c r="F19" t="s">
        <v>4778</v>
      </c>
      <c r="G19" s="14"/>
      <c r="H19" s="14"/>
      <c r="I19" s="14"/>
      <c r="J19" s="14"/>
      <c r="K19" s="14"/>
      <c r="L19" s="14"/>
    </row>
    <row r="20" spans="1:12" ht="16" x14ac:dyDescent="0.2">
      <c r="A20" t="s">
        <v>3882</v>
      </c>
      <c r="B20" t="s">
        <v>4910</v>
      </c>
      <c r="C20" t="s">
        <v>904</v>
      </c>
      <c r="D20" s="8" t="s">
        <v>4720</v>
      </c>
      <c r="E20" t="s">
        <v>4791</v>
      </c>
      <c r="G20" s="14"/>
      <c r="H20" s="14"/>
      <c r="I20" s="14"/>
      <c r="J20" s="14"/>
      <c r="K20" s="14"/>
      <c r="L20" s="14"/>
    </row>
    <row r="21" spans="1:12" ht="16" x14ac:dyDescent="0.2">
      <c r="A21" t="s">
        <v>3882</v>
      </c>
      <c r="B21" t="s">
        <v>4910</v>
      </c>
      <c r="C21" t="s">
        <v>936</v>
      </c>
      <c r="D21" s="8" t="s">
        <v>4722</v>
      </c>
      <c r="E21" t="s">
        <v>4792</v>
      </c>
      <c r="G21" s="14"/>
      <c r="H21" s="14"/>
      <c r="I21" s="14"/>
      <c r="J21" s="14"/>
      <c r="K21" s="14"/>
      <c r="L21" s="14"/>
    </row>
    <row r="22" spans="1:12" ht="16" x14ac:dyDescent="0.2">
      <c r="A22" t="s">
        <v>3882</v>
      </c>
      <c r="B22" t="s">
        <v>4910</v>
      </c>
      <c r="C22" t="s">
        <v>951</v>
      </c>
      <c r="D22" s="8" t="s">
        <v>4724</v>
      </c>
      <c r="E22" t="s">
        <v>4793</v>
      </c>
      <c r="G22" s="14"/>
      <c r="H22" s="14"/>
      <c r="I22" s="14"/>
      <c r="J22" s="14"/>
      <c r="K22" s="14"/>
      <c r="L22" s="14"/>
    </row>
    <row r="23" spans="1:12" ht="16" x14ac:dyDescent="0.2">
      <c r="A23" t="s">
        <v>3882</v>
      </c>
      <c r="B23" t="s">
        <v>4910</v>
      </c>
      <c r="C23" t="s">
        <v>967</v>
      </c>
      <c r="D23" s="8" t="s">
        <v>4725</v>
      </c>
      <c r="E23" t="s">
        <v>4794</v>
      </c>
      <c r="G23" s="14"/>
      <c r="H23" s="14"/>
      <c r="I23" s="14"/>
      <c r="J23" s="14"/>
      <c r="K23" s="14"/>
      <c r="L23" s="14"/>
    </row>
    <row r="24" spans="1:12" ht="16" x14ac:dyDescent="0.2">
      <c r="A24" t="s">
        <v>3882</v>
      </c>
      <c r="B24" t="s">
        <v>4910</v>
      </c>
      <c r="C24" t="s">
        <v>995</v>
      </c>
      <c r="D24" s="8" t="s">
        <v>4727</v>
      </c>
      <c r="E24" t="s">
        <v>4795</v>
      </c>
      <c r="G24" s="14"/>
      <c r="H24" s="14"/>
      <c r="I24" s="14"/>
      <c r="J24" s="14"/>
      <c r="K24" s="14"/>
      <c r="L24" s="14"/>
    </row>
    <row r="25" spans="1:12" ht="16" x14ac:dyDescent="0.2">
      <c r="A25" t="s">
        <v>3882</v>
      </c>
      <c r="B25" t="s">
        <v>4910</v>
      </c>
      <c r="C25" t="s">
        <v>2904</v>
      </c>
      <c r="D25" s="8" t="s">
        <v>4796</v>
      </c>
      <c r="E25" t="s">
        <v>4773</v>
      </c>
      <c r="F25" t="s">
        <v>4778</v>
      </c>
      <c r="G25" s="14"/>
      <c r="H25" s="14"/>
      <c r="I25" s="14"/>
      <c r="J25" s="14"/>
      <c r="K25" s="14"/>
      <c r="L25" s="14"/>
    </row>
    <row r="26" spans="1:12" ht="16" x14ac:dyDescent="0.2">
      <c r="A26" t="s">
        <v>3882</v>
      </c>
      <c r="B26" t="s">
        <v>4908</v>
      </c>
      <c r="C26" t="s">
        <v>1209</v>
      </c>
      <c r="D26" s="8" t="s">
        <v>4729</v>
      </c>
      <c r="E26" t="s">
        <v>4798</v>
      </c>
      <c r="F26" t="s">
        <v>4797</v>
      </c>
      <c r="G26" s="14"/>
      <c r="H26" s="14"/>
      <c r="I26" s="14"/>
      <c r="J26" s="14"/>
      <c r="K26" s="14"/>
      <c r="L26" s="14"/>
    </row>
    <row r="27" spans="1:12" ht="16" x14ac:dyDescent="0.2">
      <c r="A27" t="s">
        <v>3882</v>
      </c>
      <c r="B27" t="s">
        <v>4908</v>
      </c>
      <c r="C27" t="s">
        <v>1315</v>
      </c>
      <c r="D27" s="8" t="s">
        <v>4730</v>
      </c>
      <c r="E27" t="s">
        <v>4773</v>
      </c>
      <c r="F27" t="s">
        <v>4772</v>
      </c>
      <c r="G27" s="14"/>
      <c r="H27" s="14"/>
      <c r="I27" s="14"/>
      <c r="J27" s="14"/>
      <c r="K27" s="14"/>
      <c r="L27" s="14"/>
    </row>
    <row r="28" spans="1:12" ht="16" x14ac:dyDescent="0.2">
      <c r="A28" t="s">
        <v>3882</v>
      </c>
      <c r="B28" t="s">
        <v>4908</v>
      </c>
      <c r="C28" t="s">
        <v>1337</v>
      </c>
      <c r="D28" s="8" t="s">
        <v>4732</v>
      </c>
      <c r="E28" t="s">
        <v>4773</v>
      </c>
      <c r="F28" t="s">
        <v>4772</v>
      </c>
      <c r="G28" s="14"/>
      <c r="H28" s="14"/>
      <c r="I28" s="14"/>
      <c r="J28" s="14"/>
      <c r="K28" s="14"/>
      <c r="L28" s="14"/>
    </row>
    <row r="29" spans="1:12" ht="32" x14ac:dyDescent="0.2">
      <c r="A29" t="s">
        <v>3882</v>
      </c>
      <c r="B29" t="s">
        <v>4908</v>
      </c>
      <c r="C29" t="s">
        <v>1344</v>
      </c>
      <c r="D29" s="8" t="s">
        <v>4799</v>
      </c>
      <c r="E29" t="s">
        <v>4800</v>
      </c>
      <c r="G29" s="14"/>
      <c r="H29" s="14"/>
      <c r="I29" s="14"/>
      <c r="J29" s="14"/>
      <c r="K29" s="14"/>
      <c r="L29" s="14"/>
    </row>
    <row r="30" spans="1:12" ht="32" x14ac:dyDescent="0.2">
      <c r="A30" t="s">
        <v>3882</v>
      </c>
      <c r="B30" t="s">
        <v>4908</v>
      </c>
      <c r="C30" t="s">
        <v>1369</v>
      </c>
      <c r="D30" s="8" t="s">
        <v>4801</v>
      </c>
      <c r="E30" t="s">
        <v>4773</v>
      </c>
      <c r="F30" t="s">
        <v>4772</v>
      </c>
      <c r="G30" s="14"/>
      <c r="H30" s="14"/>
      <c r="I30" s="14"/>
      <c r="J30" s="14"/>
      <c r="K30" s="14"/>
      <c r="L30" s="14"/>
    </row>
    <row r="31" spans="1:12" ht="16" x14ac:dyDescent="0.2">
      <c r="A31" t="s">
        <v>3882</v>
      </c>
      <c r="B31" t="s">
        <v>4908</v>
      </c>
      <c r="C31" t="s">
        <v>1384</v>
      </c>
      <c r="D31" s="8" t="s">
        <v>4737</v>
      </c>
      <c r="E31">
        <v>91</v>
      </c>
      <c r="G31" s="14"/>
      <c r="H31" s="14"/>
      <c r="I31" s="14"/>
      <c r="J31" s="14"/>
      <c r="K31" s="14"/>
      <c r="L31" s="14"/>
    </row>
    <row r="32" spans="1:12" ht="16" x14ac:dyDescent="0.2">
      <c r="A32" t="s">
        <v>3882</v>
      </c>
      <c r="B32" t="s">
        <v>4908</v>
      </c>
      <c r="C32" t="s">
        <v>3174</v>
      </c>
      <c r="D32" s="8" t="s">
        <v>4739</v>
      </c>
      <c r="E32" t="s">
        <v>4773</v>
      </c>
      <c r="F32" t="s">
        <v>4778</v>
      </c>
      <c r="G32" s="14"/>
      <c r="H32" s="14"/>
      <c r="I32" s="14"/>
      <c r="J32" s="14"/>
      <c r="K32" s="14"/>
      <c r="L32" s="14"/>
    </row>
    <row r="33" spans="1:12" ht="16" x14ac:dyDescent="0.2">
      <c r="A33" t="s">
        <v>3882</v>
      </c>
      <c r="B33" t="s">
        <v>4908</v>
      </c>
      <c r="C33" t="s">
        <v>3203</v>
      </c>
      <c r="D33" s="8" t="s">
        <v>4740</v>
      </c>
      <c r="E33" t="s">
        <v>4773</v>
      </c>
      <c r="F33" t="s">
        <v>4772</v>
      </c>
      <c r="G33" s="14"/>
      <c r="H33" s="14"/>
      <c r="I33" s="14"/>
      <c r="J33" s="14"/>
      <c r="K33" s="14"/>
      <c r="L33" s="14"/>
    </row>
    <row r="34" spans="1:12" ht="16" x14ac:dyDescent="0.2">
      <c r="A34" t="s">
        <v>3882</v>
      </c>
      <c r="B34" t="s">
        <v>4908</v>
      </c>
      <c r="C34" t="s">
        <v>1405</v>
      </c>
      <c r="D34" s="8" t="s">
        <v>4742</v>
      </c>
      <c r="E34" t="s">
        <v>4802</v>
      </c>
      <c r="G34" s="14"/>
      <c r="H34" s="14"/>
      <c r="I34" s="14"/>
      <c r="J34" s="14"/>
      <c r="K34" s="14"/>
      <c r="L34" s="14"/>
    </row>
    <row r="35" spans="1:12" ht="16" x14ac:dyDescent="0.2">
      <c r="A35" t="s">
        <v>3882</v>
      </c>
      <c r="B35" t="s">
        <v>4908</v>
      </c>
      <c r="C35" t="s">
        <v>1236</v>
      </c>
      <c r="D35" s="8" t="s">
        <v>4743</v>
      </c>
      <c r="E35" t="s">
        <v>4773</v>
      </c>
      <c r="F35" t="s">
        <v>4772</v>
      </c>
      <c r="G35" s="14"/>
      <c r="H35" s="14"/>
      <c r="I35" s="14"/>
      <c r="J35" s="14"/>
      <c r="K35" s="14"/>
      <c r="L35" s="14"/>
    </row>
    <row r="36" spans="1:12" ht="16" x14ac:dyDescent="0.2">
      <c r="A36" t="s">
        <v>3882</v>
      </c>
      <c r="B36" t="s">
        <v>4908</v>
      </c>
      <c r="C36" t="s">
        <v>3243</v>
      </c>
      <c r="D36" s="8" t="s">
        <v>4744</v>
      </c>
      <c r="E36" t="s">
        <v>4773</v>
      </c>
      <c r="F36" t="s">
        <v>4778</v>
      </c>
      <c r="G36" s="14"/>
      <c r="H36" s="14"/>
      <c r="I36" s="14"/>
      <c r="J36" s="14"/>
      <c r="K36" s="14"/>
      <c r="L36" s="14"/>
    </row>
    <row r="37" spans="1:12" ht="16" x14ac:dyDescent="0.2">
      <c r="A37" t="s">
        <v>3882</v>
      </c>
      <c r="B37" t="s">
        <v>4908</v>
      </c>
      <c r="C37" t="s">
        <v>3273</v>
      </c>
      <c r="D37" s="8" t="s">
        <v>4746</v>
      </c>
      <c r="E37" t="s">
        <v>4773</v>
      </c>
      <c r="F37" t="s">
        <v>4803</v>
      </c>
      <c r="G37" s="14"/>
      <c r="H37" s="14"/>
      <c r="I37" s="14"/>
      <c r="J37" s="14"/>
      <c r="K37" s="14"/>
      <c r="L37" s="14"/>
    </row>
    <row r="38" spans="1:12" ht="16" x14ac:dyDescent="0.2">
      <c r="A38" t="s">
        <v>3882</v>
      </c>
      <c r="B38" t="s">
        <v>4908</v>
      </c>
      <c r="C38" t="s">
        <v>1243</v>
      </c>
      <c r="D38" s="8" t="s">
        <v>4747</v>
      </c>
      <c r="E38" t="s">
        <v>4773</v>
      </c>
      <c r="F38" t="s">
        <v>4778</v>
      </c>
      <c r="G38" s="14"/>
      <c r="H38" s="14"/>
      <c r="I38" s="14"/>
      <c r="J38" s="14"/>
      <c r="K38" s="14"/>
      <c r="L38" s="14"/>
    </row>
    <row r="39" spans="1:12" ht="16" x14ac:dyDescent="0.2">
      <c r="A39" t="s">
        <v>3882</v>
      </c>
      <c r="B39" t="s">
        <v>4908</v>
      </c>
      <c r="C39" t="s">
        <v>1256</v>
      </c>
      <c r="D39" s="8" t="s">
        <v>4749</v>
      </c>
      <c r="E39" t="s">
        <v>4804</v>
      </c>
      <c r="G39" s="14"/>
      <c r="H39" s="14"/>
      <c r="I39" s="14"/>
      <c r="J39" s="14"/>
      <c r="K39" s="14"/>
      <c r="L39" s="14"/>
    </row>
    <row r="40" spans="1:12" ht="16" x14ac:dyDescent="0.2">
      <c r="A40" t="s">
        <v>3882</v>
      </c>
      <c r="B40" t="s">
        <v>4908</v>
      </c>
      <c r="C40" t="s">
        <v>1303</v>
      </c>
      <c r="D40" s="8" t="s">
        <v>4805</v>
      </c>
      <c r="E40" t="s">
        <v>4773</v>
      </c>
      <c r="F40" t="s">
        <v>4772</v>
      </c>
      <c r="G40" s="14"/>
      <c r="H40" s="14"/>
      <c r="I40" s="14"/>
      <c r="J40" s="14"/>
      <c r="K40" s="14"/>
      <c r="L40" s="14"/>
    </row>
    <row r="41" spans="1:12" ht="16" x14ac:dyDescent="0.2">
      <c r="A41" t="s">
        <v>3882</v>
      </c>
      <c r="B41" t="s">
        <v>4908</v>
      </c>
      <c r="C41" t="s">
        <v>3343</v>
      </c>
      <c r="D41" s="8" t="s">
        <v>4806</v>
      </c>
      <c r="E41" t="s">
        <v>4773</v>
      </c>
      <c r="F41" t="s">
        <v>4772</v>
      </c>
      <c r="G41" s="14"/>
      <c r="H41" s="14"/>
      <c r="I41" s="14"/>
      <c r="J41" s="14"/>
      <c r="K41" s="14"/>
      <c r="L41" s="14"/>
    </row>
    <row r="42" spans="1:12" ht="16" x14ac:dyDescent="0.2">
      <c r="A42" t="s">
        <v>3882</v>
      </c>
      <c r="B42" t="s">
        <v>4907</v>
      </c>
      <c r="C42" t="s">
        <v>1426</v>
      </c>
      <c r="D42" s="8" t="s">
        <v>4753</v>
      </c>
      <c r="E42">
        <v>54</v>
      </c>
      <c r="G42" s="14"/>
      <c r="H42" s="14"/>
      <c r="I42" s="14"/>
      <c r="J42" s="14"/>
      <c r="K42" s="14"/>
      <c r="L42" s="14"/>
    </row>
    <row r="43" spans="1:12" ht="16" x14ac:dyDescent="0.2">
      <c r="A43" t="s">
        <v>3882</v>
      </c>
      <c r="B43" t="s">
        <v>4907</v>
      </c>
      <c r="C43" t="s">
        <v>1445</v>
      </c>
      <c r="D43" s="8" t="s">
        <v>4755</v>
      </c>
      <c r="E43" t="s">
        <v>4773</v>
      </c>
      <c r="F43" t="s">
        <v>4807</v>
      </c>
      <c r="G43" s="14"/>
      <c r="H43" s="14"/>
      <c r="I43" s="14"/>
      <c r="J43" s="14"/>
      <c r="K43" s="14"/>
      <c r="L43" s="14"/>
    </row>
    <row r="44" spans="1:12" ht="16" x14ac:dyDescent="0.2">
      <c r="A44" t="s">
        <v>3882</v>
      </c>
      <c r="B44" t="s">
        <v>4907</v>
      </c>
      <c r="C44" t="s">
        <v>1452</v>
      </c>
      <c r="D44" s="8" t="s">
        <v>4757</v>
      </c>
      <c r="E44">
        <v>55</v>
      </c>
      <c r="G44" s="14"/>
      <c r="H44" s="14"/>
      <c r="I44" s="14"/>
      <c r="J44" s="14"/>
      <c r="K44" s="14"/>
      <c r="L44" s="14"/>
    </row>
    <row r="45" spans="1:12" ht="32" x14ac:dyDescent="0.2">
      <c r="A45" t="s">
        <v>3882</v>
      </c>
      <c r="B45" t="s">
        <v>4907</v>
      </c>
      <c r="C45" t="s">
        <v>1459</v>
      </c>
      <c r="D45" s="8" t="s">
        <v>4808</v>
      </c>
      <c r="E45" t="s">
        <v>4809</v>
      </c>
      <c r="G45" s="14"/>
      <c r="H45" s="14"/>
      <c r="I45" s="14"/>
      <c r="J45" s="14"/>
      <c r="K45" s="14"/>
      <c r="L45" s="14"/>
    </row>
    <row r="46" spans="1:12" ht="32" x14ac:dyDescent="0.2">
      <c r="A46" t="s">
        <v>3882</v>
      </c>
      <c r="B46" t="s">
        <v>4907</v>
      </c>
      <c r="C46" t="s">
        <v>1472</v>
      </c>
      <c r="D46" s="8" t="s">
        <v>4801</v>
      </c>
      <c r="E46">
        <v>54</v>
      </c>
      <c r="G46" s="14"/>
      <c r="H46" s="14"/>
      <c r="I46" s="14"/>
      <c r="J46" s="14"/>
      <c r="K46" s="14"/>
      <c r="L46" s="14"/>
    </row>
    <row r="47" spans="1:12" ht="16" x14ac:dyDescent="0.2">
      <c r="A47" t="s">
        <v>3882</v>
      </c>
      <c r="B47" t="s">
        <v>4911</v>
      </c>
      <c r="C47" t="s">
        <v>1529</v>
      </c>
      <c r="D47" s="8" t="s">
        <v>4763</v>
      </c>
      <c r="E47">
        <v>57</v>
      </c>
      <c r="G47" s="14"/>
      <c r="H47" s="14"/>
      <c r="I47" s="14"/>
      <c r="J47" s="14"/>
      <c r="K47" s="14"/>
      <c r="L47" s="14"/>
    </row>
    <row r="48" spans="1:12" ht="16" x14ac:dyDescent="0.2">
      <c r="A48" t="s">
        <v>3882</v>
      </c>
      <c r="B48" t="s">
        <v>4911</v>
      </c>
      <c r="C48" t="s">
        <v>1569</v>
      </c>
      <c r="D48" s="8" t="s">
        <v>4810</v>
      </c>
      <c r="E48">
        <v>60</v>
      </c>
      <c r="G48" s="14"/>
      <c r="H48" s="14"/>
      <c r="I48" s="14"/>
      <c r="J48" s="14"/>
      <c r="K48" s="14"/>
      <c r="L48" s="14"/>
    </row>
    <row r="49" spans="1:12" ht="16" x14ac:dyDescent="0.2">
      <c r="A49" t="s">
        <v>3882</v>
      </c>
      <c r="B49" t="s">
        <v>4911</v>
      </c>
      <c r="C49" t="s">
        <v>1581</v>
      </c>
      <c r="D49" s="8" t="s">
        <v>4811</v>
      </c>
      <c r="E49">
        <v>61</v>
      </c>
      <c r="G49" s="14"/>
      <c r="H49" s="14"/>
      <c r="I49" s="14"/>
      <c r="J49" s="14"/>
      <c r="K49" s="14"/>
      <c r="L49" s="14"/>
    </row>
    <row r="50" spans="1:12" ht="32" x14ac:dyDescent="0.2">
      <c r="A50" t="s">
        <v>3882</v>
      </c>
      <c r="B50" t="s">
        <v>4911</v>
      </c>
      <c r="C50" t="s">
        <v>1600</v>
      </c>
      <c r="D50" s="8" t="s">
        <v>4812</v>
      </c>
      <c r="E50" t="s">
        <v>4813</v>
      </c>
      <c r="G50" s="14"/>
      <c r="H50" s="14"/>
      <c r="I50" s="14"/>
      <c r="J50" s="14"/>
      <c r="K50" s="14"/>
      <c r="L50" s="14"/>
    </row>
    <row r="51" spans="1:12" ht="32" x14ac:dyDescent="0.2">
      <c r="A51" t="s">
        <v>3882</v>
      </c>
      <c r="B51" t="s">
        <v>4911</v>
      </c>
      <c r="C51" t="s">
        <v>1613</v>
      </c>
      <c r="D51" s="8" t="s">
        <v>4801</v>
      </c>
      <c r="E51">
        <v>59</v>
      </c>
      <c r="G51" s="14"/>
      <c r="H51" s="14"/>
      <c r="I51" s="14"/>
      <c r="J51" s="14"/>
      <c r="K51" s="14"/>
      <c r="L51" s="14"/>
    </row>
    <row r="52" spans="1:12" ht="16" x14ac:dyDescent="0.2">
      <c r="A52" t="s">
        <v>3882</v>
      </c>
      <c r="B52" t="s">
        <v>4909</v>
      </c>
      <c r="C52" t="s">
        <v>1074</v>
      </c>
      <c r="D52" s="8" t="s">
        <v>4814</v>
      </c>
      <c r="E52" t="s">
        <v>4815</v>
      </c>
      <c r="G52" s="14"/>
      <c r="H52" s="14"/>
      <c r="I52" s="14"/>
      <c r="J52" s="14"/>
      <c r="K52" s="14"/>
      <c r="L52" s="14"/>
    </row>
    <row r="53" spans="1:12" ht="16" x14ac:dyDescent="0.2">
      <c r="A53" t="s">
        <v>3882</v>
      </c>
      <c r="B53" t="s">
        <v>4909</v>
      </c>
      <c r="C53" t="s">
        <v>1122</v>
      </c>
      <c r="D53" s="8" t="s">
        <v>4769</v>
      </c>
      <c r="E53" t="s">
        <v>4816</v>
      </c>
      <c r="G53" s="14"/>
      <c r="H53" s="14"/>
      <c r="I53" s="14"/>
      <c r="J53" s="14"/>
      <c r="K53" s="14"/>
      <c r="L53" s="14"/>
    </row>
    <row r="54" spans="1:12" ht="16" x14ac:dyDescent="0.2">
      <c r="A54" t="s">
        <v>3882</v>
      </c>
      <c r="B54" t="s">
        <v>4909</v>
      </c>
      <c r="C54" t="s">
        <v>1137</v>
      </c>
      <c r="D54" s="8" t="s">
        <v>4770</v>
      </c>
      <c r="E54" t="s">
        <v>4817</v>
      </c>
      <c r="G54" s="14"/>
      <c r="H54" s="14"/>
      <c r="I54" s="14"/>
      <c r="J54" s="14"/>
      <c r="K54" s="14"/>
      <c r="L54" s="14"/>
    </row>
    <row r="55" spans="1:12" ht="16" x14ac:dyDescent="0.2">
      <c r="A55" t="s">
        <v>3882</v>
      </c>
      <c r="B55" t="s">
        <v>4909</v>
      </c>
      <c r="C55" t="s">
        <v>1159</v>
      </c>
      <c r="D55" s="8" t="s">
        <v>4818</v>
      </c>
      <c r="E55">
        <v>65</v>
      </c>
      <c r="G55" s="14"/>
      <c r="H55" s="14"/>
      <c r="I55" s="14"/>
      <c r="J55" s="14"/>
      <c r="K55" s="14"/>
      <c r="L55" s="14"/>
    </row>
    <row r="56" spans="1:12" ht="16" x14ac:dyDescent="0.2">
      <c r="A56" t="s">
        <v>3882</v>
      </c>
      <c r="B56" t="s">
        <v>4909</v>
      </c>
      <c r="C56" t="s">
        <v>1179</v>
      </c>
      <c r="D56" s="8" t="s">
        <v>4771</v>
      </c>
      <c r="E56">
        <v>66</v>
      </c>
      <c r="G56" s="14"/>
      <c r="H56" s="14"/>
      <c r="I56" s="14"/>
      <c r="J56" s="14"/>
      <c r="K56" s="14"/>
      <c r="L56" s="14"/>
    </row>
    <row r="57" spans="1:12" ht="16" x14ac:dyDescent="0.2">
      <c r="A57" t="s">
        <v>3882</v>
      </c>
      <c r="B57" t="s">
        <v>4909</v>
      </c>
      <c r="C57" t="s">
        <v>1192</v>
      </c>
      <c r="D57" s="8" t="s">
        <v>3884</v>
      </c>
      <c r="G57" s="14"/>
      <c r="H57" s="14"/>
      <c r="I57" s="14"/>
      <c r="J57" s="14"/>
      <c r="K57" s="14"/>
      <c r="L57" s="14"/>
    </row>
    <row r="58" spans="1:12" x14ac:dyDescent="0.2">
      <c r="G58" s="14"/>
      <c r="H58" s="14"/>
      <c r="I58" s="14"/>
      <c r="J58" s="14"/>
      <c r="K58" s="14"/>
      <c r="L58" s="14"/>
    </row>
    <row r="59" spans="1:12" x14ac:dyDescent="0.2">
      <c r="G59" s="14"/>
      <c r="H59" s="14"/>
      <c r="I59" s="14"/>
      <c r="J59" s="14"/>
      <c r="K59" s="14"/>
      <c r="L59" s="14"/>
    </row>
    <row r="60" spans="1:12" x14ac:dyDescent="0.2">
      <c r="G60" s="14"/>
      <c r="H60" s="14"/>
      <c r="I60" s="14"/>
      <c r="J60" s="14"/>
      <c r="K60" s="14"/>
      <c r="L60" s="14"/>
    </row>
    <row r="61" spans="1:12" x14ac:dyDescent="0.2">
      <c r="G61" s="14"/>
      <c r="H61" s="14"/>
      <c r="I61" s="14"/>
      <c r="J61" s="14"/>
      <c r="K61" s="14"/>
      <c r="L61" s="14"/>
    </row>
    <row r="62" spans="1:12" x14ac:dyDescent="0.2">
      <c r="G62" s="14"/>
      <c r="H62" s="14"/>
      <c r="I62" s="14"/>
      <c r="J62" s="14"/>
      <c r="K62" s="14"/>
      <c r="L62" s="14"/>
    </row>
    <row r="63" spans="1:12" x14ac:dyDescent="0.2">
      <c r="G63" s="14"/>
      <c r="H63" s="14"/>
      <c r="I63" s="14"/>
      <c r="J63" s="14"/>
      <c r="K63" s="14"/>
      <c r="L63" s="14"/>
    </row>
    <row r="64" spans="1:12" x14ac:dyDescent="0.2">
      <c r="G64" s="14"/>
      <c r="H64" s="14"/>
      <c r="I64" s="14"/>
      <c r="J64" s="14"/>
      <c r="K64" s="14"/>
      <c r="L64" s="14"/>
    </row>
    <row r="65" spans="7:12" x14ac:dyDescent="0.2">
      <c r="G65" s="14"/>
      <c r="H65" s="14"/>
      <c r="I65" s="14"/>
      <c r="J65" s="14"/>
      <c r="K65" s="14"/>
      <c r="L65" s="14"/>
    </row>
    <row r="66" spans="7:12" x14ac:dyDescent="0.2">
      <c r="G66" s="14"/>
      <c r="H66" s="14"/>
      <c r="I66" s="14"/>
      <c r="J66" s="14"/>
      <c r="K66" s="14"/>
      <c r="L66" s="14"/>
    </row>
    <row r="67" spans="7:12" x14ac:dyDescent="0.2">
      <c r="G67" s="14"/>
      <c r="H67" s="14"/>
      <c r="I67" s="14"/>
      <c r="J67" s="14"/>
      <c r="K67" s="14"/>
      <c r="L67" s="14"/>
    </row>
    <row r="68" spans="7:12" x14ac:dyDescent="0.2">
      <c r="G68" s="14"/>
      <c r="H68" s="14"/>
      <c r="I68" s="14"/>
      <c r="J68" s="14"/>
      <c r="K68" s="14"/>
      <c r="L68" s="14"/>
    </row>
    <row r="69" spans="7:12" x14ac:dyDescent="0.2">
      <c r="G69" s="14"/>
      <c r="H69" s="14"/>
      <c r="I69" s="14"/>
      <c r="J69" s="14"/>
      <c r="K69" s="14"/>
      <c r="L69" s="14"/>
    </row>
    <row r="70" spans="7:12" x14ac:dyDescent="0.2">
      <c r="G70" s="14"/>
      <c r="H70" s="14"/>
      <c r="I70" s="14"/>
      <c r="J70" s="14"/>
      <c r="K70" s="14"/>
      <c r="L70" s="14"/>
    </row>
    <row r="71" spans="7:12" x14ac:dyDescent="0.2">
      <c r="G71" s="14"/>
      <c r="H71" s="14"/>
      <c r="I71" s="14"/>
      <c r="J71" s="14"/>
      <c r="K71" s="14"/>
      <c r="L71" s="14"/>
    </row>
    <row r="72" spans="7:12" x14ac:dyDescent="0.2">
      <c r="G72" s="14"/>
      <c r="H72" s="14"/>
      <c r="I72" s="14"/>
      <c r="J72" s="14"/>
      <c r="K72" s="14"/>
      <c r="L72" s="14"/>
    </row>
    <row r="73" spans="7:12" x14ac:dyDescent="0.2">
      <c r="G73" s="14"/>
      <c r="H73" s="14"/>
      <c r="I73" s="14"/>
      <c r="J73" s="14"/>
      <c r="K73" s="14"/>
      <c r="L73" s="14"/>
    </row>
    <row r="74" spans="7:12" x14ac:dyDescent="0.2">
      <c r="G74" s="14"/>
      <c r="H74" s="14"/>
      <c r="I74" s="14"/>
      <c r="J74" s="14"/>
      <c r="K74" s="14"/>
      <c r="L74" s="14"/>
    </row>
    <row r="75" spans="7:12" x14ac:dyDescent="0.2">
      <c r="G75" s="14"/>
      <c r="H75" s="14"/>
      <c r="I75" s="14"/>
      <c r="J75" s="14"/>
      <c r="K75" s="14"/>
      <c r="L75" s="14"/>
    </row>
    <row r="76" spans="7:12" x14ac:dyDescent="0.2">
      <c r="G76" s="14"/>
      <c r="H76" s="14"/>
      <c r="I76" s="14"/>
      <c r="J76" s="14"/>
      <c r="K76" s="14"/>
      <c r="L76" s="14"/>
    </row>
    <row r="77" spans="7:12" x14ac:dyDescent="0.2">
      <c r="G77" s="14"/>
      <c r="H77" s="14"/>
      <c r="I77" s="14"/>
      <c r="J77" s="14"/>
      <c r="K77" s="14"/>
      <c r="L77" s="14"/>
    </row>
    <row r="78" spans="7:12" x14ac:dyDescent="0.2">
      <c r="G78" s="14"/>
      <c r="H78" s="14"/>
      <c r="I78" s="14"/>
      <c r="J78" s="14"/>
      <c r="K78" s="14"/>
      <c r="L78" s="14"/>
    </row>
    <row r="79" spans="7:12" x14ac:dyDescent="0.2">
      <c r="G79" s="14"/>
      <c r="H79" s="14"/>
      <c r="I79" s="14"/>
      <c r="J79" s="14"/>
      <c r="K79" s="14"/>
      <c r="L79" s="14"/>
    </row>
    <row r="80" spans="7:12" x14ac:dyDescent="0.2">
      <c r="G80" s="14"/>
      <c r="H80" s="14"/>
      <c r="I80" s="14"/>
      <c r="J80" s="14"/>
      <c r="K80" s="14"/>
      <c r="L80" s="14"/>
    </row>
    <row r="81" spans="7:12" x14ac:dyDescent="0.2">
      <c r="G81" s="14"/>
      <c r="H81" s="14"/>
      <c r="I81" s="14"/>
      <c r="J81" s="14"/>
      <c r="K81" s="14"/>
      <c r="L81" s="14"/>
    </row>
    <row r="82" spans="7:12" x14ac:dyDescent="0.2">
      <c r="G82" s="14"/>
      <c r="H82" s="14"/>
      <c r="I82" s="14"/>
      <c r="J82" s="14"/>
      <c r="K82" s="14"/>
      <c r="L82" s="14"/>
    </row>
    <row r="83" spans="7:12" x14ac:dyDescent="0.2">
      <c r="G83" s="14"/>
      <c r="H83" s="14"/>
      <c r="I83" s="14"/>
      <c r="J83" s="14"/>
      <c r="K83" s="14"/>
      <c r="L83" s="14"/>
    </row>
    <row r="84" spans="7:12" x14ac:dyDescent="0.2">
      <c r="G84" s="14"/>
      <c r="H84" s="14"/>
      <c r="I84" s="14"/>
      <c r="J84" s="14"/>
      <c r="K84" s="14"/>
      <c r="L84" s="14"/>
    </row>
    <row r="85" spans="7:12" x14ac:dyDescent="0.2">
      <c r="G85" s="14"/>
      <c r="H85" s="14"/>
      <c r="I85" s="14"/>
      <c r="J85" s="14"/>
      <c r="K85" s="14"/>
      <c r="L85" s="14"/>
    </row>
    <row r="86" spans="7:12" x14ac:dyDescent="0.2">
      <c r="G86" s="14"/>
      <c r="H86" s="14"/>
      <c r="I86" s="14"/>
      <c r="J86" s="14"/>
      <c r="K86" s="14"/>
      <c r="L86" s="14"/>
    </row>
    <row r="87" spans="7:12" x14ac:dyDescent="0.2">
      <c r="G87" s="14"/>
      <c r="H87" s="14"/>
      <c r="I87" s="14"/>
      <c r="J87" s="14"/>
      <c r="K87" s="14"/>
      <c r="L87" s="14"/>
    </row>
    <row r="88" spans="7:12" x14ac:dyDescent="0.2">
      <c r="G88" s="14"/>
      <c r="H88" s="14"/>
      <c r="I88" s="14"/>
      <c r="J88" s="14"/>
      <c r="K88" s="14"/>
      <c r="L88" s="14"/>
    </row>
    <row r="89" spans="7:12" x14ac:dyDescent="0.2">
      <c r="G89" s="14"/>
      <c r="H89" s="14"/>
      <c r="I89" s="14"/>
      <c r="J89" s="14"/>
      <c r="K89" s="14"/>
      <c r="L89" s="14"/>
    </row>
    <row r="90" spans="7:12" x14ac:dyDescent="0.2">
      <c r="G90" s="14"/>
      <c r="H90" s="14"/>
      <c r="I90" s="14"/>
      <c r="J90" s="14"/>
      <c r="K90" s="14"/>
      <c r="L90" s="14"/>
    </row>
    <row r="91" spans="7:12" x14ac:dyDescent="0.2">
      <c r="G91" s="14"/>
      <c r="H91" s="14"/>
      <c r="I91" s="14"/>
      <c r="J91" s="14"/>
      <c r="K91" s="14"/>
      <c r="L91" s="14"/>
    </row>
    <row r="92" spans="7:12" x14ac:dyDescent="0.2">
      <c r="G92" s="14"/>
      <c r="H92" s="14"/>
      <c r="I92" s="14"/>
      <c r="J92" s="14"/>
      <c r="K92" s="14"/>
      <c r="L92" s="14"/>
    </row>
    <row r="93" spans="7:12" x14ac:dyDescent="0.2">
      <c r="G93" s="14"/>
      <c r="H93" s="14"/>
      <c r="I93" s="14"/>
      <c r="J93" s="14"/>
      <c r="K93" s="14"/>
      <c r="L93" s="14"/>
    </row>
    <row r="94" spans="7:12" x14ac:dyDescent="0.2">
      <c r="G94" s="14"/>
      <c r="H94" s="14"/>
      <c r="I94" s="14"/>
      <c r="J94" s="14"/>
      <c r="K94" s="14"/>
      <c r="L94" s="14"/>
    </row>
    <row r="95" spans="7:12" x14ac:dyDescent="0.2">
      <c r="G95" s="14"/>
      <c r="H95" s="14"/>
      <c r="I95" s="14"/>
      <c r="J95" s="14"/>
      <c r="K95" s="14"/>
      <c r="L95" s="14"/>
    </row>
    <row r="96" spans="7:12" x14ac:dyDescent="0.2">
      <c r="G96" s="14"/>
      <c r="H96" s="14"/>
      <c r="I96" s="14"/>
      <c r="J96" s="14"/>
      <c r="K96" s="14"/>
      <c r="L96" s="14"/>
    </row>
    <row r="97" spans="7:12" x14ac:dyDescent="0.2">
      <c r="G97" s="14"/>
      <c r="H97" s="14"/>
      <c r="I97" s="14"/>
      <c r="J97" s="14"/>
      <c r="K97" s="14"/>
      <c r="L97" s="14"/>
    </row>
    <row r="98" spans="7:12" x14ac:dyDescent="0.2">
      <c r="G98" s="14"/>
      <c r="H98" s="14"/>
      <c r="I98" s="14"/>
      <c r="J98" s="14"/>
      <c r="K98" s="14"/>
      <c r="L98" s="14"/>
    </row>
    <row r="99" spans="7:12" x14ac:dyDescent="0.2">
      <c r="G99" s="14"/>
      <c r="H99" s="14"/>
      <c r="I99" s="14"/>
      <c r="J99" s="14"/>
      <c r="K99" s="14"/>
      <c r="L99" s="14"/>
    </row>
    <row r="100" spans="7:12" x14ac:dyDescent="0.2">
      <c r="G100" s="14"/>
      <c r="H100" s="14"/>
      <c r="I100" s="14"/>
      <c r="J100" s="14"/>
      <c r="K100" s="14"/>
      <c r="L100" s="14"/>
    </row>
    <row r="101" spans="7:12" x14ac:dyDescent="0.2">
      <c r="G101" s="14"/>
      <c r="H101" s="14"/>
      <c r="I101" s="14"/>
      <c r="J101" s="14"/>
      <c r="K101" s="14"/>
      <c r="L101" s="14"/>
    </row>
    <row r="102" spans="7:12" x14ac:dyDescent="0.2">
      <c r="G102" s="14"/>
      <c r="H102" s="14"/>
      <c r="I102" s="14"/>
      <c r="J102" s="14"/>
      <c r="K102" s="14"/>
      <c r="L102" s="14"/>
    </row>
    <row r="103" spans="7:12" x14ac:dyDescent="0.2">
      <c r="G103" s="14"/>
      <c r="H103" s="14"/>
      <c r="I103" s="14"/>
      <c r="J103" s="14"/>
      <c r="K103" s="14"/>
      <c r="L103" s="14"/>
    </row>
    <row r="104" spans="7:12" x14ac:dyDescent="0.2">
      <c r="G104" s="14"/>
      <c r="H104" s="14"/>
      <c r="I104" s="14"/>
      <c r="J104" s="14"/>
      <c r="K104" s="14"/>
      <c r="L104" s="14"/>
    </row>
    <row r="105" spans="7:12" x14ac:dyDescent="0.2">
      <c r="G105" s="14"/>
      <c r="H105" s="14"/>
      <c r="I105" s="14"/>
      <c r="J105" s="14"/>
      <c r="K105" s="14"/>
      <c r="L105" s="14"/>
    </row>
    <row r="106" spans="7:12" x14ac:dyDescent="0.2">
      <c r="G106" s="14"/>
      <c r="H106" s="14"/>
      <c r="I106" s="14"/>
      <c r="J106" s="14"/>
      <c r="K106" s="14"/>
      <c r="L106" s="14"/>
    </row>
    <row r="107" spans="7:12" x14ac:dyDescent="0.2">
      <c r="G107" s="14"/>
      <c r="H107" s="14"/>
      <c r="I107" s="14"/>
      <c r="J107" s="14"/>
      <c r="K107" s="14"/>
      <c r="L107" s="14"/>
    </row>
    <row r="108" spans="7:12" x14ac:dyDescent="0.2">
      <c r="G108" s="14"/>
      <c r="H108" s="14"/>
      <c r="I108" s="14"/>
      <c r="J108" s="14"/>
      <c r="K108" s="14"/>
      <c r="L108" s="14"/>
    </row>
    <row r="109" spans="7:12" x14ac:dyDescent="0.2">
      <c r="G109" s="14"/>
      <c r="H109" s="14"/>
      <c r="I109" s="14"/>
      <c r="J109" s="14"/>
      <c r="K109" s="14"/>
      <c r="L109" s="14"/>
    </row>
    <row r="110" spans="7:12" x14ac:dyDescent="0.2">
      <c r="G110" s="14"/>
      <c r="H110" s="14"/>
      <c r="I110" s="14"/>
      <c r="J110" s="14"/>
      <c r="K110" s="14"/>
      <c r="L110" s="14"/>
    </row>
    <row r="111" spans="7:12" x14ac:dyDescent="0.2">
      <c r="G111" s="14"/>
      <c r="H111" s="14"/>
      <c r="I111" s="14"/>
      <c r="J111" s="14"/>
      <c r="K111" s="14"/>
      <c r="L111" s="14"/>
    </row>
    <row r="112" spans="7:12" x14ac:dyDescent="0.2">
      <c r="G112" s="14"/>
      <c r="H112" s="14"/>
      <c r="I112" s="14"/>
      <c r="J112" s="14"/>
      <c r="K112" s="14"/>
      <c r="L112" s="14"/>
    </row>
    <row r="113" spans="7:12" x14ac:dyDescent="0.2">
      <c r="G113" s="14"/>
      <c r="H113" s="14"/>
      <c r="I113" s="14"/>
      <c r="J113" s="14"/>
      <c r="K113" s="14"/>
      <c r="L113" s="14"/>
    </row>
    <row r="114" spans="7:12" x14ac:dyDescent="0.2">
      <c r="G114" s="14"/>
      <c r="H114" s="14"/>
      <c r="I114" s="14"/>
      <c r="J114" s="14"/>
      <c r="K114" s="14"/>
      <c r="L114" s="14"/>
    </row>
    <row r="115" spans="7:12" x14ac:dyDescent="0.2">
      <c r="G115" s="14"/>
      <c r="H115" s="14"/>
      <c r="I115" s="14"/>
      <c r="J115" s="14"/>
      <c r="K115" s="14"/>
      <c r="L115" s="14"/>
    </row>
    <row r="116" spans="7:12" x14ac:dyDescent="0.2">
      <c r="G116" s="14"/>
      <c r="H116" s="14"/>
      <c r="I116" s="14"/>
      <c r="J116" s="14"/>
      <c r="K116" s="14"/>
      <c r="L116" s="14"/>
    </row>
    <row r="117" spans="7:12" x14ac:dyDescent="0.2">
      <c r="G117" s="14"/>
      <c r="H117" s="14"/>
      <c r="I117" s="14"/>
      <c r="J117" s="14"/>
      <c r="K117" s="14"/>
      <c r="L117" s="14"/>
    </row>
    <row r="118" spans="7:12" x14ac:dyDescent="0.2">
      <c r="G118" s="14"/>
      <c r="H118" s="14"/>
      <c r="I118" s="14"/>
      <c r="J118" s="14"/>
      <c r="K118" s="14"/>
      <c r="L118" s="14"/>
    </row>
    <row r="119" spans="7:12" x14ac:dyDescent="0.2">
      <c r="G119" s="14"/>
      <c r="H119" s="14"/>
      <c r="I119" s="14"/>
      <c r="J119" s="14"/>
      <c r="K119" s="14"/>
      <c r="L119" s="14"/>
    </row>
    <row r="120" spans="7:12" x14ac:dyDescent="0.2">
      <c r="G120" s="14"/>
      <c r="H120" s="14"/>
      <c r="I120" s="14"/>
      <c r="J120" s="14"/>
      <c r="K120" s="14"/>
      <c r="L120" s="14"/>
    </row>
    <row r="121" spans="7:12" x14ac:dyDescent="0.2">
      <c r="G121" s="14"/>
      <c r="H121" s="14"/>
      <c r="I121" s="14"/>
      <c r="J121" s="14"/>
      <c r="K121" s="14"/>
      <c r="L121" s="14"/>
    </row>
    <row r="122" spans="7:12" x14ac:dyDescent="0.2">
      <c r="G122" s="14"/>
      <c r="H122" s="14"/>
      <c r="I122" s="14"/>
      <c r="J122" s="14"/>
      <c r="K122" s="14"/>
      <c r="L122" s="14"/>
    </row>
    <row r="123" spans="7:12" x14ac:dyDescent="0.2">
      <c r="G123" s="14"/>
      <c r="H123" s="14"/>
      <c r="I123" s="14"/>
      <c r="J123" s="14"/>
      <c r="K123" s="14"/>
      <c r="L123" s="14"/>
    </row>
    <row r="124" spans="7:12" x14ac:dyDescent="0.2">
      <c r="G124" s="14"/>
      <c r="H124" s="14"/>
      <c r="I124" s="14"/>
      <c r="J124" s="14"/>
      <c r="K124" s="14"/>
      <c r="L124" s="14"/>
    </row>
    <row r="125" spans="7:12" x14ac:dyDescent="0.2">
      <c r="G125" s="14"/>
      <c r="H125" s="14"/>
      <c r="I125" s="14"/>
      <c r="J125" s="14"/>
      <c r="K125" s="14"/>
      <c r="L125" s="14"/>
    </row>
    <row r="126" spans="7:12" x14ac:dyDescent="0.2">
      <c r="G126" s="14"/>
      <c r="H126" s="14"/>
      <c r="I126" s="14"/>
      <c r="J126" s="14"/>
      <c r="K126" s="14"/>
      <c r="L126" s="14"/>
    </row>
    <row r="127" spans="7:12" x14ac:dyDescent="0.2">
      <c r="G127" s="14"/>
      <c r="H127" s="14"/>
      <c r="I127" s="14"/>
      <c r="J127" s="14"/>
      <c r="K127" s="14"/>
      <c r="L127" s="14"/>
    </row>
    <row r="128" spans="7:12" x14ac:dyDescent="0.2">
      <c r="G128" s="14"/>
      <c r="H128" s="14"/>
      <c r="I128" s="14"/>
      <c r="J128" s="14"/>
      <c r="K128" s="14"/>
      <c r="L128" s="14"/>
    </row>
    <row r="129" spans="7:12" x14ac:dyDescent="0.2">
      <c r="G129" s="14"/>
      <c r="H129" s="14"/>
      <c r="I129" s="14"/>
      <c r="J129" s="14"/>
      <c r="K129" s="14"/>
      <c r="L129" s="14"/>
    </row>
    <row r="130" spans="7:12" x14ac:dyDescent="0.2">
      <c r="G130" s="14"/>
      <c r="H130" s="14"/>
      <c r="I130" s="14"/>
      <c r="J130" s="14"/>
      <c r="K130" s="14"/>
      <c r="L130" s="14"/>
    </row>
    <row r="131" spans="7:12" x14ac:dyDescent="0.2">
      <c r="G131" s="14"/>
      <c r="H131" s="14"/>
      <c r="I131" s="14"/>
      <c r="J131" s="14"/>
      <c r="K131" s="14"/>
      <c r="L131" s="14"/>
    </row>
    <row r="132" spans="7:12" x14ac:dyDescent="0.2">
      <c r="G132" s="14"/>
      <c r="H132" s="14"/>
      <c r="I132" s="14"/>
      <c r="J132" s="14"/>
      <c r="K132" s="14"/>
      <c r="L132" s="14"/>
    </row>
    <row r="133" spans="7:12" x14ac:dyDescent="0.2">
      <c r="G133" s="14"/>
      <c r="H133" s="14"/>
      <c r="I133" s="14"/>
      <c r="J133" s="14"/>
      <c r="K133" s="14"/>
      <c r="L133" s="14"/>
    </row>
    <row r="134" spans="7:12" x14ac:dyDescent="0.2">
      <c r="G134" s="14"/>
      <c r="H134" s="14"/>
      <c r="I134" s="14"/>
      <c r="J134" s="14"/>
      <c r="K134" s="14"/>
      <c r="L134" s="14"/>
    </row>
    <row r="135" spans="7:12" x14ac:dyDescent="0.2">
      <c r="G135" s="14"/>
      <c r="H135" s="14"/>
      <c r="I135" s="14"/>
      <c r="J135" s="14"/>
      <c r="K135" s="14"/>
      <c r="L135" s="14"/>
    </row>
    <row r="136" spans="7:12" x14ac:dyDescent="0.2">
      <c r="G136" s="14"/>
      <c r="H136" s="14"/>
      <c r="I136" s="14"/>
      <c r="J136" s="14"/>
      <c r="K136" s="14"/>
      <c r="L136" s="14"/>
    </row>
    <row r="137" spans="7:12" x14ac:dyDescent="0.2">
      <c r="G137" s="14"/>
      <c r="H137" s="14"/>
      <c r="I137" s="14"/>
      <c r="J137" s="14"/>
      <c r="K137" s="14"/>
      <c r="L137" s="14"/>
    </row>
    <row r="138" spans="7:12" x14ac:dyDescent="0.2">
      <c r="G138" s="14"/>
      <c r="H138" s="14"/>
      <c r="I138" s="14"/>
      <c r="J138" s="14"/>
      <c r="K138" s="14"/>
      <c r="L138" s="14"/>
    </row>
    <row r="139" spans="7:12" x14ac:dyDescent="0.2">
      <c r="G139" s="14"/>
      <c r="H139" s="14"/>
      <c r="I139" s="14"/>
      <c r="J139" s="14"/>
      <c r="K139" s="14"/>
      <c r="L139" s="14"/>
    </row>
    <row r="140" spans="7:12" x14ac:dyDescent="0.2">
      <c r="G140" s="14"/>
      <c r="H140" s="14"/>
      <c r="I140" s="14"/>
      <c r="J140" s="14"/>
      <c r="K140" s="14"/>
      <c r="L140" s="14"/>
    </row>
    <row r="141" spans="7:12" x14ac:dyDescent="0.2">
      <c r="G141" s="14"/>
      <c r="H141" s="14"/>
      <c r="I141" s="14"/>
      <c r="J141" s="14"/>
      <c r="K141" s="14"/>
      <c r="L141" s="14"/>
    </row>
    <row r="142" spans="7:12" x14ac:dyDescent="0.2">
      <c r="G142" s="14"/>
      <c r="H142" s="14"/>
      <c r="I142" s="14"/>
      <c r="J142" s="14"/>
      <c r="K142" s="14"/>
      <c r="L142" s="14"/>
    </row>
    <row r="143" spans="7:12" x14ac:dyDescent="0.2">
      <c r="G143" s="14"/>
      <c r="H143" s="14"/>
      <c r="I143" s="14"/>
      <c r="J143" s="14"/>
      <c r="K143" s="14"/>
      <c r="L143" s="14"/>
    </row>
    <row r="144" spans="7:12" x14ac:dyDescent="0.2">
      <c r="G144" s="14"/>
      <c r="H144" s="14"/>
      <c r="I144" s="14"/>
      <c r="J144" s="14"/>
      <c r="K144" s="14"/>
      <c r="L144" s="14"/>
    </row>
    <row r="145" spans="7:12" x14ac:dyDescent="0.2">
      <c r="G145" s="14"/>
      <c r="H145" s="14"/>
      <c r="I145" s="14"/>
      <c r="J145" s="14"/>
      <c r="K145" s="14"/>
      <c r="L145" s="14"/>
    </row>
    <row r="146" spans="7:12" x14ac:dyDescent="0.2">
      <c r="G146" s="14"/>
      <c r="H146" s="14"/>
      <c r="I146" s="14"/>
      <c r="J146" s="14"/>
      <c r="K146" s="14"/>
      <c r="L146" s="14"/>
    </row>
    <row r="147" spans="7:12" x14ac:dyDescent="0.2">
      <c r="G147" s="14"/>
      <c r="H147" s="14"/>
      <c r="I147" s="14"/>
      <c r="J147" s="14"/>
      <c r="K147" s="14"/>
      <c r="L147" s="14"/>
    </row>
    <row r="148" spans="7:12" x14ac:dyDescent="0.2">
      <c r="G148" s="14"/>
      <c r="H148" s="14"/>
      <c r="I148" s="14"/>
      <c r="J148" s="14"/>
      <c r="K148" s="14"/>
      <c r="L148" s="14"/>
    </row>
    <row r="149" spans="7:12" x14ac:dyDescent="0.2">
      <c r="G149" s="14"/>
      <c r="H149" s="14"/>
      <c r="I149" s="14"/>
      <c r="J149" s="14"/>
      <c r="K149" s="14"/>
      <c r="L149" s="14"/>
    </row>
    <row r="150" spans="7:12" x14ac:dyDescent="0.2">
      <c r="G150" s="14"/>
      <c r="H150" s="14"/>
      <c r="I150" s="14"/>
      <c r="J150" s="14"/>
      <c r="K150" s="14"/>
      <c r="L150" s="14"/>
    </row>
    <row r="151" spans="7:12" x14ac:dyDescent="0.2">
      <c r="G151" s="14"/>
      <c r="H151" s="14"/>
      <c r="I151" s="14"/>
      <c r="J151" s="14"/>
      <c r="K151" s="14"/>
      <c r="L151" s="14"/>
    </row>
    <row r="152" spans="7:12" x14ac:dyDescent="0.2">
      <c r="G152" s="14"/>
      <c r="H152" s="14"/>
      <c r="I152" s="14"/>
      <c r="J152" s="14"/>
      <c r="K152" s="14"/>
      <c r="L152" s="14"/>
    </row>
    <row r="153" spans="7:12" x14ac:dyDescent="0.2">
      <c r="G153" s="14"/>
      <c r="H153" s="14"/>
      <c r="I153" s="14"/>
      <c r="J153" s="14"/>
      <c r="K153" s="14"/>
      <c r="L153" s="14"/>
    </row>
    <row r="154" spans="7:12" x14ac:dyDescent="0.2">
      <c r="G154" s="14"/>
      <c r="H154" s="14"/>
      <c r="I154" s="14"/>
      <c r="J154" s="14"/>
      <c r="K154" s="14"/>
      <c r="L154" s="14"/>
    </row>
    <row r="155" spans="7:12" x14ac:dyDescent="0.2">
      <c r="G155" s="14"/>
      <c r="H155" s="14"/>
      <c r="I155" s="14"/>
      <c r="J155" s="14"/>
      <c r="K155" s="14"/>
      <c r="L155" s="14"/>
    </row>
    <row r="156" spans="7:12" x14ac:dyDescent="0.2">
      <c r="G156" s="14"/>
      <c r="H156" s="14"/>
      <c r="I156" s="14"/>
      <c r="J156" s="14"/>
      <c r="K156" s="14"/>
      <c r="L156" s="14"/>
    </row>
    <row r="157" spans="7:12" x14ac:dyDescent="0.2">
      <c r="G157" s="14"/>
      <c r="H157" s="14"/>
      <c r="I157" s="14"/>
      <c r="J157" s="14"/>
      <c r="K157" s="14"/>
      <c r="L157" s="14"/>
    </row>
    <row r="158" spans="7:12" x14ac:dyDescent="0.2">
      <c r="G158" s="14"/>
      <c r="H158" s="14"/>
      <c r="I158" s="14"/>
      <c r="J158" s="14"/>
      <c r="K158" s="14"/>
      <c r="L158" s="14"/>
    </row>
    <row r="159" spans="7:12" x14ac:dyDescent="0.2">
      <c r="G159" s="14"/>
      <c r="H159" s="14"/>
      <c r="I159" s="14"/>
      <c r="J159" s="14"/>
      <c r="K159" s="14"/>
      <c r="L159" s="14"/>
    </row>
    <row r="160" spans="7:12" x14ac:dyDescent="0.2">
      <c r="G160" s="14"/>
      <c r="H160" s="14"/>
      <c r="I160" s="14"/>
      <c r="J160" s="14"/>
      <c r="K160" s="14"/>
      <c r="L160" s="14"/>
    </row>
    <row r="161" spans="7:12" x14ac:dyDescent="0.2">
      <c r="G161" s="14"/>
      <c r="H161" s="14"/>
      <c r="I161" s="14"/>
      <c r="J161" s="14"/>
      <c r="K161" s="14"/>
      <c r="L161" s="14"/>
    </row>
    <row r="162" spans="7:12" x14ac:dyDescent="0.2">
      <c r="G162" s="14"/>
      <c r="H162" s="14"/>
      <c r="I162" s="14"/>
      <c r="J162" s="14"/>
      <c r="K162" s="14"/>
      <c r="L162" s="14"/>
    </row>
    <row r="163" spans="7:12" x14ac:dyDescent="0.2">
      <c r="G163" s="14"/>
      <c r="H163" s="14"/>
      <c r="I163" s="14"/>
      <c r="J163" s="14"/>
      <c r="K163" s="14"/>
      <c r="L163" s="14"/>
    </row>
    <row r="164" spans="7:12" x14ac:dyDescent="0.2">
      <c r="G164" s="14"/>
      <c r="H164" s="14"/>
      <c r="I164" s="14"/>
      <c r="J164" s="14"/>
      <c r="K164" s="14"/>
      <c r="L164" s="14"/>
    </row>
    <row r="165" spans="7:12" x14ac:dyDescent="0.2">
      <c r="G165" s="14"/>
      <c r="H165" s="14"/>
      <c r="I165" s="14"/>
      <c r="J165" s="14"/>
      <c r="K165" s="14"/>
      <c r="L165" s="14"/>
    </row>
    <row r="166" spans="7:12" x14ac:dyDescent="0.2">
      <c r="G166" s="14"/>
      <c r="H166" s="14"/>
      <c r="I166" s="14"/>
      <c r="J166" s="14"/>
      <c r="K166" s="14"/>
      <c r="L166" s="14"/>
    </row>
    <row r="167" spans="7:12" x14ac:dyDescent="0.2">
      <c r="G167" s="14"/>
      <c r="H167" s="14"/>
      <c r="I167" s="14"/>
      <c r="J167" s="14"/>
      <c r="K167" s="14"/>
      <c r="L167" s="14"/>
    </row>
    <row r="168" spans="7:12" x14ac:dyDescent="0.2">
      <c r="G168" s="14"/>
      <c r="H168" s="14"/>
      <c r="I168" s="14"/>
      <c r="J168" s="14"/>
      <c r="K168" s="14"/>
      <c r="L168" s="14"/>
    </row>
    <row r="169" spans="7:12" x14ac:dyDescent="0.2">
      <c r="G169" s="14"/>
      <c r="H169" s="14"/>
      <c r="I169" s="14"/>
      <c r="J169" s="14"/>
      <c r="K169" s="14"/>
      <c r="L169" s="14"/>
    </row>
    <row r="170" spans="7:12" x14ac:dyDescent="0.2">
      <c r="G170" s="14"/>
      <c r="H170" s="14"/>
      <c r="I170" s="14"/>
      <c r="J170" s="14"/>
      <c r="K170" s="14"/>
      <c r="L170" s="14"/>
    </row>
    <row r="171" spans="7:12" x14ac:dyDescent="0.2">
      <c r="G171" s="14"/>
      <c r="H171" s="14"/>
      <c r="I171" s="14"/>
      <c r="J171" s="14"/>
      <c r="K171" s="14"/>
      <c r="L171" s="14"/>
    </row>
    <row r="172" spans="7:12" x14ac:dyDescent="0.2">
      <c r="G172" s="14"/>
      <c r="H172" s="14"/>
      <c r="I172" s="14"/>
      <c r="J172" s="14"/>
      <c r="K172" s="14"/>
      <c r="L172" s="14"/>
    </row>
    <row r="173" spans="7:12" x14ac:dyDescent="0.2">
      <c r="G173" s="14"/>
      <c r="H173" s="14"/>
      <c r="I173" s="14"/>
      <c r="J173" s="14"/>
      <c r="K173" s="14"/>
      <c r="L173" s="14"/>
    </row>
    <row r="174" spans="7:12" x14ac:dyDescent="0.2">
      <c r="G174" s="14"/>
      <c r="H174" s="14"/>
      <c r="I174" s="14"/>
      <c r="J174" s="14"/>
      <c r="K174" s="14"/>
      <c r="L174" s="14"/>
    </row>
    <row r="175" spans="7:12" x14ac:dyDescent="0.2">
      <c r="G175" s="14"/>
      <c r="H175" s="14"/>
      <c r="I175" s="14"/>
      <c r="J175" s="14"/>
      <c r="K175" s="14"/>
      <c r="L175" s="14"/>
    </row>
    <row r="176" spans="7:12" x14ac:dyDescent="0.2">
      <c r="G176" s="14"/>
      <c r="H176" s="14"/>
      <c r="I176" s="14"/>
      <c r="J176" s="14"/>
      <c r="K176" s="14"/>
      <c r="L176" s="14"/>
    </row>
    <row r="177" spans="7:12" x14ac:dyDescent="0.2">
      <c r="G177" s="14"/>
      <c r="H177" s="14"/>
      <c r="I177" s="14"/>
      <c r="J177" s="14"/>
      <c r="K177" s="14"/>
      <c r="L177" s="14"/>
    </row>
    <row r="178" spans="7:12" x14ac:dyDescent="0.2">
      <c r="G178" s="14"/>
      <c r="H178" s="14"/>
      <c r="I178" s="14"/>
      <c r="J178" s="14"/>
      <c r="K178" s="14"/>
      <c r="L178" s="14"/>
    </row>
    <row r="179" spans="7:12" x14ac:dyDescent="0.2">
      <c r="G179" s="14"/>
      <c r="H179" s="14"/>
      <c r="I179" s="14"/>
      <c r="J179" s="14"/>
      <c r="K179" s="14"/>
      <c r="L179" s="14"/>
    </row>
    <row r="180" spans="7:12" x14ac:dyDescent="0.2">
      <c r="G180" s="14"/>
      <c r="H180" s="14"/>
      <c r="I180" s="14"/>
      <c r="J180" s="14"/>
      <c r="K180" s="14"/>
      <c r="L180" s="14"/>
    </row>
    <row r="181" spans="7:12" x14ac:dyDescent="0.2">
      <c r="G181" s="14"/>
      <c r="H181" s="14"/>
      <c r="I181" s="14"/>
      <c r="J181" s="14"/>
      <c r="K181" s="14"/>
      <c r="L181" s="14"/>
    </row>
    <row r="182" spans="7:12" x14ac:dyDescent="0.2">
      <c r="G182" s="14"/>
      <c r="H182" s="14"/>
      <c r="I182" s="14"/>
      <c r="J182" s="14"/>
      <c r="K182" s="14"/>
      <c r="L182" s="14"/>
    </row>
    <row r="183" spans="7:12" x14ac:dyDescent="0.2">
      <c r="G183" s="14"/>
      <c r="H183" s="14"/>
      <c r="I183" s="14"/>
      <c r="J183" s="14"/>
      <c r="K183" s="14"/>
      <c r="L183" s="14"/>
    </row>
    <row r="184" spans="7:12" x14ac:dyDescent="0.2">
      <c r="G184" s="14"/>
      <c r="H184" s="14"/>
      <c r="I184" s="14"/>
      <c r="J184" s="14"/>
      <c r="K184" s="14"/>
      <c r="L184" s="14"/>
    </row>
    <row r="185" spans="7:12" x14ac:dyDescent="0.2">
      <c r="G185" s="14"/>
      <c r="H185" s="14"/>
      <c r="I185" s="14"/>
      <c r="J185" s="14"/>
      <c r="K185" s="14"/>
      <c r="L185" s="14"/>
    </row>
    <row r="186" spans="7:12" x14ac:dyDescent="0.2">
      <c r="G186" s="14"/>
      <c r="H186" s="14"/>
      <c r="I186" s="14"/>
      <c r="J186" s="14"/>
      <c r="K186" s="14"/>
      <c r="L186" s="14"/>
    </row>
    <row r="187" spans="7:12" x14ac:dyDescent="0.2">
      <c r="G187" s="14"/>
      <c r="H187" s="14"/>
      <c r="I187" s="14"/>
      <c r="J187" s="14"/>
      <c r="K187" s="14"/>
      <c r="L187" s="14"/>
    </row>
    <row r="188" spans="7:12" x14ac:dyDescent="0.2">
      <c r="G188" s="14"/>
      <c r="H188" s="14"/>
      <c r="I188" s="14"/>
      <c r="J188" s="14"/>
      <c r="K188" s="14"/>
      <c r="L188" s="14"/>
    </row>
    <row r="189" spans="7:12" x14ac:dyDescent="0.2">
      <c r="G189" s="14"/>
      <c r="H189" s="14"/>
      <c r="I189" s="14"/>
      <c r="J189" s="14"/>
      <c r="K189" s="14"/>
      <c r="L189" s="14"/>
    </row>
    <row r="190" spans="7:12" x14ac:dyDescent="0.2">
      <c r="G190" s="14"/>
      <c r="H190" s="14"/>
      <c r="I190" s="14"/>
      <c r="J190" s="14"/>
      <c r="K190" s="14"/>
      <c r="L190" s="14"/>
    </row>
    <row r="191" spans="7:12" x14ac:dyDescent="0.2">
      <c r="G191" s="14"/>
      <c r="H191" s="14"/>
      <c r="I191" s="14"/>
      <c r="J191" s="14"/>
      <c r="K191" s="14"/>
      <c r="L191" s="14"/>
    </row>
    <row r="192" spans="7:12" x14ac:dyDescent="0.2">
      <c r="G192" s="14"/>
      <c r="H192" s="14"/>
      <c r="I192" s="14"/>
      <c r="J192" s="14"/>
      <c r="K192" s="14"/>
      <c r="L192" s="14"/>
    </row>
    <row r="193" spans="7:12" x14ac:dyDescent="0.2">
      <c r="G193" s="14"/>
      <c r="H193" s="14"/>
      <c r="I193" s="14"/>
      <c r="J193" s="14"/>
      <c r="K193" s="14"/>
      <c r="L193" s="14"/>
    </row>
    <row r="194" spans="7:12" x14ac:dyDescent="0.2">
      <c r="G194" s="14"/>
      <c r="H194" s="14"/>
      <c r="I194" s="14"/>
      <c r="J194" s="14"/>
      <c r="K194" s="14"/>
      <c r="L194" s="14"/>
    </row>
    <row r="195" spans="7:12" x14ac:dyDescent="0.2">
      <c r="G195" s="14"/>
      <c r="H195" s="14"/>
      <c r="I195" s="14"/>
      <c r="J195" s="14"/>
      <c r="K195" s="14"/>
      <c r="L195" s="14"/>
    </row>
    <row r="196" spans="7:12" x14ac:dyDescent="0.2">
      <c r="G196" s="14"/>
      <c r="H196" s="14"/>
      <c r="I196" s="14"/>
      <c r="J196" s="14"/>
      <c r="K196" s="14"/>
      <c r="L196" s="14"/>
    </row>
    <row r="197" spans="7:12" x14ac:dyDescent="0.2">
      <c r="G197" s="14"/>
      <c r="H197" s="14"/>
      <c r="I197" s="14"/>
      <c r="J197" s="14"/>
      <c r="K197" s="14"/>
      <c r="L197" s="14"/>
    </row>
    <row r="198" spans="7:12" x14ac:dyDescent="0.2">
      <c r="G198" s="14"/>
      <c r="H198" s="14"/>
      <c r="I198" s="14"/>
      <c r="J198" s="14"/>
      <c r="K198" s="14"/>
      <c r="L198" s="14"/>
    </row>
    <row r="199" spans="7:12" x14ac:dyDescent="0.2">
      <c r="G199" s="14"/>
      <c r="H199" s="14"/>
      <c r="I199" s="14"/>
      <c r="J199" s="14"/>
      <c r="K199" s="14"/>
      <c r="L199" s="14"/>
    </row>
    <row r="200" spans="7:12" x14ac:dyDescent="0.2">
      <c r="G200" s="14"/>
      <c r="H200" s="14"/>
      <c r="I200" s="14"/>
      <c r="J200" s="14"/>
      <c r="K200" s="14"/>
      <c r="L200" s="14"/>
    </row>
    <row r="201" spans="7:12" x14ac:dyDescent="0.2">
      <c r="G201" s="14"/>
      <c r="H201" s="14"/>
      <c r="I201" s="14"/>
      <c r="J201" s="14"/>
      <c r="K201" s="14"/>
      <c r="L201" s="14"/>
    </row>
    <row r="202" spans="7:12" x14ac:dyDescent="0.2">
      <c r="G202" s="14"/>
      <c r="H202" s="14"/>
      <c r="I202" s="14"/>
      <c r="J202" s="14"/>
      <c r="K202" s="14"/>
      <c r="L202" s="14"/>
    </row>
    <row r="203" spans="7:12" x14ac:dyDescent="0.2">
      <c r="G203" s="14"/>
      <c r="H203" s="14"/>
      <c r="I203" s="14"/>
      <c r="J203" s="14"/>
      <c r="K203" s="14"/>
      <c r="L203" s="14"/>
    </row>
    <row r="204" spans="7:12" x14ac:dyDescent="0.2">
      <c r="G204" s="14"/>
      <c r="H204" s="14"/>
      <c r="I204" s="14"/>
      <c r="J204" s="14"/>
      <c r="K204" s="14"/>
      <c r="L204" s="14"/>
    </row>
    <row r="205" spans="7:12" x14ac:dyDescent="0.2">
      <c r="G205" s="14"/>
      <c r="H205" s="14"/>
      <c r="I205" s="14"/>
      <c r="J205" s="14"/>
      <c r="K205" s="14"/>
      <c r="L205" s="14"/>
    </row>
    <row r="206" spans="7:12" x14ac:dyDescent="0.2">
      <c r="G206" s="14"/>
      <c r="H206" s="14"/>
      <c r="I206" s="14"/>
      <c r="J206" s="14"/>
      <c r="K206" s="14"/>
      <c r="L206" s="14"/>
    </row>
    <row r="207" spans="7:12" x14ac:dyDescent="0.2">
      <c r="G207" s="14"/>
      <c r="H207" s="14"/>
      <c r="I207" s="14"/>
      <c r="J207" s="14"/>
      <c r="K207" s="14"/>
      <c r="L207" s="14"/>
    </row>
    <row r="208" spans="7:12" x14ac:dyDescent="0.2">
      <c r="G208" s="14"/>
      <c r="H208" s="14"/>
      <c r="I208" s="14"/>
      <c r="J208" s="14"/>
      <c r="K208" s="14"/>
      <c r="L208" s="14"/>
    </row>
    <row r="209" spans="7:12" x14ac:dyDescent="0.2">
      <c r="G209" s="14"/>
      <c r="H209" s="14"/>
      <c r="I209" s="14"/>
      <c r="J209" s="14"/>
      <c r="K209" s="14"/>
      <c r="L209" s="14"/>
    </row>
    <row r="210" spans="7:12" x14ac:dyDescent="0.2">
      <c r="G210" s="14"/>
      <c r="H210" s="14"/>
      <c r="I210" s="14"/>
      <c r="J210" s="14"/>
      <c r="K210" s="14"/>
      <c r="L210" s="14"/>
    </row>
    <row r="211" spans="7:12" x14ac:dyDescent="0.2">
      <c r="G211" s="14"/>
      <c r="H211" s="14"/>
      <c r="I211" s="14"/>
      <c r="J211" s="14"/>
      <c r="K211" s="14"/>
      <c r="L211" s="14"/>
    </row>
    <row r="212" spans="7:12" x14ac:dyDescent="0.2">
      <c r="G212" s="14"/>
      <c r="H212" s="14"/>
      <c r="I212" s="14"/>
      <c r="J212" s="14"/>
      <c r="K212" s="14"/>
      <c r="L212" s="14"/>
    </row>
    <row r="213" spans="7:12" x14ac:dyDescent="0.2">
      <c r="G213" s="14"/>
      <c r="H213" s="14"/>
      <c r="I213" s="14"/>
      <c r="J213" s="14"/>
      <c r="K213" s="14"/>
      <c r="L213" s="14"/>
    </row>
    <row r="214" spans="7:12" x14ac:dyDescent="0.2">
      <c r="G214" s="14"/>
      <c r="H214" s="14"/>
      <c r="I214" s="14"/>
      <c r="J214" s="14"/>
      <c r="K214" s="14"/>
      <c r="L214" s="14"/>
    </row>
    <row r="215" spans="7:12" x14ac:dyDescent="0.2">
      <c r="G215" s="14"/>
      <c r="H215" s="14"/>
      <c r="I215" s="14"/>
      <c r="J215" s="14"/>
      <c r="K215" s="14"/>
      <c r="L215" s="14"/>
    </row>
    <row r="216" spans="7:12" x14ac:dyDescent="0.2">
      <c r="G216" s="14"/>
      <c r="H216" s="14"/>
      <c r="I216" s="14"/>
      <c r="J216" s="14"/>
      <c r="K216" s="14"/>
      <c r="L216" s="14"/>
    </row>
    <row r="217" spans="7:12" x14ac:dyDescent="0.2">
      <c r="G217" s="14"/>
      <c r="H217" s="14"/>
      <c r="I217" s="14"/>
      <c r="J217" s="14"/>
      <c r="K217" s="14"/>
      <c r="L217" s="14"/>
    </row>
    <row r="218" spans="7:12" x14ac:dyDescent="0.2">
      <c r="G218" s="14"/>
      <c r="H218" s="14"/>
      <c r="I218" s="14"/>
      <c r="J218" s="14"/>
      <c r="K218" s="14"/>
      <c r="L218" s="14"/>
    </row>
    <row r="219" spans="7:12" x14ac:dyDescent="0.2">
      <c r="G219" s="14"/>
      <c r="H219" s="14"/>
      <c r="I219" s="14"/>
      <c r="J219" s="14"/>
      <c r="K219" s="14"/>
      <c r="L219" s="14"/>
    </row>
    <row r="220" spans="7:12" x14ac:dyDescent="0.2">
      <c r="G220" s="14"/>
      <c r="H220" s="14"/>
      <c r="I220" s="14"/>
      <c r="J220" s="14"/>
      <c r="K220" s="14"/>
      <c r="L220" s="14"/>
    </row>
    <row r="221" spans="7:12" x14ac:dyDescent="0.2">
      <c r="G221" s="14"/>
      <c r="H221" s="14"/>
      <c r="I221" s="14"/>
      <c r="J221" s="14"/>
      <c r="K221" s="14"/>
      <c r="L221" s="14"/>
    </row>
    <row r="222" spans="7:12" x14ac:dyDescent="0.2">
      <c r="G222" s="14"/>
      <c r="H222" s="14"/>
      <c r="I222" s="14"/>
      <c r="J222" s="14"/>
      <c r="K222" s="14"/>
      <c r="L222" s="14"/>
    </row>
    <row r="223" spans="7:12" x14ac:dyDescent="0.2">
      <c r="G223" s="14"/>
      <c r="H223" s="14"/>
      <c r="I223" s="14"/>
      <c r="J223" s="14"/>
      <c r="K223" s="14"/>
      <c r="L223" s="14"/>
    </row>
    <row r="224" spans="7:12" x14ac:dyDescent="0.2">
      <c r="G224" s="14"/>
      <c r="H224" s="14"/>
      <c r="I224" s="14"/>
      <c r="J224" s="14"/>
      <c r="K224" s="14"/>
      <c r="L224" s="14"/>
    </row>
    <row r="225" spans="7:12" x14ac:dyDescent="0.2">
      <c r="G225" s="14"/>
      <c r="H225" s="14"/>
      <c r="I225" s="14"/>
      <c r="J225" s="14"/>
      <c r="K225" s="14"/>
      <c r="L225" s="14"/>
    </row>
    <row r="226" spans="7:12" x14ac:dyDescent="0.2">
      <c r="G226" s="14"/>
      <c r="H226" s="14"/>
      <c r="I226" s="14"/>
      <c r="J226" s="14"/>
      <c r="K226" s="14"/>
      <c r="L226" s="14"/>
    </row>
    <row r="227" spans="7:12" x14ac:dyDescent="0.2">
      <c r="G227" s="14"/>
      <c r="H227" s="14"/>
      <c r="I227" s="14"/>
      <c r="J227" s="14"/>
      <c r="K227" s="14"/>
      <c r="L227" s="14"/>
    </row>
    <row r="228" spans="7:12" x14ac:dyDescent="0.2">
      <c r="G228" s="14"/>
      <c r="H228" s="14"/>
      <c r="I228" s="14"/>
      <c r="J228" s="14"/>
      <c r="K228" s="14"/>
      <c r="L228" s="14"/>
    </row>
    <row r="229" spans="7:12" x14ac:dyDescent="0.2">
      <c r="G229" s="14"/>
      <c r="H229" s="14"/>
      <c r="I229" s="14"/>
      <c r="J229" s="14"/>
      <c r="K229" s="14"/>
      <c r="L229" s="14"/>
    </row>
    <row r="230" spans="7:12" x14ac:dyDescent="0.2">
      <c r="G230" s="14"/>
      <c r="H230" s="14"/>
      <c r="I230" s="14"/>
      <c r="J230" s="14"/>
      <c r="K230" s="14"/>
      <c r="L230" s="14"/>
    </row>
    <row r="231" spans="7:12" x14ac:dyDescent="0.2">
      <c r="G231" s="14"/>
      <c r="H231" s="14"/>
      <c r="I231" s="14"/>
      <c r="J231" s="14"/>
      <c r="K231" s="14"/>
      <c r="L231" s="14"/>
    </row>
    <row r="232" spans="7:12" x14ac:dyDescent="0.2">
      <c r="G232" s="14"/>
      <c r="H232" s="14"/>
      <c r="I232" s="14"/>
      <c r="J232" s="14"/>
      <c r="K232" s="14"/>
      <c r="L232" s="14"/>
    </row>
    <row r="233" spans="7:12" x14ac:dyDescent="0.2">
      <c r="G233" s="14"/>
      <c r="H233" s="14"/>
      <c r="I233" s="14"/>
      <c r="J233" s="14"/>
      <c r="K233" s="14"/>
      <c r="L233" s="14"/>
    </row>
    <row r="234" spans="7:12" x14ac:dyDescent="0.2">
      <c r="G234" s="14"/>
      <c r="H234" s="14"/>
      <c r="I234" s="14"/>
      <c r="J234" s="14"/>
      <c r="K234" s="14"/>
      <c r="L234" s="14"/>
    </row>
    <row r="235" spans="7:12" x14ac:dyDescent="0.2">
      <c r="G235" s="14"/>
      <c r="H235" s="14"/>
      <c r="I235" s="14"/>
      <c r="J235" s="14"/>
      <c r="K235" s="14"/>
      <c r="L235" s="14"/>
    </row>
    <row r="236" spans="7:12" x14ac:dyDescent="0.2">
      <c r="G236" s="14"/>
      <c r="H236" s="14"/>
      <c r="I236" s="14"/>
      <c r="J236" s="14"/>
      <c r="K236" s="14"/>
      <c r="L236" s="14"/>
    </row>
    <row r="237" spans="7:12" x14ac:dyDescent="0.2">
      <c r="G237" s="14"/>
      <c r="H237" s="14"/>
      <c r="I237" s="14"/>
      <c r="J237" s="14"/>
      <c r="K237" s="14"/>
      <c r="L237" s="14"/>
    </row>
    <row r="238" spans="7:12" x14ac:dyDescent="0.2">
      <c r="G238" s="14"/>
      <c r="H238" s="14"/>
      <c r="I238" s="14"/>
      <c r="J238" s="14"/>
      <c r="K238" s="14"/>
      <c r="L238" s="14"/>
    </row>
    <row r="239" spans="7:12" x14ac:dyDescent="0.2">
      <c r="G239" s="14"/>
      <c r="H239" s="14"/>
      <c r="I239" s="14"/>
      <c r="J239" s="14"/>
      <c r="K239" s="14"/>
      <c r="L239" s="14"/>
    </row>
    <row r="240" spans="7:12" x14ac:dyDescent="0.2">
      <c r="G240" s="14"/>
      <c r="H240" s="14"/>
      <c r="I240" s="14"/>
      <c r="J240" s="14"/>
      <c r="K240" s="14"/>
      <c r="L240" s="14"/>
    </row>
    <row r="241" spans="7:12" x14ac:dyDescent="0.2">
      <c r="G241" s="14"/>
      <c r="H241" s="14"/>
      <c r="I241" s="14"/>
      <c r="J241" s="14"/>
      <c r="K241" s="14"/>
      <c r="L241" s="14"/>
    </row>
    <row r="242" spans="7:12" x14ac:dyDescent="0.2">
      <c r="G242" s="14"/>
      <c r="H242" s="14"/>
      <c r="I242" s="14"/>
      <c r="J242" s="14"/>
      <c r="K242" s="14"/>
      <c r="L242" s="14"/>
    </row>
    <row r="243" spans="7:12" x14ac:dyDescent="0.2">
      <c r="G243" s="14"/>
      <c r="H243" s="14"/>
      <c r="I243" s="14"/>
      <c r="J243" s="14"/>
      <c r="K243" s="14"/>
      <c r="L243" s="14"/>
    </row>
    <row r="244" spans="7:12" x14ac:dyDescent="0.2">
      <c r="G244" s="14"/>
      <c r="H244" s="14"/>
      <c r="I244" s="14"/>
      <c r="J244" s="14"/>
      <c r="K244" s="14"/>
      <c r="L244" s="14"/>
    </row>
    <row r="245" spans="7:12" x14ac:dyDescent="0.2">
      <c r="G245" s="14"/>
      <c r="H245" s="14"/>
      <c r="I245" s="14"/>
      <c r="J245" s="14"/>
      <c r="K245" s="14"/>
      <c r="L245" s="14"/>
    </row>
    <row r="246" spans="7:12" x14ac:dyDescent="0.2">
      <c r="G246" s="14"/>
      <c r="H246" s="14"/>
      <c r="I246" s="14"/>
      <c r="J246" s="14"/>
      <c r="K246" s="14"/>
      <c r="L246" s="14"/>
    </row>
    <row r="247" spans="7:12" x14ac:dyDescent="0.2">
      <c r="G247" s="14"/>
      <c r="H247" s="14"/>
      <c r="I247" s="14"/>
      <c r="J247" s="14"/>
      <c r="K247" s="14"/>
      <c r="L247" s="14"/>
    </row>
    <row r="248" spans="7:12" x14ac:dyDescent="0.2">
      <c r="G248" s="14"/>
      <c r="H248" s="14"/>
      <c r="I248" s="14"/>
      <c r="J248" s="14"/>
      <c r="K248" s="14"/>
      <c r="L248" s="14"/>
    </row>
    <row r="249" spans="7:12" x14ac:dyDescent="0.2">
      <c r="G249" s="14"/>
      <c r="H249" s="14"/>
      <c r="I249" s="14"/>
      <c r="J249" s="14"/>
      <c r="K249" s="14"/>
      <c r="L249" s="14"/>
    </row>
    <row r="250" spans="7:12" x14ac:dyDescent="0.2">
      <c r="G250" s="14"/>
      <c r="H250" s="14"/>
      <c r="I250" s="14"/>
      <c r="J250" s="14"/>
      <c r="K250" s="14"/>
      <c r="L250" s="14"/>
    </row>
    <row r="251" spans="7:12" x14ac:dyDescent="0.2">
      <c r="G251" s="14"/>
      <c r="H251" s="14"/>
      <c r="I251" s="14"/>
      <c r="J251" s="14"/>
      <c r="K251" s="14"/>
      <c r="L251" s="14"/>
    </row>
    <row r="252" spans="7:12" x14ac:dyDescent="0.2">
      <c r="G252" s="14"/>
      <c r="H252" s="14"/>
      <c r="I252" s="14"/>
      <c r="J252" s="14"/>
      <c r="K252" s="14"/>
      <c r="L252" s="14"/>
    </row>
    <row r="253" spans="7:12" x14ac:dyDescent="0.2">
      <c r="G253" s="14"/>
      <c r="H253" s="14"/>
      <c r="I253" s="14"/>
      <c r="J253" s="14"/>
      <c r="K253" s="14"/>
      <c r="L253" s="14"/>
    </row>
    <row r="254" spans="7:12" x14ac:dyDescent="0.2">
      <c r="G254" s="14"/>
      <c r="H254" s="14"/>
      <c r="I254" s="14"/>
      <c r="J254" s="14"/>
      <c r="K254" s="14"/>
      <c r="L254" s="14"/>
    </row>
    <row r="255" spans="7:12" x14ac:dyDescent="0.2">
      <c r="G255" s="14"/>
      <c r="H255" s="14"/>
      <c r="I255" s="14"/>
      <c r="J255" s="14"/>
      <c r="K255" s="14"/>
      <c r="L255" s="14"/>
    </row>
    <row r="256" spans="7:12" x14ac:dyDescent="0.2">
      <c r="G256" s="14"/>
      <c r="H256" s="14"/>
      <c r="I256" s="14"/>
      <c r="J256" s="14"/>
      <c r="K256" s="14"/>
      <c r="L256" s="14"/>
    </row>
    <row r="257" spans="7:12" x14ac:dyDescent="0.2">
      <c r="G257" s="14"/>
      <c r="H257" s="14"/>
      <c r="I257" s="14"/>
      <c r="J257" s="14"/>
      <c r="K257" s="14"/>
      <c r="L257" s="14"/>
    </row>
    <row r="258" spans="7:12" x14ac:dyDescent="0.2">
      <c r="G258" s="14"/>
      <c r="H258" s="14"/>
      <c r="I258" s="14"/>
      <c r="J258" s="14"/>
      <c r="K258" s="14"/>
      <c r="L258" s="14"/>
    </row>
    <row r="259" spans="7:12" x14ac:dyDescent="0.2">
      <c r="G259" s="14"/>
      <c r="H259" s="14"/>
      <c r="I259" s="14"/>
      <c r="J259" s="14"/>
      <c r="K259" s="14"/>
      <c r="L259" s="14"/>
    </row>
    <row r="260" spans="7:12" x14ac:dyDescent="0.2">
      <c r="G260" s="14"/>
      <c r="H260" s="14"/>
      <c r="I260" s="14"/>
      <c r="J260" s="14"/>
      <c r="K260" s="14"/>
      <c r="L260" s="14"/>
    </row>
    <row r="261" spans="7:12" x14ac:dyDescent="0.2">
      <c r="G261" s="14"/>
      <c r="H261" s="14"/>
      <c r="I261" s="14"/>
      <c r="J261" s="14"/>
      <c r="K261" s="14"/>
      <c r="L261" s="14"/>
    </row>
    <row r="262" spans="7:12" x14ac:dyDescent="0.2">
      <c r="G262" s="14"/>
      <c r="H262" s="14"/>
      <c r="I262" s="14"/>
      <c r="J262" s="14"/>
      <c r="K262" s="14"/>
      <c r="L262" s="14"/>
    </row>
    <row r="263" spans="7:12" x14ac:dyDescent="0.2">
      <c r="G263" s="14"/>
      <c r="H263" s="14"/>
      <c r="I263" s="14"/>
      <c r="J263" s="14"/>
      <c r="K263" s="14"/>
      <c r="L263" s="14"/>
    </row>
    <row r="264" spans="7:12" x14ac:dyDescent="0.2">
      <c r="G264" s="14"/>
      <c r="H264" s="14"/>
      <c r="I264" s="14"/>
      <c r="J264" s="14"/>
      <c r="K264" s="14"/>
      <c r="L264" s="14"/>
    </row>
    <row r="265" spans="7:12" x14ac:dyDescent="0.2">
      <c r="G265" s="14"/>
      <c r="H265" s="14"/>
      <c r="I265" s="14"/>
      <c r="J265" s="14"/>
      <c r="K265" s="14"/>
      <c r="L265" s="14"/>
    </row>
    <row r="266" spans="7:12" x14ac:dyDescent="0.2">
      <c r="G266" s="14"/>
      <c r="H266" s="14"/>
      <c r="I266" s="14"/>
      <c r="J266" s="14"/>
      <c r="K266" s="14"/>
      <c r="L266" s="14"/>
    </row>
    <row r="267" spans="7:12" x14ac:dyDescent="0.2">
      <c r="G267" s="14"/>
      <c r="H267" s="14"/>
      <c r="I267" s="14"/>
      <c r="J267" s="14"/>
      <c r="K267" s="14"/>
      <c r="L267" s="14"/>
    </row>
    <row r="268" spans="7:12" x14ac:dyDescent="0.2">
      <c r="G268" s="14"/>
      <c r="H268" s="14"/>
      <c r="I268" s="14"/>
      <c r="J268" s="14"/>
      <c r="K268" s="14"/>
      <c r="L268" s="14"/>
    </row>
    <row r="269" spans="7:12" x14ac:dyDescent="0.2">
      <c r="G269" s="14"/>
      <c r="H269" s="14"/>
      <c r="I269" s="14"/>
      <c r="J269" s="14"/>
      <c r="K269" s="14"/>
      <c r="L269" s="14"/>
    </row>
    <row r="270" spans="7:12" x14ac:dyDescent="0.2">
      <c r="G270" s="14"/>
      <c r="H270" s="14"/>
      <c r="I270" s="14"/>
      <c r="J270" s="14"/>
      <c r="K270" s="14"/>
      <c r="L270" s="14"/>
    </row>
    <row r="271" spans="7:12" x14ac:dyDescent="0.2">
      <c r="G271" s="14"/>
      <c r="H271" s="14"/>
      <c r="I271" s="14"/>
      <c r="J271" s="14"/>
      <c r="K271" s="14"/>
      <c r="L271" s="14"/>
    </row>
    <row r="272" spans="7:12" x14ac:dyDescent="0.2">
      <c r="G272" s="14"/>
      <c r="H272" s="14"/>
      <c r="I272" s="14"/>
      <c r="J272" s="14"/>
      <c r="K272" s="14"/>
      <c r="L272" s="14"/>
    </row>
    <row r="273" spans="7:12" x14ac:dyDescent="0.2">
      <c r="G273" s="14"/>
      <c r="H273" s="14"/>
      <c r="I273" s="14"/>
      <c r="J273" s="14"/>
      <c r="K273" s="14"/>
      <c r="L273" s="14"/>
    </row>
    <row r="274" spans="7:12" x14ac:dyDescent="0.2">
      <c r="G274" s="14"/>
      <c r="H274" s="14"/>
      <c r="I274" s="14"/>
      <c r="J274" s="14"/>
      <c r="K274" s="14"/>
      <c r="L274" s="14"/>
    </row>
    <row r="275" spans="7:12" x14ac:dyDescent="0.2">
      <c r="G275" s="14"/>
      <c r="H275" s="14"/>
      <c r="I275" s="14"/>
      <c r="J275" s="14"/>
      <c r="K275" s="14"/>
      <c r="L275" s="14"/>
    </row>
    <row r="276" spans="7:12" x14ac:dyDescent="0.2">
      <c r="G276" s="14"/>
      <c r="H276" s="14"/>
      <c r="I276" s="14"/>
      <c r="J276" s="14"/>
      <c r="K276" s="14"/>
      <c r="L276" s="14"/>
    </row>
    <row r="277" spans="7:12" x14ac:dyDescent="0.2">
      <c r="G277" s="14"/>
      <c r="H277" s="14"/>
      <c r="I277" s="14"/>
      <c r="J277" s="14"/>
      <c r="K277" s="14"/>
      <c r="L277" s="14"/>
    </row>
    <row r="278" spans="7:12" x14ac:dyDescent="0.2">
      <c r="G278" s="14"/>
      <c r="H278" s="14"/>
      <c r="I278" s="14"/>
      <c r="J278" s="14"/>
      <c r="K278" s="14"/>
      <c r="L278" s="14"/>
    </row>
    <row r="279" spans="7:12" x14ac:dyDescent="0.2">
      <c r="G279" s="14"/>
      <c r="H279" s="14"/>
      <c r="I279" s="14"/>
      <c r="J279" s="14"/>
      <c r="K279" s="14"/>
      <c r="L279" s="14"/>
    </row>
    <row r="280" spans="7:12" x14ac:dyDescent="0.2">
      <c r="G280" s="14"/>
      <c r="H280" s="14"/>
      <c r="I280" s="14"/>
      <c r="J280" s="14"/>
      <c r="K280" s="14"/>
      <c r="L280" s="14"/>
    </row>
    <row r="281" spans="7:12" x14ac:dyDescent="0.2">
      <c r="G281" s="14"/>
      <c r="H281" s="14"/>
      <c r="I281" s="14"/>
      <c r="J281" s="14"/>
      <c r="K281" s="14"/>
      <c r="L281" s="14"/>
    </row>
    <row r="282" spans="7:12" x14ac:dyDescent="0.2">
      <c r="G282" s="14"/>
      <c r="H282" s="14"/>
      <c r="I282" s="14"/>
      <c r="J282" s="14"/>
      <c r="K282" s="14"/>
      <c r="L282" s="14"/>
    </row>
    <row r="283" spans="7:12" x14ac:dyDescent="0.2">
      <c r="G283" s="14"/>
      <c r="H283" s="14"/>
      <c r="I283" s="14"/>
      <c r="J283" s="14"/>
      <c r="K283" s="14"/>
      <c r="L283" s="14"/>
    </row>
    <row r="284" spans="7:12" x14ac:dyDescent="0.2">
      <c r="G284" s="14"/>
      <c r="H284" s="14"/>
      <c r="I284" s="14"/>
      <c r="J284" s="14"/>
      <c r="K284" s="14"/>
      <c r="L284" s="14"/>
    </row>
    <row r="285" spans="7:12" x14ac:dyDescent="0.2">
      <c r="G285" s="14"/>
      <c r="H285" s="14"/>
      <c r="I285" s="14"/>
      <c r="J285" s="14"/>
      <c r="K285" s="14"/>
      <c r="L285" s="14"/>
    </row>
    <row r="286" spans="7:12" x14ac:dyDescent="0.2">
      <c r="G286" s="14"/>
      <c r="H286" s="14"/>
      <c r="I286" s="14"/>
      <c r="J286" s="14"/>
      <c r="K286" s="14"/>
      <c r="L286" s="14"/>
    </row>
    <row r="287" spans="7:12" x14ac:dyDescent="0.2">
      <c r="G287" s="14"/>
      <c r="H287" s="14"/>
      <c r="I287" s="14"/>
      <c r="J287" s="14"/>
      <c r="K287" s="14"/>
      <c r="L287" s="14"/>
    </row>
    <row r="288" spans="7:12" x14ac:dyDescent="0.2">
      <c r="G288" s="14"/>
      <c r="H288" s="14"/>
      <c r="I288" s="14"/>
      <c r="J288" s="14"/>
      <c r="K288" s="14"/>
      <c r="L288" s="14"/>
    </row>
    <row r="289" spans="7:12" x14ac:dyDescent="0.2">
      <c r="G289" s="14"/>
      <c r="H289" s="14"/>
      <c r="I289" s="14"/>
      <c r="J289" s="14"/>
      <c r="K289" s="14"/>
      <c r="L289" s="14"/>
    </row>
    <row r="290" spans="7:12" x14ac:dyDescent="0.2">
      <c r="G290" s="14"/>
      <c r="H290" s="14"/>
      <c r="I290" s="14"/>
      <c r="J290" s="14"/>
      <c r="K290" s="14"/>
      <c r="L290" s="14"/>
    </row>
    <row r="291" spans="7:12" x14ac:dyDescent="0.2">
      <c r="G291" s="14"/>
      <c r="H291" s="14"/>
      <c r="I291" s="14"/>
      <c r="J291" s="14"/>
      <c r="K291" s="14"/>
      <c r="L291" s="14"/>
    </row>
    <row r="292" spans="7:12" x14ac:dyDescent="0.2">
      <c r="G292" s="14"/>
      <c r="H292" s="14"/>
      <c r="I292" s="14"/>
      <c r="J292" s="14"/>
      <c r="K292" s="14"/>
      <c r="L292" s="14"/>
    </row>
    <row r="293" spans="7:12" x14ac:dyDescent="0.2">
      <c r="G293" s="14"/>
      <c r="H293" s="14"/>
      <c r="I293" s="14"/>
      <c r="J293" s="14"/>
      <c r="K293" s="14"/>
      <c r="L293" s="14"/>
    </row>
    <row r="294" spans="7:12" x14ac:dyDescent="0.2">
      <c r="G294" s="14"/>
      <c r="H294" s="14"/>
      <c r="I294" s="14"/>
      <c r="J294" s="14"/>
      <c r="K294" s="14"/>
      <c r="L294" s="14"/>
    </row>
    <row r="295" spans="7:12" x14ac:dyDescent="0.2">
      <c r="G295" s="14"/>
      <c r="H295" s="14"/>
      <c r="I295" s="14"/>
      <c r="J295" s="14"/>
      <c r="K295" s="14"/>
      <c r="L295" s="14"/>
    </row>
    <row r="296" spans="7:12" x14ac:dyDescent="0.2">
      <c r="G296" s="14"/>
      <c r="H296" s="14"/>
      <c r="I296" s="14"/>
      <c r="J296" s="14"/>
      <c r="K296" s="14"/>
      <c r="L296" s="14"/>
    </row>
    <row r="297" spans="7:12" x14ac:dyDescent="0.2">
      <c r="G297" s="14"/>
      <c r="H297" s="14"/>
      <c r="I297" s="14"/>
      <c r="J297" s="14"/>
      <c r="K297" s="14"/>
      <c r="L297" s="14"/>
    </row>
    <row r="298" spans="7:12" x14ac:dyDescent="0.2">
      <c r="G298" s="14"/>
      <c r="H298" s="14"/>
      <c r="I298" s="14"/>
      <c r="J298" s="14"/>
      <c r="K298" s="14"/>
      <c r="L298" s="14"/>
    </row>
    <row r="299" spans="7:12" x14ac:dyDescent="0.2">
      <c r="G299" s="14"/>
      <c r="H299" s="14"/>
      <c r="I299" s="14"/>
      <c r="J299" s="14"/>
      <c r="K299" s="14"/>
      <c r="L299" s="14"/>
    </row>
    <row r="300" spans="7:12" x14ac:dyDescent="0.2">
      <c r="G300" s="14"/>
      <c r="H300" s="14"/>
      <c r="I300" s="14"/>
      <c r="J300" s="14"/>
      <c r="K300" s="14"/>
      <c r="L300" s="14"/>
    </row>
    <row r="301" spans="7:12" x14ac:dyDescent="0.2">
      <c r="G301" s="14"/>
      <c r="H301" s="14"/>
      <c r="I301" s="14"/>
      <c r="J301" s="14"/>
      <c r="K301" s="14"/>
      <c r="L301" s="14"/>
    </row>
    <row r="302" spans="7:12" x14ac:dyDescent="0.2">
      <c r="G302" s="14"/>
      <c r="H302" s="14"/>
      <c r="I302" s="14"/>
      <c r="J302" s="14"/>
      <c r="K302" s="14"/>
      <c r="L302" s="14"/>
    </row>
    <row r="303" spans="7:12" x14ac:dyDescent="0.2">
      <c r="G303" s="14"/>
      <c r="H303" s="14"/>
      <c r="I303" s="14"/>
      <c r="J303" s="14"/>
      <c r="K303" s="14"/>
      <c r="L303" s="14"/>
    </row>
    <row r="304" spans="7:12" x14ac:dyDescent="0.2">
      <c r="G304" s="14"/>
      <c r="H304" s="14"/>
      <c r="I304" s="14"/>
      <c r="J304" s="14"/>
      <c r="K304" s="14"/>
      <c r="L304" s="14"/>
    </row>
    <row r="305" spans="7:12" x14ac:dyDescent="0.2">
      <c r="G305" s="14"/>
      <c r="H305" s="14"/>
      <c r="I305" s="14"/>
      <c r="J305" s="14"/>
      <c r="K305" s="14"/>
      <c r="L305" s="14"/>
    </row>
    <row r="306" spans="7:12" x14ac:dyDescent="0.2">
      <c r="G306" s="14"/>
      <c r="H306" s="14"/>
      <c r="I306" s="14"/>
      <c r="J306" s="14"/>
      <c r="K306" s="14"/>
      <c r="L306" s="14"/>
    </row>
    <row r="307" spans="7:12" x14ac:dyDescent="0.2">
      <c r="G307" s="14"/>
      <c r="H307" s="14"/>
      <c r="I307" s="14"/>
      <c r="J307" s="14"/>
      <c r="K307" s="14"/>
      <c r="L307" s="14"/>
    </row>
    <row r="308" spans="7:12" x14ac:dyDescent="0.2">
      <c r="G308" s="14"/>
      <c r="H308" s="14"/>
      <c r="I308" s="14"/>
      <c r="J308" s="14"/>
      <c r="K308" s="14"/>
      <c r="L308" s="14"/>
    </row>
    <row r="309" spans="7:12" x14ac:dyDescent="0.2">
      <c r="G309" s="14"/>
      <c r="H309" s="14"/>
      <c r="I309" s="14"/>
      <c r="J309" s="14"/>
      <c r="K309" s="14"/>
      <c r="L309" s="14"/>
    </row>
    <row r="310" spans="7:12" x14ac:dyDescent="0.2">
      <c r="G310" s="14"/>
      <c r="H310" s="14"/>
      <c r="I310" s="14"/>
      <c r="J310" s="14"/>
      <c r="K310" s="14"/>
      <c r="L310" s="14"/>
    </row>
    <row r="311" spans="7:12" x14ac:dyDescent="0.2">
      <c r="G311" s="14"/>
      <c r="H311" s="14"/>
      <c r="I311" s="14"/>
      <c r="J311" s="14"/>
      <c r="K311" s="14"/>
      <c r="L311" s="14"/>
    </row>
    <row r="312" spans="7:12" x14ac:dyDescent="0.2">
      <c r="G312" s="14"/>
      <c r="H312" s="14"/>
      <c r="I312" s="14"/>
      <c r="J312" s="14"/>
      <c r="K312" s="14"/>
      <c r="L312" s="14"/>
    </row>
    <row r="313" spans="7:12" x14ac:dyDescent="0.2">
      <c r="G313" s="14"/>
      <c r="H313" s="14"/>
      <c r="I313" s="14"/>
      <c r="J313" s="14"/>
      <c r="K313" s="14"/>
      <c r="L313" s="14"/>
    </row>
    <row r="314" spans="7:12" x14ac:dyDescent="0.2">
      <c r="G314" s="14"/>
      <c r="H314" s="14"/>
      <c r="I314" s="14"/>
      <c r="J314" s="14"/>
      <c r="K314" s="14"/>
      <c r="L314" s="14"/>
    </row>
    <row r="315" spans="7:12" x14ac:dyDescent="0.2">
      <c r="G315" s="14"/>
      <c r="H315" s="14"/>
      <c r="I315" s="14"/>
      <c r="J315" s="14"/>
      <c r="K315" s="14"/>
      <c r="L315" s="14"/>
    </row>
    <row r="316" spans="7:12" x14ac:dyDescent="0.2">
      <c r="G316" s="14"/>
      <c r="H316" s="14"/>
      <c r="I316" s="14"/>
      <c r="J316" s="14"/>
      <c r="K316" s="14"/>
      <c r="L316" s="14"/>
    </row>
    <row r="317" spans="7:12" x14ac:dyDescent="0.2">
      <c r="G317" s="14"/>
      <c r="H317" s="14"/>
      <c r="I317" s="14"/>
      <c r="J317" s="14"/>
      <c r="K317" s="14"/>
      <c r="L317" s="14"/>
    </row>
    <row r="318" spans="7:12" x14ac:dyDescent="0.2">
      <c r="G318" s="14"/>
      <c r="H318" s="14"/>
      <c r="I318" s="14"/>
      <c r="J318" s="14"/>
      <c r="K318" s="14"/>
      <c r="L318" s="14"/>
    </row>
    <row r="319" spans="7:12" x14ac:dyDescent="0.2">
      <c r="G319" s="14"/>
      <c r="H319" s="14"/>
      <c r="I319" s="14"/>
      <c r="J319" s="14"/>
      <c r="K319" s="14"/>
      <c r="L319" s="14"/>
    </row>
    <row r="320" spans="7:12" x14ac:dyDescent="0.2">
      <c r="G320" s="14"/>
      <c r="H320" s="14"/>
      <c r="I320" s="14"/>
      <c r="J320" s="14"/>
      <c r="K320" s="14"/>
      <c r="L320" s="14"/>
    </row>
    <row r="321" spans="7:12" x14ac:dyDescent="0.2">
      <c r="G321" s="14"/>
      <c r="H321" s="14"/>
      <c r="I321" s="14"/>
      <c r="J321" s="14"/>
      <c r="K321" s="14"/>
      <c r="L321" s="14"/>
    </row>
    <row r="322" spans="7:12" x14ac:dyDescent="0.2">
      <c r="G322" s="14"/>
      <c r="H322" s="14"/>
      <c r="I322" s="14"/>
      <c r="J322" s="14"/>
      <c r="K322" s="14"/>
      <c r="L322" s="14"/>
    </row>
    <row r="323" spans="7:12" x14ac:dyDescent="0.2">
      <c r="G323" s="14"/>
      <c r="H323" s="14"/>
      <c r="I323" s="14"/>
      <c r="J323" s="14"/>
      <c r="K323" s="14"/>
      <c r="L323" s="14"/>
    </row>
    <row r="324" spans="7:12" x14ac:dyDescent="0.2">
      <c r="G324" s="14"/>
      <c r="H324" s="14"/>
      <c r="I324" s="14"/>
      <c r="J324" s="14"/>
      <c r="K324" s="14"/>
      <c r="L324" s="14"/>
    </row>
    <row r="325" spans="7:12" x14ac:dyDescent="0.2">
      <c r="G325" s="14"/>
      <c r="H325" s="14"/>
      <c r="I325" s="14"/>
      <c r="J325" s="14"/>
      <c r="K325" s="14"/>
      <c r="L325" s="14"/>
    </row>
    <row r="326" spans="7:12" x14ac:dyDescent="0.2">
      <c r="G326" s="14"/>
      <c r="H326" s="14"/>
      <c r="I326" s="14"/>
      <c r="J326" s="14"/>
      <c r="K326" s="14"/>
      <c r="L326" s="14"/>
    </row>
    <row r="327" spans="7:12" x14ac:dyDescent="0.2">
      <c r="G327" s="14"/>
      <c r="H327" s="14"/>
      <c r="I327" s="14"/>
      <c r="J327" s="14"/>
      <c r="K327" s="14"/>
      <c r="L327" s="14"/>
    </row>
    <row r="328" spans="7:12" x14ac:dyDescent="0.2">
      <c r="G328" s="14"/>
      <c r="H328" s="14"/>
      <c r="I328" s="14"/>
      <c r="J328" s="14"/>
      <c r="K328" s="14"/>
      <c r="L328" s="14"/>
    </row>
    <row r="329" spans="7:12" x14ac:dyDescent="0.2">
      <c r="G329" s="14"/>
      <c r="H329" s="14"/>
      <c r="I329" s="14"/>
      <c r="J329" s="14"/>
      <c r="K329" s="14"/>
      <c r="L329" s="14"/>
    </row>
    <row r="330" spans="7:12" x14ac:dyDescent="0.2">
      <c r="G330" s="14"/>
      <c r="H330" s="14"/>
      <c r="I330" s="14"/>
      <c r="J330" s="14"/>
      <c r="K330" s="14"/>
      <c r="L330" s="14"/>
    </row>
    <row r="331" spans="7:12" x14ac:dyDescent="0.2">
      <c r="G331" s="14"/>
      <c r="H331" s="14"/>
      <c r="I331" s="14"/>
      <c r="J331" s="14"/>
      <c r="K331" s="14"/>
      <c r="L331" s="14"/>
    </row>
    <row r="332" spans="7:12" x14ac:dyDescent="0.2">
      <c r="G332" s="14"/>
      <c r="H332" s="14"/>
      <c r="I332" s="14"/>
      <c r="J332" s="14"/>
      <c r="K332" s="14"/>
      <c r="L332" s="14"/>
    </row>
    <row r="333" spans="7:12" x14ac:dyDescent="0.2">
      <c r="G333" s="14"/>
      <c r="H333" s="14"/>
      <c r="I333" s="14"/>
      <c r="J333" s="14"/>
      <c r="K333" s="14"/>
      <c r="L333" s="14"/>
    </row>
    <row r="334" spans="7:12" x14ac:dyDescent="0.2">
      <c r="G334" s="14"/>
      <c r="H334" s="14"/>
      <c r="I334" s="14"/>
      <c r="J334" s="14"/>
      <c r="K334" s="14"/>
      <c r="L334" s="14"/>
    </row>
    <row r="335" spans="7:12" x14ac:dyDescent="0.2">
      <c r="G335" s="14"/>
      <c r="H335" s="14"/>
      <c r="I335" s="14"/>
      <c r="J335" s="14"/>
      <c r="K335" s="14"/>
      <c r="L335" s="14"/>
    </row>
    <row r="336" spans="7:12" x14ac:dyDescent="0.2">
      <c r="G336" s="14"/>
      <c r="H336" s="14"/>
      <c r="I336" s="14"/>
      <c r="J336" s="14"/>
      <c r="K336" s="14"/>
      <c r="L336" s="14"/>
    </row>
    <row r="337" spans="7:12" x14ac:dyDescent="0.2">
      <c r="G337" s="14"/>
      <c r="H337" s="14"/>
      <c r="I337" s="14"/>
      <c r="J337" s="14"/>
      <c r="K337" s="14"/>
      <c r="L337" s="14"/>
    </row>
    <row r="338" spans="7:12" x14ac:dyDescent="0.2">
      <c r="G338" s="14"/>
      <c r="H338" s="14"/>
      <c r="I338" s="14"/>
      <c r="J338" s="14"/>
      <c r="K338" s="14"/>
      <c r="L338" s="14"/>
    </row>
    <row r="339" spans="7:12" x14ac:dyDescent="0.2">
      <c r="G339" s="14"/>
      <c r="H339" s="14"/>
      <c r="I339" s="14"/>
      <c r="J339" s="14"/>
      <c r="K339" s="14"/>
      <c r="L339" s="14"/>
    </row>
    <row r="340" spans="7:12" x14ac:dyDescent="0.2">
      <c r="G340" s="14"/>
      <c r="H340" s="14"/>
      <c r="I340" s="14"/>
      <c r="J340" s="14"/>
      <c r="K340" s="14"/>
      <c r="L340" s="14"/>
    </row>
    <row r="341" spans="7:12" x14ac:dyDescent="0.2">
      <c r="G341" s="14"/>
      <c r="H341" s="14"/>
      <c r="I341" s="14"/>
      <c r="J341" s="14"/>
      <c r="K341" s="14"/>
      <c r="L341" s="14"/>
    </row>
    <row r="342" spans="7:12" x14ac:dyDescent="0.2">
      <c r="G342" s="14"/>
      <c r="H342" s="14"/>
      <c r="I342" s="14"/>
      <c r="J342" s="14"/>
      <c r="K342" s="14"/>
      <c r="L342" s="14"/>
    </row>
    <row r="343" spans="7:12" x14ac:dyDescent="0.2">
      <c r="G343" s="14"/>
      <c r="H343" s="14"/>
      <c r="I343" s="14"/>
      <c r="J343" s="14"/>
      <c r="K343" s="14"/>
      <c r="L343" s="14"/>
    </row>
    <row r="344" spans="7:12" x14ac:dyDescent="0.2">
      <c r="G344" s="14"/>
      <c r="H344" s="14"/>
      <c r="I344" s="14"/>
      <c r="J344" s="14"/>
      <c r="K344" s="14"/>
      <c r="L344" s="14"/>
    </row>
    <row r="345" spans="7:12" x14ac:dyDescent="0.2">
      <c r="G345" s="14"/>
      <c r="H345" s="14"/>
      <c r="I345" s="14"/>
      <c r="J345" s="14"/>
      <c r="K345" s="14"/>
      <c r="L345" s="14"/>
    </row>
    <row r="346" spans="7:12" x14ac:dyDescent="0.2">
      <c r="G346" s="14"/>
      <c r="H346" s="14"/>
      <c r="I346" s="14"/>
      <c r="J346" s="14"/>
      <c r="K346" s="14"/>
      <c r="L346" s="14"/>
    </row>
    <row r="347" spans="7:12" x14ac:dyDescent="0.2">
      <c r="G347" s="14"/>
      <c r="H347" s="14"/>
      <c r="I347" s="14"/>
      <c r="J347" s="14"/>
      <c r="K347" s="14"/>
      <c r="L347" s="14"/>
    </row>
    <row r="348" spans="7:12" x14ac:dyDescent="0.2">
      <c r="G348" s="14"/>
      <c r="H348" s="14"/>
      <c r="I348" s="14"/>
      <c r="J348" s="14"/>
      <c r="K348" s="14"/>
      <c r="L348" s="14"/>
    </row>
    <row r="349" spans="7:12" x14ac:dyDescent="0.2">
      <c r="G349" s="14"/>
      <c r="H349" s="14"/>
      <c r="I349" s="14"/>
      <c r="J349" s="14"/>
      <c r="K349" s="14"/>
      <c r="L349" s="14"/>
    </row>
    <row r="350" spans="7:12" x14ac:dyDescent="0.2">
      <c r="G350" s="14"/>
      <c r="H350" s="14"/>
      <c r="I350" s="14"/>
      <c r="J350" s="14"/>
      <c r="K350" s="14"/>
      <c r="L350" s="14"/>
    </row>
    <row r="351" spans="7:12" x14ac:dyDescent="0.2">
      <c r="G351" s="14"/>
      <c r="H351" s="14"/>
      <c r="I351" s="14"/>
      <c r="J351" s="14"/>
      <c r="K351" s="14"/>
      <c r="L351" s="14"/>
    </row>
    <row r="352" spans="7:12" x14ac:dyDescent="0.2">
      <c r="G352" s="14"/>
      <c r="H352" s="14"/>
      <c r="I352" s="14"/>
      <c r="J352" s="14"/>
      <c r="K352" s="14"/>
      <c r="L352" s="14"/>
    </row>
    <row r="353" spans="7:12" x14ac:dyDescent="0.2">
      <c r="G353" s="14"/>
      <c r="H353" s="14"/>
      <c r="I353" s="14"/>
      <c r="J353" s="14"/>
      <c r="K353" s="14"/>
      <c r="L353" s="14"/>
    </row>
    <row r="354" spans="7:12" x14ac:dyDescent="0.2">
      <c r="G354" s="14"/>
      <c r="H354" s="14"/>
      <c r="I354" s="14"/>
      <c r="J354" s="14"/>
      <c r="K354" s="14"/>
      <c r="L354" s="14"/>
    </row>
    <row r="355" spans="7:12" x14ac:dyDescent="0.2">
      <c r="G355" s="14"/>
      <c r="H355" s="14"/>
      <c r="I355" s="14"/>
      <c r="J355" s="14"/>
      <c r="K355" s="14"/>
      <c r="L355" s="14"/>
    </row>
    <row r="356" spans="7:12" x14ac:dyDescent="0.2">
      <c r="G356" s="14"/>
      <c r="H356" s="14"/>
      <c r="I356" s="14"/>
      <c r="J356" s="14"/>
      <c r="K356" s="14"/>
      <c r="L356" s="14"/>
    </row>
    <row r="357" spans="7:12" x14ac:dyDescent="0.2">
      <c r="G357" s="14"/>
      <c r="H357" s="14"/>
      <c r="I357" s="14"/>
      <c r="J357" s="14"/>
      <c r="K357" s="14"/>
      <c r="L357" s="14"/>
    </row>
    <row r="358" spans="7:12" x14ac:dyDescent="0.2">
      <c r="G358" s="14"/>
      <c r="H358" s="14"/>
      <c r="I358" s="14"/>
      <c r="J358" s="14"/>
      <c r="K358" s="14"/>
      <c r="L358" s="14"/>
    </row>
    <row r="359" spans="7:12" x14ac:dyDescent="0.2">
      <c r="G359" s="14"/>
      <c r="H359" s="14"/>
      <c r="I359" s="14"/>
      <c r="J359" s="14"/>
      <c r="K359" s="14"/>
      <c r="L359" s="14"/>
    </row>
    <row r="360" spans="7:12" x14ac:dyDescent="0.2">
      <c r="G360" s="14"/>
      <c r="H360" s="14"/>
      <c r="I360" s="14"/>
      <c r="J360" s="14"/>
      <c r="K360" s="14"/>
      <c r="L360" s="14"/>
    </row>
    <row r="361" spans="7:12" x14ac:dyDescent="0.2">
      <c r="G361" s="14"/>
      <c r="H361" s="14"/>
      <c r="I361" s="14"/>
      <c r="J361" s="14"/>
      <c r="K361" s="14"/>
      <c r="L361" s="14"/>
    </row>
    <row r="362" spans="7:12" x14ac:dyDescent="0.2">
      <c r="G362" s="14"/>
      <c r="H362" s="14"/>
      <c r="I362" s="14"/>
      <c r="J362" s="14"/>
      <c r="K362" s="14"/>
      <c r="L362" s="14"/>
    </row>
    <row r="363" spans="7:12" x14ac:dyDescent="0.2">
      <c r="G363" s="14"/>
      <c r="H363" s="14"/>
      <c r="I363" s="14"/>
      <c r="J363" s="14"/>
      <c r="K363" s="14"/>
      <c r="L363" s="14"/>
    </row>
    <row r="364" spans="7:12" x14ac:dyDescent="0.2">
      <c r="G364" s="14"/>
      <c r="H364" s="14"/>
      <c r="I364" s="14"/>
      <c r="J364" s="14"/>
      <c r="K364" s="14"/>
      <c r="L364" s="14"/>
    </row>
    <row r="365" spans="7:12" x14ac:dyDescent="0.2">
      <c r="G365" s="14"/>
      <c r="H365" s="14"/>
      <c r="I365" s="14"/>
      <c r="J365" s="14"/>
      <c r="K365" s="14"/>
      <c r="L365" s="14"/>
    </row>
    <row r="366" spans="7:12" x14ac:dyDescent="0.2">
      <c r="G366" s="14"/>
      <c r="H366" s="14"/>
      <c r="I366" s="14"/>
      <c r="J366" s="14"/>
      <c r="K366" s="14"/>
      <c r="L366" s="14"/>
    </row>
    <row r="367" spans="7:12" x14ac:dyDescent="0.2">
      <c r="G367" s="14"/>
      <c r="H367" s="14"/>
      <c r="I367" s="14"/>
      <c r="J367" s="14"/>
      <c r="K367" s="14"/>
      <c r="L367" s="14"/>
    </row>
    <row r="368" spans="7:12" x14ac:dyDescent="0.2">
      <c r="G368" s="14"/>
      <c r="H368" s="14"/>
      <c r="I368" s="14"/>
      <c r="J368" s="14"/>
      <c r="K368" s="14"/>
      <c r="L368" s="14"/>
    </row>
    <row r="369" spans="7:12" x14ac:dyDescent="0.2">
      <c r="G369" s="14"/>
      <c r="H369" s="14"/>
      <c r="I369" s="14"/>
      <c r="J369" s="14"/>
      <c r="K369" s="14"/>
      <c r="L369" s="14"/>
    </row>
    <row r="370" spans="7:12" x14ac:dyDescent="0.2">
      <c r="G370" s="14"/>
      <c r="H370" s="14"/>
      <c r="I370" s="14"/>
      <c r="J370" s="14"/>
      <c r="K370" s="14"/>
      <c r="L370" s="14"/>
    </row>
    <row r="371" spans="7:12" x14ac:dyDescent="0.2">
      <c r="G371" s="14"/>
      <c r="H371" s="14"/>
      <c r="I371" s="14"/>
      <c r="J371" s="14"/>
      <c r="K371" s="14"/>
      <c r="L371" s="14"/>
    </row>
    <row r="372" spans="7:12" x14ac:dyDescent="0.2">
      <c r="G372" s="14"/>
      <c r="H372" s="14"/>
      <c r="I372" s="14"/>
      <c r="J372" s="14"/>
      <c r="K372" s="14"/>
      <c r="L372" s="14"/>
    </row>
    <row r="373" spans="7:12" x14ac:dyDescent="0.2">
      <c r="G373" s="14"/>
      <c r="H373" s="14"/>
      <c r="I373" s="14"/>
      <c r="J373" s="14"/>
      <c r="K373" s="14"/>
      <c r="L373" s="14"/>
    </row>
    <row r="374" spans="7:12" x14ac:dyDescent="0.2">
      <c r="G374" s="14"/>
      <c r="H374" s="14"/>
      <c r="I374" s="14"/>
      <c r="J374" s="14"/>
      <c r="K374" s="14"/>
      <c r="L374" s="14"/>
    </row>
    <row r="375" spans="7:12" x14ac:dyDescent="0.2">
      <c r="G375" s="14"/>
      <c r="H375" s="14"/>
      <c r="I375" s="14"/>
      <c r="J375" s="14"/>
      <c r="K375" s="14"/>
      <c r="L375" s="14"/>
    </row>
    <row r="376" spans="7:12" x14ac:dyDescent="0.2">
      <c r="G376" s="14"/>
      <c r="H376" s="14"/>
      <c r="I376" s="14"/>
      <c r="J376" s="14"/>
      <c r="K376" s="14"/>
      <c r="L376" s="14"/>
    </row>
    <row r="377" spans="7:12" x14ac:dyDescent="0.2">
      <c r="G377" s="14"/>
      <c r="H377" s="14"/>
      <c r="I377" s="14"/>
      <c r="J377" s="14"/>
      <c r="K377" s="14"/>
      <c r="L377" s="14"/>
    </row>
    <row r="378" spans="7:12" x14ac:dyDescent="0.2">
      <c r="G378" s="14"/>
      <c r="H378" s="14"/>
      <c r="I378" s="14"/>
      <c r="J378" s="14"/>
      <c r="K378" s="14"/>
      <c r="L378" s="14"/>
    </row>
    <row r="379" spans="7:12" x14ac:dyDescent="0.2">
      <c r="G379" s="14"/>
      <c r="H379" s="14"/>
      <c r="I379" s="14"/>
      <c r="J379" s="14"/>
      <c r="K379" s="14"/>
      <c r="L379" s="14"/>
    </row>
    <row r="380" spans="7:12" x14ac:dyDescent="0.2">
      <c r="G380" s="14"/>
      <c r="H380" s="14"/>
      <c r="I380" s="14"/>
      <c r="J380" s="14"/>
      <c r="K380" s="14"/>
      <c r="L380" s="14"/>
    </row>
    <row r="381" spans="7:12" x14ac:dyDescent="0.2">
      <c r="G381" s="14"/>
      <c r="H381" s="14"/>
      <c r="I381" s="14"/>
      <c r="J381" s="14"/>
      <c r="K381" s="14"/>
      <c r="L381" s="14"/>
    </row>
    <row r="382" spans="7:12" x14ac:dyDescent="0.2">
      <c r="G382" s="14"/>
      <c r="H382" s="14"/>
      <c r="I382" s="14"/>
      <c r="J382" s="14"/>
      <c r="K382" s="14"/>
      <c r="L382" s="14"/>
    </row>
    <row r="383" spans="7:12" x14ac:dyDescent="0.2">
      <c r="G383" s="14"/>
      <c r="H383" s="14"/>
      <c r="I383" s="14"/>
      <c r="J383" s="14"/>
      <c r="K383" s="14"/>
      <c r="L383" s="14"/>
    </row>
    <row r="384" spans="7:12" x14ac:dyDescent="0.2">
      <c r="G384" s="14"/>
      <c r="H384" s="14"/>
      <c r="I384" s="14"/>
      <c r="J384" s="14"/>
      <c r="K384" s="14"/>
      <c r="L384" s="14"/>
    </row>
    <row r="385" spans="7:12" x14ac:dyDescent="0.2">
      <c r="G385" s="14"/>
      <c r="H385" s="14"/>
      <c r="I385" s="14"/>
      <c r="J385" s="14"/>
      <c r="K385" s="14"/>
      <c r="L385" s="14"/>
    </row>
    <row r="386" spans="7:12" x14ac:dyDescent="0.2">
      <c r="G386" s="14"/>
      <c r="H386" s="14"/>
      <c r="I386" s="14"/>
      <c r="J386" s="14"/>
      <c r="K386" s="14"/>
      <c r="L386" s="14"/>
    </row>
    <row r="387" spans="7:12" x14ac:dyDescent="0.2">
      <c r="G387" s="14"/>
      <c r="H387" s="14"/>
      <c r="I387" s="14"/>
      <c r="J387" s="14"/>
      <c r="K387" s="14"/>
      <c r="L387" s="14"/>
    </row>
    <row r="388" spans="7:12" x14ac:dyDescent="0.2">
      <c r="G388" s="14"/>
      <c r="H388" s="14"/>
      <c r="I388" s="14"/>
      <c r="J388" s="14"/>
      <c r="K388" s="14"/>
      <c r="L388" s="14"/>
    </row>
    <row r="389" spans="7:12" x14ac:dyDescent="0.2">
      <c r="G389" s="14"/>
      <c r="H389" s="14"/>
      <c r="I389" s="14"/>
      <c r="J389" s="14"/>
      <c r="K389" s="14"/>
      <c r="L389" s="14"/>
    </row>
    <row r="390" spans="7:12" x14ac:dyDescent="0.2">
      <c r="G390" s="14"/>
      <c r="H390" s="14"/>
      <c r="I390" s="14"/>
      <c r="J390" s="14"/>
      <c r="K390" s="14"/>
      <c r="L390" s="14"/>
    </row>
    <row r="391" spans="7:12" x14ac:dyDescent="0.2">
      <c r="G391" s="14"/>
      <c r="H391" s="14"/>
      <c r="I391" s="14"/>
      <c r="J391" s="14"/>
      <c r="K391" s="14"/>
      <c r="L391" s="14"/>
    </row>
    <row r="392" spans="7:12" x14ac:dyDescent="0.2">
      <c r="G392" s="14"/>
      <c r="H392" s="14"/>
      <c r="I392" s="14"/>
      <c r="J392" s="14"/>
      <c r="K392" s="14"/>
      <c r="L392" s="14"/>
    </row>
    <row r="393" spans="7:12" x14ac:dyDescent="0.2">
      <c r="G393" s="14"/>
      <c r="H393" s="14"/>
      <c r="I393" s="14"/>
      <c r="J393" s="14"/>
      <c r="K393" s="14"/>
      <c r="L393" s="14"/>
    </row>
    <row r="394" spans="7:12" x14ac:dyDescent="0.2">
      <c r="G394" s="14"/>
      <c r="H394" s="14"/>
      <c r="I394" s="14"/>
      <c r="J394" s="14"/>
      <c r="K394" s="14"/>
      <c r="L394" s="14"/>
    </row>
    <row r="395" spans="7:12" x14ac:dyDescent="0.2">
      <c r="G395" s="14"/>
      <c r="H395" s="14"/>
      <c r="I395" s="14"/>
      <c r="J395" s="14"/>
      <c r="K395" s="14"/>
      <c r="L395" s="14"/>
    </row>
    <row r="396" spans="7:12" x14ac:dyDescent="0.2">
      <c r="G396" s="14"/>
      <c r="H396" s="14"/>
      <c r="I396" s="14"/>
      <c r="J396" s="14"/>
      <c r="K396" s="14"/>
      <c r="L396" s="14"/>
    </row>
    <row r="397" spans="7:12" x14ac:dyDescent="0.2">
      <c r="G397" s="14"/>
      <c r="H397" s="14"/>
      <c r="I397" s="14"/>
      <c r="J397" s="14"/>
      <c r="K397" s="14"/>
      <c r="L397" s="14"/>
    </row>
    <row r="398" spans="7:12" x14ac:dyDescent="0.2">
      <c r="G398" s="14"/>
      <c r="H398" s="14"/>
      <c r="I398" s="14"/>
      <c r="J398" s="14"/>
      <c r="K398" s="14"/>
      <c r="L398" s="14"/>
    </row>
    <row r="399" spans="7:12" x14ac:dyDescent="0.2">
      <c r="G399" s="14"/>
      <c r="H399" s="14"/>
      <c r="I399" s="14"/>
      <c r="J399" s="14"/>
      <c r="K399" s="14"/>
      <c r="L399" s="14"/>
    </row>
    <row r="400" spans="7:12" x14ac:dyDescent="0.2">
      <c r="G400" s="14"/>
      <c r="H400" s="14"/>
      <c r="I400" s="14"/>
      <c r="J400" s="14"/>
      <c r="K400" s="14"/>
      <c r="L400" s="14"/>
    </row>
    <row r="401" spans="7:12" x14ac:dyDescent="0.2">
      <c r="G401" s="14"/>
      <c r="H401" s="14"/>
      <c r="I401" s="14"/>
      <c r="J401" s="14"/>
      <c r="K401" s="14"/>
      <c r="L401" s="14"/>
    </row>
    <row r="402" spans="7:12" x14ac:dyDescent="0.2">
      <c r="G402" s="14"/>
      <c r="H402" s="14"/>
      <c r="I402" s="14"/>
      <c r="J402" s="14"/>
      <c r="K402" s="14"/>
      <c r="L402" s="14"/>
    </row>
    <row r="403" spans="7:12" x14ac:dyDescent="0.2">
      <c r="G403" s="14"/>
      <c r="H403" s="14"/>
      <c r="I403" s="14"/>
      <c r="J403" s="14"/>
      <c r="K403" s="14"/>
      <c r="L403" s="14"/>
    </row>
    <row r="404" spans="7:12" x14ac:dyDescent="0.2">
      <c r="G404" s="14"/>
      <c r="H404" s="14"/>
      <c r="I404" s="14"/>
      <c r="J404" s="14"/>
      <c r="K404" s="14"/>
      <c r="L404" s="14"/>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J347"/>
  <sheetViews>
    <sheetView zoomScale="86" workbookViewId="0">
      <selection activeCell="H48" sqref="H48"/>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3890</v>
      </c>
      <c r="G1" s="17" t="s">
        <v>3877</v>
      </c>
      <c r="H1" s="17" t="s">
        <v>3878</v>
      </c>
      <c r="I1" s="17" t="s">
        <v>3879</v>
      </c>
      <c r="J1" s="17" t="s">
        <v>3880</v>
      </c>
    </row>
    <row r="2" spans="1:10" x14ac:dyDescent="0.2">
      <c r="A2" t="s">
        <v>3881</v>
      </c>
      <c r="B2" t="s">
        <v>4903</v>
      </c>
      <c r="C2" t="s">
        <v>16</v>
      </c>
      <c r="D2" t="s">
        <v>3883</v>
      </c>
      <c r="E2" t="s">
        <v>4706</v>
      </c>
    </row>
    <row r="3" spans="1:10" x14ac:dyDescent="0.2">
      <c r="A3" t="s">
        <v>3881</v>
      </c>
      <c r="B3" t="s">
        <v>4903</v>
      </c>
      <c r="C3" t="s">
        <v>68</v>
      </c>
      <c r="D3" t="s">
        <v>4707</v>
      </c>
      <c r="E3">
        <v>59</v>
      </c>
    </row>
    <row r="4" spans="1:10" x14ac:dyDescent="0.2">
      <c r="A4" t="s">
        <v>3881</v>
      </c>
      <c r="B4" t="s">
        <v>4903</v>
      </c>
      <c r="C4" t="s">
        <v>84</v>
      </c>
      <c r="D4" t="s">
        <v>4708</v>
      </c>
      <c r="E4" t="s">
        <v>4706</v>
      </c>
    </row>
    <row r="5" spans="1:10" x14ac:dyDescent="0.2">
      <c r="A5" t="s">
        <v>3881</v>
      </c>
      <c r="B5" t="s">
        <v>4903</v>
      </c>
      <c r="C5" t="s">
        <v>164</v>
      </c>
      <c r="D5" t="s">
        <v>4709</v>
      </c>
      <c r="E5">
        <v>60</v>
      </c>
    </row>
    <row r="6" spans="1:10" x14ac:dyDescent="0.2">
      <c r="A6" t="s">
        <v>3881</v>
      </c>
      <c r="B6" t="s">
        <v>4903</v>
      </c>
      <c r="C6" t="s">
        <v>241</v>
      </c>
      <c r="D6" t="s">
        <v>4710</v>
      </c>
      <c r="E6" t="s">
        <v>4711</v>
      </c>
    </row>
    <row r="7" spans="1:10" x14ac:dyDescent="0.2">
      <c r="A7" t="s">
        <v>3881</v>
      </c>
      <c r="B7" t="s">
        <v>4903</v>
      </c>
      <c r="C7" t="s">
        <v>339</v>
      </c>
      <c r="D7" t="s">
        <v>4712</v>
      </c>
    </row>
    <row r="8" spans="1:10" x14ac:dyDescent="0.2">
      <c r="A8" t="s">
        <v>3881</v>
      </c>
      <c r="B8" t="s">
        <v>4905</v>
      </c>
      <c r="C8" t="s">
        <v>560</v>
      </c>
      <c r="D8" t="s">
        <v>4713</v>
      </c>
      <c r="E8" t="s">
        <v>4714</v>
      </c>
    </row>
    <row r="9" spans="1:10" x14ac:dyDescent="0.2">
      <c r="A9" t="s">
        <v>3881</v>
      </c>
      <c r="B9" t="s">
        <v>4905</v>
      </c>
      <c r="C9" t="s">
        <v>588</v>
      </c>
      <c r="D9" t="s">
        <v>4715</v>
      </c>
      <c r="E9" t="s">
        <v>4716</v>
      </c>
    </row>
    <row r="10" spans="1:10" x14ac:dyDescent="0.2">
      <c r="A10" t="s">
        <v>3881</v>
      </c>
      <c r="B10" t="s">
        <v>4905</v>
      </c>
      <c r="C10" t="s">
        <v>629</v>
      </c>
      <c r="D10" t="s">
        <v>4717</v>
      </c>
      <c r="E10" t="s">
        <v>4718</v>
      </c>
    </row>
    <row r="11" spans="1:10" x14ac:dyDescent="0.2">
      <c r="A11" t="s">
        <v>3881</v>
      </c>
      <c r="B11" t="s">
        <v>4905</v>
      </c>
      <c r="C11" t="s">
        <v>657</v>
      </c>
      <c r="D11" t="s">
        <v>3887</v>
      </c>
      <c r="E11" t="s">
        <v>4719</v>
      </c>
    </row>
    <row r="12" spans="1:10" x14ac:dyDescent="0.2">
      <c r="A12" t="s">
        <v>3881</v>
      </c>
      <c r="B12" t="s">
        <v>4910</v>
      </c>
      <c r="C12" t="s">
        <v>904</v>
      </c>
      <c r="D12" t="s">
        <v>4720</v>
      </c>
      <c r="E12" t="s">
        <v>4721</v>
      </c>
    </row>
    <row r="13" spans="1:10" x14ac:dyDescent="0.2">
      <c r="A13" t="s">
        <v>3881</v>
      </c>
      <c r="B13" t="s">
        <v>4910</v>
      </c>
      <c r="C13" t="s">
        <v>936</v>
      </c>
      <c r="D13" t="s">
        <v>4722</v>
      </c>
      <c r="E13" t="s">
        <v>4723</v>
      </c>
    </row>
    <row r="14" spans="1:10" x14ac:dyDescent="0.2">
      <c r="A14" t="s">
        <v>3881</v>
      </c>
      <c r="B14" t="s">
        <v>4910</v>
      </c>
      <c r="C14" t="s">
        <v>951</v>
      </c>
      <c r="D14" t="s">
        <v>4724</v>
      </c>
      <c r="E14">
        <v>92</v>
      </c>
    </row>
    <row r="15" spans="1:10" x14ac:dyDescent="0.2">
      <c r="A15" t="s">
        <v>3881</v>
      </c>
      <c r="B15" t="s">
        <v>4910</v>
      </c>
      <c r="C15" t="s">
        <v>967</v>
      </c>
      <c r="D15" t="s">
        <v>4725</v>
      </c>
      <c r="E15" t="s">
        <v>4726</v>
      </c>
    </row>
    <row r="16" spans="1:10" x14ac:dyDescent="0.2">
      <c r="A16" t="s">
        <v>3881</v>
      </c>
      <c r="B16" t="s">
        <v>4910</v>
      </c>
      <c r="C16" t="s">
        <v>995</v>
      </c>
      <c r="D16" t="s">
        <v>4727</v>
      </c>
      <c r="E16" t="s">
        <v>4728</v>
      </c>
    </row>
    <row r="17" spans="1:5" x14ac:dyDescent="0.2">
      <c r="A17" t="s">
        <v>3881</v>
      </c>
      <c r="B17" t="s">
        <v>4908</v>
      </c>
      <c r="C17" t="s">
        <v>1209</v>
      </c>
      <c r="D17" t="s">
        <v>4729</v>
      </c>
      <c r="E17">
        <v>143</v>
      </c>
    </row>
    <row r="18" spans="1:5" x14ac:dyDescent="0.2">
      <c r="A18" t="s">
        <v>3881</v>
      </c>
      <c r="B18" t="s">
        <v>4908</v>
      </c>
      <c r="C18" t="s">
        <v>1315</v>
      </c>
      <c r="D18" t="s">
        <v>4730</v>
      </c>
      <c r="E18" t="s">
        <v>4731</v>
      </c>
    </row>
    <row r="19" spans="1:5" x14ac:dyDescent="0.2">
      <c r="A19" t="s">
        <v>3881</v>
      </c>
      <c r="B19" t="s">
        <v>4908</v>
      </c>
      <c r="C19" t="s">
        <v>1337</v>
      </c>
      <c r="D19" t="s">
        <v>4732</v>
      </c>
      <c r="E19">
        <v>145</v>
      </c>
    </row>
    <row r="20" spans="1:5" x14ac:dyDescent="0.2">
      <c r="A20" t="s">
        <v>3881</v>
      </c>
      <c r="B20" t="s">
        <v>4908</v>
      </c>
      <c r="C20" t="s">
        <v>1344</v>
      </c>
      <c r="D20" t="s">
        <v>4733</v>
      </c>
      <c r="E20" t="s">
        <v>4734</v>
      </c>
    </row>
    <row r="21" spans="1:5" x14ac:dyDescent="0.2">
      <c r="A21" t="s">
        <v>3881</v>
      </c>
      <c r="B21" t="s">
        <v>4908</v>
      </c>
      <c r="C21" t="s">
        <v>1369</v>
      </c>
      <c r="D21" t="s">
        <v>4735</v>
      </c>
      <c r="E21" t="s">
        <v>4736</v>
      </c>
    </row>
    <row r="22" spans="1:5" x14ac:dyDescent="0.2">
      <c r="A22" t="s">
        <v>3881</v>
      </c>
      <c r="B22" t="s">
        <v>4908</v>
      </c>
      <c r="C22" t="s">
        <v>1384</v>
      </c>
      <c r="D22" t="s">
        <v>4737</v>
      </c>
      <c r="E22" t="s">
        <v>4738</v>
      </c>
    </row>
    <row r="23" spans="1:5" x14ac:dyDescent="0.2">
      <c r="A23" t="s">
        <v>3881</v>
      </c>
      <c r="B23" t="s">
        <v>4908</v>
      </c>
      <c r="C23" t="s">
        <v>3174</v>
      </c>
      <c r="D23" t="s">
        <v>4739</v>
      </c>
      <c r="E23">
        <v>152</v>
      </c>
    </row>
    <row r="24" spans="1:5" x14ac:dyDescent="0.2">
      <c r="A24" t="s">
        <v>3881</v>
      </c>
      <c r="B24" t="s">
        <v>4908</v>
      </c>
      <c r="C24" t="s">
        <v>3203</v>
      </c>
      <c r="D24" t="s">
        <v>4740</v>
      </c>
      <c r="E24" t="s">
        <v>4741</v>
      </c>
    </row>
    <row r="25" spans="1:5" x14ac:dyDescent="0.2">
      <c r="A25" t="s">
        <v>3881</v>
      </c>
      <c r="B25" t="s">
        <v>4908</v>
      </c>
      <c r="C25" t="s">
        <v>1405</v>
      </c>
      <c r="D25" t="s">
        <v>4742</v>
      </c>
      <c r="E25">
        <v>154</v>
      </c>
    </row>
    <row r="26" spans="1:5" x14ac:dyDescent="0.2">
      <c r="A26" t="s">
        <v>3881</v>
      </c>
      <c r="B26" t="s">
        <v>4908</v>
      </c>
      <c r="C26" t="s">
        <v>1236</v>
      </c>
      <c r="D26" t="s">
        <v>4743</v>
      </c>
      <c r="E26">
        <v>155</v>
      </c>
    </row>
    <row r="27" spans="1:5" x14ac:dyDescent="0.2">
      <c r="A27" t="s">
        <v>3881</v>
      </c>
      <c r="B27" t="s">
        <v>4908</v>
      </c>
      <c r="C27" t="s">
        <v>3243</v>
      </c>
      <c r="D27" t="s">
        <v>4744</v>
      </c>
      <c r="E27" t="s">
        <v>4745</v>
      </c>
    </row>
    <row r="28" spans="1:5" x14ac:dyDescent="0.2">
      <c r="A28" t="s">
        <v>3881</v>
      </c>
      <c r="B28" t="s">
        <v>4908</v>
      </c>
      <c r="C28" t="s">
        <v>3273</v>
      </c>
      <c r="D28" t="s">
        <v>4746</v>
      </c>
      <c r="E28">
        <v>157</v>
      </c>
    </row>
    <row r="29" spans="1:5" x14ac:dyDescent="0.2">
      <c r="A29" t="s">
        <v>3881</v>
      </c>
      <c r="B29" t="s">
        <v>4908</v>
      </c>
      <c r="C29" t="s">
        <v>1243</v>
      </c>
      <c r="D29" t="s">
        <v>4747</v>
      </c>
      <c r="E29" t="s">
        <v>4748</v>
      </c>
    </row>
    <row r="30" spans="1:5" x14ac:dyDescent="0.2">
      <c r="A30" t="s">
        <v>3881</v>
      </c>
      <c r="B30" t="s">
        <v>4908</v>
      </c>
      <c r="C30" t="s">
        <v>1256</v>
      </c>
      <c r="D30" t="s">
        <v>4749</v>
      </c>
      <c r="E30" t="s">
        <v>4750</v>
      </c>
    </row>
    <row r="31" spans="1:5" x14ac:dyDescent="0.2">
      <c r="A31" t="s">
        <v>3881</v>
      </c>
      <c r="B31" t="s">
        <v>4908</v>
      </c>
      <c r="C31" t="s">
        <v>3315</v>
      </c>
      <c r="D31" t="s">
        <v>4751</v>
      </c>
      <c r="E31">
        <v>159</v>
      </c>
    </row>
    <row r="32" spans="1:5" x14ac:dyDescent="0.2">
      <c r="A32" t="s">
        <v>3881</v>
      </c>
      <c r="B32" t="s">
        <v>4908</v>
      </c>
      <c r="C32" t="s">
        <v>3343</v>
      </c>
      <c r="D32" t="s">
        <v>4752</v>
      </c>
      <c r="E32">
        <v>159</v>
      </c>
    </row>
    <row r="33" spans="1:5" x14ac:dyDescent="0.2">
      <c r="A33" t="s">
        <v>3881</v>
      </c>
      <c r="B33" t="s">
        <v>4907</v>
      </c>
      <c r="C33" t="s">
        <v>1426</v>
      </c>
      <c r="D33" t="s">
        <v>4753</v>
      </c>
      <c r="E33" t="s">
        <v>4754</v>
      </c>
    </row>
    <row r="34" spans="1:5" x14ac:dyDescent="0.2">
      <c r="A34" t="s">
        <v>3881</v>
      </c>
      <c r="B34" t="s">
        <v>4907</v>
      </c>
      <c r="C34" t="s">
        <v>1445</v>
      </c>
      <c r="D34" t="s">
        <v>4755</v>
      </c>
      <c r="E34" t="s">
        <v>4756</v>
      </c>
    </row>
    <row r="35" spans="1:5" x14ac:dyDescent="0.2">
      <c r="A35" t="s">
        <v>3881</v>
      </c>
      <c r="B35" t="s">
        <v>4907</v>
      </c>
      <c r="C35" t="s">
        <v>1452</v>
      </c>
      <c r="D35" t="s">
        <v>4757</v>
      </c>
      <c r="E35">
        <v>164</v>
      </c>
    </row>
    <row r="36" spans="1:5" x14ac:dyDescent="0.2">
      <c r="A36" t="s">
        <v>3881</v>
      </c>
      <c r="B36" t="s">
        <v>4912</v>
      </c>
      <c r="C36" t="s">
        <v>3549</v>
      </c>
      <c r="D36" t="s">
        <v>4758</v>
      </c>
      <c r="E36" t="s">
        <v>4754</v>
      </c>
    </row>
    <row r="37" spans="1:5" x14ac:dyDescent="0.2">
      <c r="A37" t="s">
        <v>3881</v>
      </c>
      <c r="B37" t="s">
        <v>4912</v>
      </c>
      <c r="C37" t="s">
        <v>3567</v>
      </c>
      <c r="D37" t="s">
        <v>4759</v>
      </c>
      <c r="E37" t="s">
        <v>4760</v>
      </c>
    </row>
    <row r="38" spans="1:5" x14ac:dyDescent="0.2">
      <c r="A38" t="s">
        <v>3881</v>
      </c>
      <c r="B38" t="s">
        <v>4912</v>
      </c>
      <c r="C38" t="s">
        <v>3588</v>
      </c>
      <c r="D38" t="s">
        <v>4761</v>
      </c>
      <c r="E38">
        <v>164</v>
      </c>
    </row>
    <row r="39" spans="1:5" x14ac:dyDescent="0.2">
      <c r="A39" t="s">
        <v>3881</v>
      </c>
      <c r="B39" t="s">
        <v>4912</v>
      </c>
      <c r="C39" t="s">
        <v>3609</v>
      </c>
      <c r="D39" t="s">
        <v>4762</v>
      </c>
      <c r="E39" t="s">
        <v>4760</v>
      </c>
    </row>
    <row r="40" spans="1:5" x14ac:dyDescent="0.2">
      <c r="A40" t="s">
        <v>3881</v>
      </c>
      <c r="B40" t="s">
        <v>4912</v>
      </c>
      <c r="C40" t="s">
        <v>3651</v>
      </c>
      <c r="D40" t="s">
        <v>4735</v>
      </c>
      <c r="E40">
        <v>148</v>
      </c>
    </row>
    <row r="41" spans="1:5" x14ac:dyDescent="0.2">
      <c r="A41" t="s">
        <v>3881</v>
      </c>
      <c r="B41" t="s">
        <v>4911</v>
      </c>
      <c r="C41" t="s">
        <v>1529</v>
      </c>
      <c r="D41" t="s">
        <v>4763</v>
      </c>
      <c r="E41" t="s">
        <v>4754</v>
      </c>
    </row>
    <row r="42" spans="1:5" x14ac:dyDescent="0.2">
      <c r="A42" t="s">
        <v>3881</v>
      </c>
      <c r="B42" t="s">
        <v>4911</v>
      </c>
      <c r="C42" t="s">
        <v>1581</v>
      </c>
      <c r="D42" t="s">
        <v>4764</v>
      </c>
      <c r="E42" t="s">
        <v>4765</v>
      </c>
    </row>
    <row r="43" spans="1:5" x14ac:dyDescent="0.2">
      <c r="A43" t="s">
        <v>3881</v>
      </c>
      <c r="B43" t="s">
        <v>4911</v>
      </c>
      <c r="C43" t="s">
        <v>3609</v>
      </c>
      <c r="D43" t="s">
        <v>4766</v>
      </c>
      <c r="E43" t="s">
        <v>4765</v>
      </c>
    </row>
    <row r="44" spans="1:5" x14ac:dyDescent="0.2">
      <c r="A44" t="s">
        <v>3881</v>
      </c>
      <c r="B44" t="s">
        <v>4909</v>
      </c>
      <c r="C44" t="s">
        <v>1074</v>
      </c>
      <c r="D44" t="s">
        <v>4767</v>
      </c>
      <c r="E44" t="s">
        <v>4768</v>
      </c>
    </row>
    <row r="45" spans="1:5" x14ac:dyDescent="0.2">
      <c r="A45" t="s">
        <v>3881</v>
      </c>
      <c r="B45" t="s">
        <v>4909</v>
      </c>
      <c r="C45" t="s">
        <v>1122</v>
      </c>
      <c r="D45" t="s">
        <v>4769</v>
      </c>
      <c r="E45">
        <v>185</v>
      </c>
    </row>
    <row r="46" spans="1:5" x14ac:dyDescent="0.2">
      <c r="A46" t="s">
        <v>3881</v>
      </c>
      <c r="B46" t="s">
        <v>4909</v>
      </c>
      <c r="C46" t="s">
        <v>1137</v>
      </c>
      <c r="D46" t="s">
        <v>4770</v>
      </c>
      <c r="E46">
        <v>185</v>
      </c>
    </row>
    <row r="47" spans="1:5" x14ac:dyDescent="0.2">
      <c r="A47" t="s">
        <v>3881</v>
      </c>
      <c r="B47" t="s">
        <v>4909</v>
      </c>
      <c r="C47" t="s">
        <v>1179</v>
      </c>
      <c r="D47" t="s">
        <v>4771</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6F57B-40CC-F14F-9E6F-FE2818D83B86}">
  <sheetPr>
    <tabColor rgb="FF92D050"/>
  </sheetPr>
  <dimension ref="A1:T352"/>
  <sheetViews>
    <sheetView workbookViewId="0">
      <selection activeCell="D52" sqref="D52"/>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spans="1:6" x14ac:dyDescent="0.2">
      <c r="A1" s="12" t="s">
        <v>3873</v>
      </c>
      <c r="B1" s="12" t="s">
        <v>1667</v>
      </c>
      <c r="C1" s="12" t="s">
        <v>1669</v>
      </c>
      <c r="D1" s="12" t="s">
        <v>3874</v>
      </c>
      <c r="E1" s="12" t="s">
        <v>3875</v>
      </c>
      <c r="F1" s="12" t="s">
        <v>3890</v>
      </c>
    </row>
    <row r="2" spans="1:6" x14ac:dyDescent="0.2">
      <c r="A2" t="s">
        <v>3886</v>
      </c>
      <c r="B2" t="str">
        <f t="shared" ref="B2:B65" si="0">LEFT(C2, FIND("-", C2) - 1)</f>
        <v>S1</v>
      </c>
      <c r="C2" t="str">
        <f>[1]Profand_Topical_Mapping!H2</f>
        <v>S1-6</v>
      </c>
      <c r="D2" t="str">
        <f>[1]Profand_Topical_Mapping!D2</f>
        <v>Employees</v>
      </c>
      <c r="E2" t="str">
        <f>[1]Profand_Topical_Mapping!E2</f>
        <v>Annex 1</v>
      </c>
    </row>
    <row r="3" spans="1:6" x14ac:dyDescent="0.2">
      <c r="A3" t="s">
        <v>3886</v>
      </c>
      <c r="B3" t="str">
        <f t="shared" si="0"/>
        <v>S1</v>
      </c>
      <c r="C3" t="str">
        <f>[1]Profand_Topical_Mapping!H3</f>
        <v>S1-7</v>
      </c>
      <c r="D3" t="str">
        <f>[1]Profand_Topical_Mapping!D3</f>
        <v>Non-employee workers</v>
      </c>
      <c r="E3" t="str">
        <f>[1]Profand_Topical_Mapping!E3</f>
        <v>Work continues to report on this indicator in future versions of the ESG Report</v>
      </c>
    </row>
    <row r="4" spans="1:6" x14ac:dyDescent="0.2">
      <c r="A4" t="s">
        <v>3886</v>
      </c>
      <c r="B4" t="str">
        <f t="shared" si="0"/>
        <v>G1</v>
      </c>
      <c r="C4" t="str">
        <f>[1]Profand_Topical_Mapping!H4</f>
        <v>G1-3</v>
      </c>
      <c r="D4" t="str">
        <f>[1]Profand_Topical_Mapping!D4</f>
        <v>Delegation of responsibility for impact management</v>
      </c>
      <c r="E4" t="str">
        <f>[1]Profand_Topical_Mapping!E4</f>
        <v>4.4. Compliance, good corporate governance and fiscal transparency</v>
      </c>
    </row>
    <row r="5" spans="1:6" x14ac:dyDescent="0.2">
      <c r="A5" t="s">
        <v>3886</v>
      </c>
      <c r="B5" t="str">
        <f t="shared" si="0"/>
        <v>S1</v>
      </c>
      <c r="C5" t="str">
        <f>[1]Profand_Topical_Mapping!H5</f>
        <v>S1-16</v>
      </c>
      <c r="D5" t="str">
        <f>[1]Profand_Topical_Mapping!D5</f>
        <v>Total annual compensation ratio</v>
      </c>
      <c r="E5" t="str">
        <f>[1]Profand_Topical_Mapping!E5</f>
        <v>Annex 1</v>
      </c>
    </row>
    <row r="6" spans="1:6" x14ac:dyDescent="0.2">
      <c r="A6" t="s">
        <v>3886</v>
      </c>
      <c r="B6" t="str">
        <f t="shared" si="0"/>
        <v>S1</v>
      </c>
      <c r="C6" t="str">
        <f>[1]Profand_Topical_Mapping!H6</f>
        <v>S1-1</v>
      </c>
      <c r="D6" t="str">
        <f>[1]Profand_Topical_Mapping!D6</f>
        <v>Commitments and policies</v>
      </c>
      <c r="E6" t="str">
        <f>[1]Profand_Topical_Mapping!E6</f>
        <v>2.2. Quality and the customer at the heart of our activity / 4.2. Protection and respect for human and labor rights / 4.4. Compliance, good corporate governance and fiscal transparency</v>
      </c>
    </row>
    <row r="7" spans="1:6" x14ac:dyDescent="0.2">
      <c r="A7" t="s">
        <v>3886</v>
      </c>
      <c r="B7" t="str">
        <f t="shared" si="0"/>
        <v>S2</v>
      </c>
      <c r="C7" t="str">
        <f>[1]Profand_Topical_Mapping!H7</f>
        <v>S2-1</v>
      </c>
      <c r="D7" t="str">
        <f>[1]Profand_Topical_Mapping!D7</f>
        <v>Commitments and policies</v>
      </c>
      <c r="E7" t="str">
        <f>[1]Profand_Topical_Mapping!E7</f>
        <v>2.2. Quality and the customer at the heart of our activity / 4.2. Protection and respect for human and labor rights / 4.4. Compliance, good corporate governance and fiscal transparency</v>
      </c>
    </row>
    <row r="8" spans="1:6" x14ac:dyDescent="0.2">
      <c r="A8" t="s">
        <v>3886</v>
      </c>
      <c r="B8" t="str">
        <f t="shared" si="0"/>
        <v>G1</v>
      </c>
      <c r="C8" t="str">
        <f>[1]Profand_Topical_Mapping!H8</f>
        <v>G1-1</v>
      </c>
      <c r="D8" t="str">
        <f>[1]Profand_Topical_Mapping!D8</f>
        <v>Commitments and policies</v>
      </c>
      <c r="E8" t="str">
        <f>[1]Profand_Topical_Mapping!E8</f>
        <v>2.2. Quality and the customer at the heart of our activity / 4.2. Protection and respect for human and labor rights / 4.4. Compliance, good corporate governance and fiscal transparency</v>
      </c>
    </row>
    <row r="9" spans="1:6" x14ac:dyDescent="0.2">
      <c r="A9" t="s">
        <v>3886</v>
      </c>
      <c r="B9" t="str">
        <f t="shared" si="0"/>
        <v>G1</v>
      </c>
      <c r="C9" t="str">
        <f>[1]Profand_Topical_Mapping!H9</f>
        <v>G1-1</v>
      </c>
      <c r="D9" t="str">
        <f>[1]Profand_Topical_Mapping!D9</f>
        <v>Incorporating commitments and policies</v>
      </c>
      <c r="E9" t="str">
        <f>[1]Profand_Topical_Mapping!E9</f>
        <v>2.2. Quality and the customer at the heart of our activity / 4.2. Protection and respect for human and labor rights</v>
      </c>
    </row>
    <row r="10" spans="1:6" x14ac:dyDescent="0.2">
      <c r="A10" t="s">
        <v>3886</v>
      </c>
      <c r="B10" t="str">
        <f t="shared" si="0"/>
        <v>S1</v>
      </c>
      <c r="C10" t="str">
        <f>[1]Profand_Topical_Mapping!H10</f>
        <v>S1-1</v>
      </c>
      <c r="D10" t="str">
        <f>[1]Profand_Topical_Mapping!D10</f>
        <v>Processes to remedy negative impacts</v>
      </c>
      <c r="E10" t="str">
        <f>[1]Profand_Topical_Mapping!E10</f>
        <v>4.4. Compliance, good corporate governance and fiscal transparency</v>
      </c>
    </row>
    <row r="11" spans="1:6" x14ac:dyDescent="0.2">
      <c r="A11" t="s">
        <v>3886</v>
      </c>
      <c r="B11" t="str">
        <f t="shared" si="0"/>
        <v>S1</v>
      </c>
      <c r="C11" t="str">
        <f>[1]Profand_Topical_Mapping!H11</f>
        <v>S1-3</v>
      </c>
      <c r="D11" t="str">
        <f>[1]Profand_Topical_Mapping!D11</f>
        <v>Processes to remedy negative impacts</v>
      </c>
      <c r="E11" t="str">
        <f>[1]Profand_Topical_Mapping!E11</f>
        <v>4.4. Compliance, good corporate governance and fiscal transparency</v>
      </c>
    </row>
    <row r="12" spans="1:6" x14ac:dyDescent="0.2">
      <c r="A12" t="s">
        <v>3886</v>
      </c>
      <c r="B12" t="str">
        <f t="shared" si="0"/>
        <v>S2</v>
      </c>
      <c r="C12" t="str">
        <f>[1]Profand_Topical_Mapping!H12</f>
        <v>S2-1</v>
      </c>
      <c r="D12" t="str">
        <f>[1]Profand_Topical_Mapping!D12</f>
        <v>Processes to remedy negative impacts</v>
      </c>
      <c r="E12" t="str">
        <f>[1]Profand_Topical_Mapping!E12</f>
        <v>4.4. Compliance, good corporate governance and fiscal transparency</v>
      </c>
    </row>
    <row r="13" spans="1:6" x14ac:dyDescent="0.2">
      <c r="A13" t="s">
        <v>3886</v>
      </c>
      <c r="B13" t="str">
        <f t="shared" si="0"/>
        <v>S2</v>
      </c>
      <c r="C13" t="str">
        <f>[1]Profand_Topical_Mapping!H13</f>
        <v>S2-3</v>
      </c>
      <c r="D13" t="str">
        <f>[1]Profand_Topical_Mapping!D13</f>
        <v>Processes to remedy negative impacts</v>
      </c>
      <c r="E13" t="str">
        <f>[1]Profand_Topical_Mapping!E13</f>
        <v>4.4. Compliance, good corporate governance and fiscal transparency</v>
      </c>
    </row>
    <row r="14" spans="1:6" x14ac:dyDescent="0.2">
      <c r="A14" t="s">
        <v>3886</v>
      </c>
      <c r="B14" t="str">
        <f t="shared" si="0"/>
        <v>S3</v>
      </c>
      <c r="C14" t="str">
        <f>[1]Profand_Topical_Mapping!H14</f>
        <v>S3-1</v>
      </c>
      <c r="D14" t="str">
        <f>[1]Profand_Topical_Mapping!D14</f>
        <v>Processes to remedy negative impacts</v>
      </c>
      <c r="E14" t="str">
        <f>[1]Profand_Topical_Mapping!E14</f>
        <v>4.4. Compliance, good corporate governance and fiscal transparency</v>
      </c>
    </row>
    <row r="15" spans="1:6" x14ac:dyDescent="0.2">
      <c r="A15" t="s">
        <v>3886</v>
      </c>
      <c r="B15" t="str">
        <f t="shared" si="0"/>
        <v>S4</v>
      </c>
      <c r="C15" t="str">
        <f>[1]Profand_Topical_Mapping!H15</f>
        <v>S4-1</v>
      </c>
      <c r="D15" t="str">
        <f>[1]Profand_Topical_Mapping!D15</f>
        <v>Processes to remedy negative impacts</v>
      </c>
      <c r="E15" t="str">
        <f>[1]Profand_Topical_Mapping!E15</f>
        <v>4.4. Compliance, good corporate governance and fiscal transparency</v>
      </c>
    </row>
    <row r="16" spans="1:6" x14ac:dyDescent="0.2">
      <c r="A16" t="s">
        <v>3886</v>
      </c>
      <c r="B16" t="str">
        <f t="shared" si="0"/>
        <v>S1</v>
      </c>
      <c r="C16" t="str">
        <f>[1]Profand_Topical_Mapping!H16</f>
        <v>S1-3</v>
      </c>
      <c r="D16" t="str">
        <f>[1]Profand_Topical_Mapping!D16</f>
        <v>Mechanisms for seeking advice and raising concerns</v>
      </c>
      <c r="E16" t="str">
        <f>[1]Profand_Topical_Mapping!E16</f>
        <v>2.2. Quality and the customer at the heart of our activity / 4.2. Protection and respect for human and labor rights</v>
      </c>
    </row>
    <row r="17" spans="1:5" x14ac:dyDescent="0.2">
      <c r="A17" t="s">
        <v>3886</v>
      </c>
      <c r="B17" t="str">
        <f t="shared" si="0"/>
        <v>S2</v>
      </c>
      <c r="C17" t="str">
        <f>[1]Profand_Topical_Mapping!H17</f>
        <v>S2-3</v>
      </c>
      <c r="D17" t="str">
        <f>[1]Profand_Topical_Mapping!D17</f>
        <v>Mechanisms for seeking advice and raising concerns</v>
      </c>
      <c r="E17" t="str">
        <f>[1]Profand_Topical_Mapping!E17</f>
        <v>2.2. Quality and the customer at the heart of our activity / 4.2. Protection and respect for human and labor rights</v>
      </c>
    </row>
    <row r="18" spans="1:5" x14ac:dyDescent="0.2">
      <c r="A18" t="s">
        <v>3886</v>
      </c>
      <c r="B18" t="str">
        <f t="shared" si="0"/>
        <v>G1</v>
      </c>
      <c r="C18" t="str">
        <f>[1]Profand_Topical_Mapping!H18</f>
        <v>G1-1</v>
      </c>
      <c r="D18" t="str">
        <f>[1]Profand_Topical_Mapping!D18</f>
        <v>Mechanisms for seeking advice and raising concerns</v>
      </c>
      <c r="E18" t="str">
        <f>[1]Profand_Topical_Mapping!E18</f>
        <v>2.2. Quality and the customer at the heart of our activity / 4.2. Protection and respect for human and labor rights</v>
      </c>
    </row>
    <row r="19" spans="1:5" x14ac:dyDescent="0.2">
      <c r="A19" t="s">
        <v>3886</v>
      </c>
      <c r="B19" t="str">
        <f t="shared" si="0"/>
        <v>G1</v>
      </c>
      <c r="C19" t="str">
        <f>[1]Profand_Topical_Mapping!H19</f>
        <v>G1-3</v>
      </c>
      <c r="D19" t="str">
        <f>[1]Profand_Topical_Mapping!D19</f>
        <v>Mechanisms for seeking advice and raising concerns</v>
      </c>
      <c r="E19" t="str">
        <f>[1]Profand_Topical_Mapping!E19</f>
        <v>2.2. Quality and the customer at the heart of our activity / 4.2. Protection and respect for human and labor rights</v>
      </c>
    </row>
    <row r="20" spans="1:5" x14ac:dyDescent="0.2">
      <c r="A20" t="s">
        <v>3886</v>
      </c>
      <c r="B20" t="str">
        <f t="shared" si="0"/>
        <v>E2</v>
      </c>
      <c r="C20" t="str">
        <f>[1]Profand_Topical_Mapping!H20</f>
        <v>E2-4</v>
      </c>
      <c r="D20" t="str">
        <f>[1]Profand_Topical_Mapping!D20</f>
        <v>Compliance with legislation and regulations</v>
      </c>
      <c r="E20" t="str">
        <f>[1]Profand_Topical_Mapping!E20</f>
        <v>There were no significant non-compliances with laws and regulations during the reporting period</v>
      </c>
    </row>
    <row r="21" spans="1:5" x14ac:dyDescent="0.2">
      <c r="A21" t="s">
        <v>3886</v>
      </c>
      <c r="B21" t="str">
        <f t="shared" si="0"/>
        <v>S1</v>
      </c>
      <c r="C21" t="str">
        <f>[1]Profand_Topical_Mapping!H21</f>
        <v>S1-17</v>
      </c>
      <c r="D21" t="str">
        <f>[1]Profand_Topical_Mapping!D21</f>
        <v>Compliance with legislation and regulations</v>
      </c>
      <c r="E21" t="str">
        <f>[1]Profand_Topical_Mapping!E21</f>
        <v>There were no significant non-compliances with laws and regulations during the reporting period</v>
      </c>
    </row>
    <row r="22" spans="1:5" x14ac:dyDescent="0.2">
      <c r="A22" t="s">
        <v>3886</v>
      </c>
      <c r="B22" t="str">
        <f t="shared" si="0"/>
        <v>G1</v>
      </c>
      <c r="C22" t="str">
        <f>[1]Profand_Topical_Mapping!H22</f>
        <v>G1-4</v>
      </c>
      <c r="D22" t="str">
        <f>[1]Profand_Topical_Mapping!D22</f>
        <v>Compliance with legislation and regulations</v>
      </c>
      <c r="E22" t="str">
        <f>[1]Profand_Topical_Mapping!E22</f>
        <v>There were no significant non-compliances with laws and regulations during the reporting period</v>
      </c>
    </row>
    <row r="23" spans="1:5" x14ac:dyDescent="0.2">
      <c r="A23" t="s">
        <v>3886</v>
      </c>
      <c r="B23" t="str">
        <f t="shared" si="0"/>
        <v>G1</v>
      </c>
      <c r="C23" t="str">
        <f>[1]Profand_Topical_Mapping!H23</f>
        <v>G1-5</v>
      </c>
      <c r="D23" t="str">
        <f>[1]Profand_Topical_Mapping!D23</f>
        <v>Membership of associations</v>
      </c>
      <c r="E23" t="str">
        <f>[1]Profand_Topical_Mapping!E23</f>
        <v>3.6. Partnerships: together for sustainability</v>
      </c>
    </row>
    <row r="24" spans="1:5" x14ac:dyDescent="0.2">
      <c r="A24" t="s">
        <v>3886</v>
      </c>
      <c r="B24" t="str">
        <f t="shared" si="0"/>
        <v>S1</v>
      </c>
      <c r="C24" t="str">
        <f>[1]Profand_Topical_Mapping!H24</f>
        <v>S1-2</v>
      </c>
      <c r="D24" t="str">
        <f>[1]Profand_Topical_Mapping!D24</f>
        <v>Approach to stakeholder engagement</v>
      </c>
      <c r="E24" t="str">
        <f>[1]Profand_Topical_Mapping!E24</f>
        <v>3.5. Integrating due diligence</v>
      </c>
    </row>
    <row r="25" spans="1:5" x14ac:dyDescent="0.2">
      <c r="A25" t="s">
        <v>3886</v>
      </c>
      <c r="B25" t="str">
        <f t="shared" si="0"/>
        <v>S2</v>
      </c>
      <c r="C25" t="str">
        <f>[1]Profand_Topical_Mapping!H25</f>
        <v>S2-2</v>
      </c>
      <c r="D25" t="str">
        <f>[1]Profand_Topical_Mapping!D25</f>
        <v>Approach to stakeholder engagement</v>
      </c>
      <c r="E25" t="str">
        <f>[1]Profand_Topical_Mapping!E25</f>
        <v>3.5. Integrating due diligence</v>
      </c>
    </row>
    <row r="26" spans="1:5" x14ac:dyDescent="0.2">
      <c r="A26" t="s">
        <v>3886</v>
      </c>
      <c r="B26" t="str">
        <f t="shared" si="0"/>
        <v>S1</v>
      </c>
      <c r="C26" t="str">
        <f>[1]Profand_Topical_Mapping!H26</f>
        <v>S1-8</v>
      </c>
      <c r="D26" t="str">
        <f>[1]Profand_Topical_Mapping!D26</f>
        <v>Collective bargaining agreements</v>
      </c>
      <c r="E26" t="str">
        <f>[1]Profand_Topical_Mapping!E26</f>
        <v>100% of employees covered by collective bargaining agreements</v>
      </c>
    </row>
    <row r="27" spans="1:5" x14ac:dyDescent="0.2">
      <c r="A27" t="s">
        <v>3886</v>
      </c>
      <c r="B27" t="str">
        <f t="shared" si="0"/>
        <v>G1</v>
      </c>
      <c r="C27" t="str">
        <f>[1]Profand_Topical_Mapping!H27</f>
        <v>G1-1</v>
      </c>
      <c r="D27" t="str">
        <f>[1]Profand_Topical_Mapping!D27</f>
        <v>Animal health and welfare</v>
      </c>
      <c r="E27" t="str">
        <f>[1]Profand_Topical_Mapping!E27</f>
        <v>4.1. Conservation and regeneration of ecosystems</v>
      </c>
    </row>
    <row r="28" spans="1:5" x14ac:dyDescent="0.2">
      <c r="A28" t="s">
        <v>3886</v>
      </c>
      <c r="B28" t="str">
        <f t="shared" si="0"/>
        <v>S2</v>
      </c>
      <c r="C28" t="str">
        <f>[1]Profand_Topical_Mapping!H28</f>
        <v>S2-1</v>
      </c>
      <c r="D28" t="str">
        <f>[1]Profand_Topical_Mapping!D28</f>
        <v>Traceability in the supply chain</v>
      </c>
      <c r="E28" t="str">
        <f>[1]Profand_Topical_Mapping!E28</f>
        <v>4.1. Conservation and regeneration of ecosystems</v>
      </c>
    </row>
    <row r="29" spans="1:5" x14ac:dyDescent="0.2">
      <c r="A29" t="s">
        <v>3886</v>
      </c>
      <c r="B29" t="str">
        <f t="shared" si="0"/>
        <v>E5</v>
      </c>
      <c r="C29" t="str">
        <f>[1]Profand_Topical_Mapping!H29</f>
        <v>E5-4</v>
      </c>
      <c r="D29" t="str">
        <f>[1]Profand_Topical_Mapping!D29</f>
        <v>Materials used by weight or volume</v>
      </c>
      <c r="E29" t="str">
        <f>[1]Profand_Topical_Mapping!E29</f>
        <v>4.1. Conservation and regeneration of ecosystems. Management of natural resources</v>
      </c>
    </row>
    <row r="30" spans="1:5" x14ac:dyDescent="0.2">
      <c r="A30" t="s">
        <v>3886</v>
      </c>
      <c r="B30" t="str">
        <f t="shared" si="0"/>
        <v>E5</v>
      </c>
      <c r="C30" t="str">
        <f>[1]Profand_Topical_Mapping!H30</f>
        <v>E5-4</v>
      </c>
      <c r="D30" t="str">
        <f>[1]Profand_Topical_Mapping!D30</f>
        <v>Recycled inputs used</v>
      </c>
      <c r="E30" t="str">
        <f>[1]Profand_Topical_Mapping!E30</f>
        <v>4.1. Conservation and regeneration of ecosystems. Management of natural resources</v>
      </c>
    </row>
    <row r="31" spans="1:5" x14ac:dyDescent="0.2">
      <c r="A31" t="s">
        <v>3886</v>
      </c>
      <c r="B31" t="str">
        <f t="shared" si="0"/>
        <v>E3</v>
      </c>
      <c r="C31" t="str">
        <f>[1]Profand_Topical_Mapping!H31</f>
        <v>E3-2</v>
      </c>
      <c r="D31" t="str">
        <f>[1]Profand_Topical_Mapping!D31</f>
        <v>Interaction with water as a shared resource</v>
      </c>
      <c r="E31" t="str">
        <f>[1]Profand_Topical_Mapping!E31</f>
        <v>4.1. Conservation and regeneration of ecosystems. Management of natural resources</v>
      </c>
    </row>
    <row r="32" spans="1:5" x14ac:dyDescent="0.2">
      <c r="A32" t="s">
        <v>3886</v>
      </c>
      <c r="B32" t="str">
        <f t="shared" si="0"/>
        <v>E3</v>
      </c>
      <c r="C32" t="str">
        <f>[1]Profand_Topical_Mapping!H32</f>
        <v>E3-3</v>
      </c>
      <c r="D32" t="str">
        <f>[1]Profand_Topical_Mapping!D32</f>
        <v>Interaction with water as a shared resource</v>
      </c>
      <c r="E32" t="str">
        <f>[1]Profand_Topical_Mapping!E32</f>
        <v>4.1. Conservation and regeneration of ecosystems. Management of natural resources</v>
      </c>
    </row>
    <row r="33" spans="1:5" x14ac:dyDescent="0.2">
      <c r="A33" t="s">
        <v>3886</v>
      </c>
      <c r="B33" t="str">
        <f t="shared" si="0"/>
        <v>E2</v>
      </c>
      <c r="C33" t="str">
        <f>[1]Profand_Topical_Mapping!H33</f>
        <v>E2-3</v>
      </c>
      <c r="D33" t="str">
        <f>[1]Profand_Topical_Mapping!D33</f>
        <v>Management of impacts related to water discharges</v>
      </c>
      <c r="E33" t="str">
        <f>[1]Profand_Topical_Mapping!E33</f>
        <v>4.1. Conservation and regeneration of ecosystems. Management of natural resources</v>
      </c>
    </row>
    <row r="34" spans="1:5" x14ac:dyDescent="0.2">
      <c r="A34" t="s">
        <v>3886</v>
      </c>
      <c r="B34" t="str">
        <f t="shared" si="0"/>
        <v>E3</v>
      </c>
      <c r="C34" t="str">
        <f>[1]Profand_Topical_Mapping!H34</f>
        <v>E3-4</v>
      </c>
      <c r="D34" t="str">
        <f>[1]Profand_Topical_Mapping!D34</f>
        <v>Water consumption</v>
      </c>
      <c r="E34" t="str">
        <f>[1]Profand_Topical_Mapping!E34</f>
        <v>4.1. Conservation and regeneration of ecosystems. Management of natural resources</v>
      </c>
    </row>
    <row r="35" spans="1:5" x14ac:dyDescent="0.2">
      <c r="A35" t="s">
        <v>3886</v>
      </c>
      <c r="B35" t="str">
        <f t="shared" si="0"/>
        <v>E5</v>
      </c>
      <c r="C35" t="str">
        <f>[1]Profand_Topical_Mapping!H35</f>
        <v>E5-2</v>
      </c>
      <c r="D35" t="str">
        <f>[1]Profand_Topical_Mapping!D35</f>
        <v>Waste by type and disposal method</v>
      </c>
      <c r="E35" t="str">
        <f>[1]Profand_Topical_Mapping!E35</f>
        <v>4.1. Conservation and regeneration of ecosystems. Management of natural resources</v>
      </c>
    </row>
    <row r="36" spans="1:5" x14ac:dyDescent="0.2">
      <c r="A36" t="s">
        <v>3886</v>
      </c>
      <c r="B36" t="str">
        <f t="shared" si="0"/>
        <v>E5</v>
      </c>
      <c r="C36" t="str">
        <f>[1]Profand_Topical_Mapping!H36</f>
        <v>E5-5</v>
      </c>
      <c r="D36" t="str">
        <f>[1]Profand_Topical_Mapping!D36</f>
        <v>Waste by type and disposal method</v>
      </c>
      <c r="E36" t="str">
        <f>[1]Profand_Topical_Mapping!E36</f>
        <v>4.1. Conservation and regeneration of ecosystems. Management of natural resources</v>
      </c>
    </row>
    <row r="37" spans="1:5" x14ac:dyDescent="0.2">
      <c r="A37" t="s">
        <v>3886</v>
      </c>
      <c r="B37" t="str">
        <f t="shared" si="0"/>
        <v>E1</v>
      </c>
      <c r="C37" t="str">
        <f>[1]Profand_Topical_Mapping!H37</f>
        <v>E1-5</v>
      </c>
      <c r="D37" t="str">
        <f>[1]Profand_Topical_Mapping!D37</f>
        <v>Energy consumption within the organization</v>
      </c>
      <c r="E37" t="str">
        <f>[1]Profand_Topical_Mapping!E37</f>
        <v>4.1. Conservation and regeneration of ecosystems. Roadmap Decarbonization Plan</v>
      </c>
    </row>
    <row r="38" spans="1:5" x14ac:dyDescent="0.2">
      <c r="A38" t="s">
        <v>3886</v>
      </c>
      <c r="B38" t="str">
        <f t="shared" si="0"/>
        <v>E1</v>
      </c>
      <c r="C38" t="str">
        <f>[1]Profand_Topical_Mapping!H38</f>
        <v>E1-5</v>
      </c>
      <c r="D38" t="str">
        <f>[1]Profand_Topical_Mapping!D38</f>
        <v>Energy intensity</v>
      </c>
      <c r="E38" t="str">
        <f>[1]Profand_Topical_Mapping!E38</f>
        <v>4.1. Conservation and regeneration of ecosystems. Carbon footprint</v>
      </c>
    </row>
    <row r="39" spans="1:5" x14ac:dyDescent="0.2">
      <c r="A39" t="s">
        <v>3886</v>
      </c>
      <c r="B39" t="str">
        <f t="shared" si="0"/>
        <v>E1</v>
      </c>
      <c r="C39" t="str">
        <f>[1]Profand_Topical_Mapping!H39</f>
        <v>E1-4</v>
      </c>
      <c r="D39" t="str">
        <f>[1]Profand_Topical_Mapping!D39</f>
        <v>Direct GHG emissions (Scope 1)</v>
      </c>
      <c r="E39" t="str">
        <f>[1]Profand_Topical_Mapping!E39</f>
        <v>4.1. Conservation and regeneration of ecosystems. Carbon footprint</v>
      </c>
    </row>
    <row r="40" spans="1:5" x14ac:dyDescent="0.2">
      <c r="A40" t="s">
        <v>3886</v>
      </c>
      <c r="B40" t="str">
        <f t="shared" si="0"/>
        <v>E1</v>
      </c>
      <c r="C40" t="str">
        <f>[1]Profand_Topical_Mapping!H40</f>
        <v>E1-6</v>
      </c>
      <c r="D40" t="str">
        <f>[1]Profand_Topical_Mapping!D40</f>
        <v>Direct GHG emissions (Scope 1)</v>
      </c>
      <c r="E40" t="str">
        <f>[1]Profand_Topical_Mapping!E40</f>
        <v>4.1. Conservation and regeneration of ecosystems. Carbon footprint</v>
      </c>
    </row>
    <row r="41" spans="1:5" x14ac:dyDescent="0.2">
      <c r="A41" t="s">
        <v>3886</v>
      </c>
      <c r="B41" t="str">
        <f t="shared" si="0"/>
        <v>E1</v>
      </c>
      <c r="C41" t="str">
        <f>[1]Profand_Topical_Mapping!H41</f>
        <v>E1-4</v>
      </c>
      <c r="D41" t="str">
        <f>[1]Profand_Topical_Mapping!D41</f>
        <v>Energy-related indirect GHG emissions (Scope 2)</v>
      </c>
      <c r="E41" t="str">
        <f>[1]Profand_Topical_Mapping!E41</f>
        <v>4.1. Conservation and regeneration of ecosystems. Carbon footprint</v>
      </c>
    </row>
    <row r="42" spans="1:5" x14ac:dyDescent="0.2">
      <c r="A42" t="s">
        <v>3886</v>
      </c>
      <c r="B42" t="str">
        <f t="shared" si="0"/>
        <v>E1</v>
      </c>
      <c r="C42" t="str">
        <f>[1]Profand_Topical_Mapping!H42</f>
        <v>E1-6</v>
      </c>
      <c r="D42" t="str">
        <f>[1]Profand_Topical_Mapping!D42</f>
        <v>Energy-related indirect GHG emissions (Scope 2)</v>
      </c>
      <c r="E42" t="str">
        <f>[1]Profand_Topical_Mapping!E42</f>
        <v>4.1. Conservation and regeneration of ecosystems. Carbon footprint</v>
      </c>
    </row>
    <row r="43" spans="1:5" x14ac:dyDescent="0.2">
      <c r="A43" t="s">
        <v>3886</v>
      </c>
      <c r="B43" t="str">
        <f t="shared" si="0"/>
        <v>E1</v>
      </c>
      <c r="C43" t="str">
        <f>[1]Profand_Topical_Mapping!H43</f>
        <v>E1-4</v>
      </c>
      <c r="D43" t="str">
        <f>[1]Profand_Topical_Mapping!D43</f>
        <v>Other indirect GHG emissions (Scope 3)</v>
      </c>
      <c r="E43" t="str">
        <f>[1]Profand_Topical_Mapping!E43</f>
        <v>4.1. Conservation and regeneration of ecosystems. Carbon footprint</v>
      </c>
    </row>
    <row r="44" spans="1:5" x14ac:dyDescent="0.2">
      <c r="A44" t="s">
        <v>3886</v>
      </c>
      <c r="B44" t="str">
        <f t="shared" si="0"/>
        <v>E1</v>
      </c>
      <c r="C44" t="str">
        <f>[1]Profand_Topical_Mapping!H44</f>
        <v>E1-6</v>
      </c>
      <c r="D44" t="str">
        <f>[1]Profand_Topical_Mapping!D44</f>
        <v>Other indirect GHG emissions (Scope 3)</v>
      </c>
      <c r="E44" t="str">
        <f>[1]Profand_Topical_Mapping!E44</f>
        <v>4.1. Conservation and regeneration of ecosystems. Carbon footprint</v>
      </c>
    </row>
    <row r="45" spans="1:5" x14ac:dyDescent="0.2">
      <c r="A45" t="s">
        <v>3886</v>
      </c>
      <c r="B45" t="str">
        <f t="shared" si="0"/>
        <v>E4</v>
      </c>
      <c r="C45" t="str">
        <f>[1]Profand_Topical_Mapping!H45</f>
        <v>E4-5</v>
      </c>
      <c r="D45" t="str">
        <f>[1]Profand_Topical_Mapping!D45</f>
        <v>Operational sites owned, leased or managed within or adjacent to protected areas, or areas of high biodiversity value outside protected areas</v>
      </c>
      <c r="E45" t="str">
        <f>[1]Profand_Topical_Mapping!E45</f>
        <v>4.1. Conservation and regeneration of ecosystems. Management of natural resources</v>
      </c>
    </row>
    <row r="46" spans="1:5" x14ac:dyDescent="0.2">
      <c r="A46" t="s">
        <v>3886</v>
      </c>
      <c r="B46" t="str">
        <f t="shared" si="0"/>
        <v>S3</v>
      </c>
      <c r="C46" t="str">
        <f>[1]Profand_Topical_Mapping!H46</f>
        <v>S3-1</v>
      </c>
      <c r="D46" t="str">
        <f>[1]Profand_Topical_Mapping!D46</f>
        <v>Cases of violations of the rights of indigenous peoples</v>
      </c>
      <c r="E46" t="str">
        <f>[1]Profand_Topical_Mapping!E46</f>
        <v>4.2. Protection and respect for human and labor rights</v>
      </c>
    </row>
    <row r="47" spans="1:5" x14ac:dyDescent="0.2">
      <c r="A47" t="s">
        <v>3886</v>
      </c>
      <c r="B47" t="str">
        <f t="shared" si="0"/>
        <v>S3</v>
      </c>
      <c r="C47" t="str">
        <f>[1]Profand_Topical_Mapping!H47</f>
        <v>S3-4</v>
      </c>
      <c r="D47" t="str">
        <f>[1]Profand_Topical_Mapping!D47</f>
        <v>Cases of violations of the rights of indigenous peoples</v>
      </c>
      <c r="E47" t="str">
        <f>[1]Profand_Topical_Mapping!E47</f>
        <v>4.2. Protection and respect for human and labor rights</v>
      </c>
    </row>
    <row r="48" spans="1:5" x14ac:dyDescent="0.2">
      <c r="A48" t="s">
        <v>3886</v>
      </c>
      <c r="B48" t="str">
        <f t="shared" si="0"/>
        <v>S3</v>
      </c>
      <c r="C48" t="str">
        <f>[1]Profand_Topical_Mapping!H48</f>
        <v>S3-2</v>
      </c>
      <c r="D48" t="str">
        <f>[1]Profand_Topical_Mapping!D48</f>
        <v>Operations with local community engagement, impact assessments and development programs</v>
      </c>
      <c r="E48" t="str">
        <f>[1]Profand_Topical_Mapping!E48</f>
        <v>4.2. Protection and respect for human and labor rights</v>
      </c>
    </row>
    <row r="49" spans="1:5" x14ac:dyDescent="0.2">
      <c r="A49" t="s">
        <v>3886</v>
      </c>
      <c r="B49" t="str">
        <f t="shared" si="0"/>
        <v>S3</v>
      </c>
      <c r="C49" t="str">
        <f>[1]Profand_Topical_Mapping!H49</f>
        <v>S3-3</v>
      </c>
      <c r="D49" t="str">
        <f>[1]Profand_Topical_Mapping!D49</f>
        <v>Operations with local community engagement, impact assessments and development programs</v>
      </c>
      <c r="E49" t="str">
        <f>[1]Profand_Topical_Mapping!E49</f>
        <v>4.2. Protection and respect for human and labor rights</v>
      </c>
    </row>
    <row r="50" spans="1:5" x14ac:dyDescent="0.2">
      <c r="A50" t="s">
        <v>3886</v>
      </c>
      <c r="B50" t="str">
        <f t="shared" si="0"/>
        <v>S3</v>
      </c>
      <c r="C50" t="str">
        <f>[1]Profand_Topical_Mapping!H50</f>
        <v>S3-4</v>
      </c>
      <c r="D50" t="str">
        <f>[1]Profand_Topical_Mapping!D50</f>
        <v>Operations with local community engagement, impact assessments and development programs</v>
      </c>
      <c r="E50" t="str">
        <f>[1]Profand_Topical_Mapping!E50</f>
        <v>4.2. Protection and respect for human and labor rights</v>
      </c>
    </row>
    <row r="51" spans="1:5" x14ac:dyDescent="0.2">
      <c r="A51" t="s">
        <v>3886</v>
      </c>
      <c r="B51" t="str">
        <f t="shared" si="0"/>
        <v>S1</v>
      </c>
      <c r="C51" t="str">
        <f>[1]Profand_Topical_Mapping!H51</f>
        <v>S1-6</v>
      </c>
      <c r="D51" t="str">
        <f>[1]Profand_Topical_Mapping!D51</f>
        <v>Recruitment of new employees and staff turnover</v>
      </c>
      <c r="E51" t="str">
        <f>[1]Profand_Topical_Mapping!E51</f>
        <v>Annex 1</v>
      </c>
    </row>
    <row r="52" spans="1:5" x14ac:dyDescent="0.2">
      <c r="A52" t="s">
        <v>3886</v>
      </c>
      <c r="B52" t="str">
        <f t="shared" si="0"/>
        <v>S1</v>
      </c>
      <c r="C52" t="str">
        <f>[1]Profand_Topical_Mapping!H52</f>
        <v>S1-15</v>
      </c>
      <c r="D52" t="str">
        <f>[1]Profand_Topical_Mapping!D52</f>
        <v>Parental leave</v>
      </c>
      <c r="E52" t="str">
        <f>[1]Profand_Topical_Mapping!E52</f>
        <v>Annex 1</v>
      </c>
    </row>
    <row r="53" spans="1:5" x14ac:dyDescent="0.2">
      <c r="A53" t="s">
        <v>3886</v>
      </c>
      <c r="B53" t="str">
        <f t="shared" si="0"/>
        <v>S1</v>
      </c>
      <c r="C53" t="str">
        <f>[1]Profand_Topical_Mapping!H53</f>
        <v>S1-6</v>
      </c>
      <c r="D53" t="str">
        <f>[1]Profand_Topical_Mapping!D53</f>
        <v>Diversity of governing bodies and employees</v>
      </c>
      <c r="E53" t="str">
        <f>[1]Profand_Topical_Mapping!E53</f>
        <v>4.2. Protection and respect for human and labor rights / Annex 1</v>
      </c>
    </row>
    <row r="54" spans="1:5" x14ac:dyDescent="0.2">
      <c r="A54" t="s">
        <v>3886</v>
      </c>
      <c r="B54" t="str">
        <f t="shared" si="0"/>
        <v>S1</v>
      </c>
      <c r="C54" t="str">
        <f>[1]Profand_Topical_Mapping!H54</f>
        <v>S1-9</v>
      </c>
      <c r="D54" t="str">
        <f>[1]Profand_Topical_Mapping!D54</f>
        <v>Diversity of governing bodies and employees</v>
      </c>
      <c r="E54" t="str">
        <f>[1]Profand_Topical_Mapping!E54</f>
        <v>4.2. Protection and respect for human and labor rights / Annex 1</v>
      </c>
    </row>
    <row r="55" spans="1:5" x14ac:dyDescent="0.2">
      <c r="A55" t="s">
        <v>3886</v>
      </c>
      <c r="B55" t="str">
        <f t="shared" si="0"/>
        <v>S1</v>
      </c>
      <c r="C55" t="str">
        <f>[1]Profand_Topical_Mapping!H55</f>
        <v>S1-12</v>
      </c>
      <c r="D55" t="str">
        <f>[1]Profand_Topical_Mapping!D55</f>
        <v>Diversity of governing bodies and employees</v>
      </c>
      <c r="E55" t="str">
        <f>[1]Profand_Topical_Mapping!E55</f>
        <v>4.2. Protection and respect for human and labor rights / Annex 1</v>
      </c>
    </row>
    <row r="56" spans="1:5" x14ac:dyDescent="0.2">
      <c r="A56" t="s">
        <v>3886</v>
      </c>
      <c r="B56" t="str">
        <f t="shared" si="0"/>
        <v>S1</v>
      </c>
      <c r="C56" t="str">
        <f>[1]Profand_Topical_Mapping!H56</f>
        <v>S1-16</v>
      </c>
      <c r="D56" t="str">
        <f>[1]Profand_Topical_Mapping!D56</f>
        <v>Ratio of basic salary and remuneration of women versus men</v>
      </c>
      <c r="E56" t="str">
        <f>[1]Profand_Topical_Mapping!E56</f>
        <v>4.2. Protection and respect for human and labor rights. Pay gap</v>
      </c>
    </row>
    <row r="57" spans="1:5" x14ac:dyDescent="0.2">
      <c r="A57" t="s">
        <v>3886</v>
      </c>
      <c r="B57" t="str">
        <f t="shared" si="0"/>
        <v>S1</v>
      </c>
      <c r="C57" t="str">
        <f>[1]Profand_Topical_Mapping!H57</f>
        <v>S1-1</v>
      </c>
      <c r="D57" t="str">
        <f>[1]Profand_Topical_Mapping!D57</f>
        <v>Occupational health and safety management system</v>
      </c>
      <c r="E57" t="str">
        <f>[1]Profand_Topical_Mapping!E57</f>
        <v>4.2. Protection and respect for human and labor rights</v>
      </c>
    </row>
    <row r="58" spans="1:5" x14ac:dyDescent="0.2">
      <c r="A58" t="s">
        <v>3886</v>
      </c>
      <c r="B58" t="str">
        <f t="shared" si="0"/>
        <v>S1</v>
      </c>
      <c r="C58" t="str">
        <f>[1]Profand_Topical_Mapping!H58</f>
        <v>S1-3</v>
      </c>
      <c r="D58" t="str">
        <f>[1]Profand_Topical_Mapping!D58</f>
        <v>Hazard identification, risk assessment and incident investigation</v>
      </c>
      <c r="E58" t="str">
        <f>[1]Profand_Topical_Mapping!E58</f>
        <v>4.2. Protection and respect for human and labor rights</v>
      </c>
    </row>
    <row r="59" spans="1:5" x14ac:dyDescent="0.2">
      <c r="A59" t="s">
        <v>3886</v>
      </c>
      <c r="B59" t="str">
        <f t="shared" si="0"/>
        <v>S1</v>
      </c>
      <c r="C59" t="str">
        <f>[1]Profand_Topical_Mapping!H59</f>
        <v>S1-1</v>
      </c>
      <c r="D59" t="str">
        <f>[1]Profand_Topical_Mapping!D59</f>
        <v>Occupational health services</v>
      </c>
      <c r="E59" t="str">
        <f>[1]Profand_Topical_Mapping!E59</f>
        <v>4.2. Protection and respect for human and labor rights</v>
      </c>
    </row>
    <row r="60" spans="1:5" x14ac:dyDescent="0.2">
      <c r="A60" t="s">
        <v>3886</v>
      </c>
      <c r="B60" t="str">
        <f t="shared" si="0"/>
        <v>S1</v>
      </c>
      <c r="C60" t="str">
        <f>[1]Profand_Topical_Mapping!H60</f>
        <v>S1-4</v>
      </c>
      <c r="D60" t="str">
        <f>[1]Profand_Topical_Mapping!D60</f>
        <v>Work-related injuries</v>
      </c>
      <c r="E60" t="str">
        <f>[1]Profand_Topical_Mapping!E60</f>
        <v>Annex 1</v>
      </c>
    </row>
    <row r="61" spans="1:5" x14ac:dyDescent="0.2">
      <c r="A61" t="s">
        <v>3886</v>
      </c>
      <c r="B61" t="str">
        <f t="shared" si="0"/>
        <v>S1</v>
      </c>
      <c r="C61" t="str">
        <f>[1]Profand_Topical_Mapping!H61</f>
        <v>S1-14</v>
      </c>
      <c r="D61" t="str">
        <f>[1]Profand_Topical_Mapping!D61</f>
        <v>Work-related injuries</v>
      </c>
      <c r="E61" t="str">
        <f>[1]Profand_Topical_Mapping!E61</f>
        <v>Annex 1</v>
      </c>
    </row>
    <row r="62" spans="1:5" x14ac:dyDescent="0.2">
      <c r="A62" t="s">
        <v>3886</v>
      </c>
      <c r="B62" t="str">
        <f t="shared" si="0"/>
        <v>S1</v>
      </c>
      <c r="C62" t="str">
        <f>[1]Profand_Topical_Mapping!H62</f>
        <v>S1-4</v>
      </c>
      <c r="D62" t="str">
        <f>[1]Profand_Topical_Mapping!D62</f>
        <v>Occupational diseases and illnesses</v>
      </c>
      <c r="E62" t="str">
        <f>[1]Profand_Topical_Mapping!E62</f>
        <v>Annex 1</v>
      </c>
    </row>
    <row r="63" spans="1:5" x14ac:dyDescent="0.2">
      <c r="A63" t="s">
        <v>3886</v>
      </c>
      <c r="B63" t="str">
        <f t="shared" si="0"/>
        <v>S1</v>
      </c>
      <c r="C63" t="str">
        <f>[1]Profand_Topical_Mapping!H63</f>
        <v>S1-14</v>
      </c>
      <c r="D63" t="str">
        <f>[1]Profand_Topical_Mapping!D63</f>
        <v>Occupational diseases and illnesses</v>
      </c>
      <c r="E63" t="str">
        <f>[1]Profand_Topical_Mapping!E63</f>
        <v>Annex 1</v>
      </c>
    </row>
    <row r="64" spans="1:5" x14ac:dyDescent="0.2">
      <c r="A64" t="s">
        <v>3886</v>
      </c>
      <c r="B64" t="str">
        <f t="shared" si="0"/>
        <v>S1</v>
      </c>
      <c r="C64" t="str">
        <f>[1]Profand_Topical_Mapping!H64</f>
        <v>S1-13</v>
      </c>
      <c r="D64" t="str">
        <f>[1]Profand_Topical_Mapping!D64</f>
        <v>Average hours of training per employee per year</v>
      </c>
      <c r="E64" t="str">
        <f>[1]Profand_Topical_Mapping!E64</f>
        <v>Annex 1</v>
      </c>
    </row>
    <row r="65" spans="1:5" x14ac:dyDescent="0.2">
      <c r="A65" t="s">
        <v>3886</v>
      </c>
      <c r="B65" t="str">
        <f t="shared" si="0"/>
        <v>S1</v>
      </c>
      <c r="C65" t="str">
        <f>[1]Profand_Topical_Mapping!H65</f>
        <v>S1-1</v>
      </c>
      <c r="D65" t="str">
        <f>[1]Profand_Topical_Mapping!D65</f>
        <v>Employee skills enhancement program and transition assistance programs</v>
      </c>
      <c r="E65" t="str">
        <f>[1]Profand_Topical_Mapping!E65</f>
        <v>4.2. Protection and respect for human and labor rights</v>
      </c>
    </row>
    <row r="66" spans="1:5" x14ac:dyDescent="0.2">
      <c r="A66" t="s">
        <v>3886</v>
      </c>
      <c r="B66" t="str">
        <f t="shared" ref="B66:B77" si="1">LEFT(C66, FIND("-", C66) - 1)</f>
        <v>S4</v>
      </c>
      <c r="C66" t="str">
        <f>[1]Profand_Topical_Mapping!H66</f>
        <v>S4-4</v>
      </c>
      <c r="D66" t="str">
        <f>[1]Profand_Topical_Mapping!D66</f>
        <v>Cases of non-compliance relating to the health and safety impacts of product and service categories</v>
      </c>
      <c r="E66" t="str">
        <f>[1]Profand_Topical_Mapping!E66</f>
        <v>2.2. Quality and the customer at the heart of our activity</v>
      </c>
    </row>
    <row r="67" spans="1:5" x14ac:dyDescent="0.2">
      <c r="A67" t="s">
        <v>3886</v>
      </c>
      <c r="B67" t="str">
        <f t="shared" si="1"/>
        <v>S4</v>
      </c>
      <c r="C67" t="str">
        <f>[1]Profand_Topical_Mapping!H67</f>
        <v>S4-4</v>
      </c>
      <c r="D67" t="str">
        <f>[1]Profand_Topical_Mapping!D67</f>
        <v>Cases of non-compliance concerning health and safety impacts of product and service categories</v>
      </c>
      <c r="E67">
        <f>[1]Profand_Topical_Mapping!E67</f>
        <v>0</v>
      </c>
    </row>
    <row r="68" spans="1:5" x14ac:dyDescent="0.2">
      <c r="A68" t="s">
        <v>3886</v>
      </c>
      <c r="B68" t="str">
        <f t="shared" si="1"/>
        <v>G1</v>
      </c>
      <c r="C68" t="str">
        <f>[1]Profand_Topical_Mapping!H68</f>
        <v>G1-3</v>
      </c>
      <c r="D68" t="str">
        <f>[1]Profand_Topical_Mapping!D68</f>
        <v>Communication and training on anti-corruption policies and procedures</v>
      </c>
      <c r="E68" t="str">
        <f>[1]Profand_Topical_Mapping!E68</f>
        <v>4.4. Compliance, good corporate governance and fiscal transparency</v>
      </c>
    </row>
    <row r="69" spans="1:5" x14ac:dyDescent="0.2">
      <c r="A69" t="s">
        <v>3886</v>
      </c>
      <c r="B69" t="str">
        <f t="shared" si="1"/>
        <v>G1</v>
      </c>
      <c r="C69" t="str">
        <f>[1]Profand_Topical_Mapping!H69</f>
        <v>G1-4</v>
      </c>
      <c r="D69" t="str">
        <f>[1]Profand_Topical_Mapping!D69</f>
        <v>Confirmed incidents of corruption and measures taken</v>
      </c>
      <c r="E69">
        <f>[1]Profand_Topical_Mapping!E69</f>
        <v>0</v>
      </c>
    </row>
    <row r="70" spans="1:5" x14ac:dyDescent="0.2">
      <c r="A70" t="s">
        <v>3886</v>
      </c>
      <c r="B70" t="str">
        <f t="shared" si="1"/>
        <v>S1</v>
      </c>
      <c r="C70" t="str">
        <f>[1]Profand_Topical_Mapping!H70</f>
        <v>S1-17</v>
      </c>
      <c r="D70" t="str">
        <f>[1]Profand_Topical_Mapping!D70</f>
        <v>Cases of discrimination and corrective actions taken</v>
      </c>
      <c r="E70" t="str">
        <f>[1]Profand_Topical_Mapping!E70</f>
        <v>4.2. Protection and respect for human and labor rights</v>
      </c>
    </row>
    <row r="71" spans="1:5" x14ac:dyDescent="0.2">
      <c r="A71" t="s">
        <v>3886</v>
      </c>
      <c r="B71" t="str">
        <f t="shared" si="1"/>
        <v>S1</v>
      </c>
      <c r="C71" t="str">
        <f>[1]Profand_Topical_Mapping!H71</f>
        <v>S1-1</v>
      </c>
      <c r="D71" t="str">
        <f>[1]Profand_Topical_Mapping!D71</f>
        <v>Operations and suppliers with significant risk of child labor cases</v>
      </c>
      <c r="E71" t="str">
        <f>[1]Profand_Topical_Mapping!E71</f>
        <v>4.2. Protection and respect for human and labor rights / 4.4. Compliance, good corporate governance and fiscal transparency</v>
      </c>
    </row>
    <row r="72" spans="1:5" x14ac:dyDescent="0.2">
      <c r="A72" t="s">
        <v>3886</v>
      </c>
      <c r="B72" t="str">
        <f t="shared" si="1"/>
        <v>S2</v>
      </c>
      <c r="C72" t="str">
        <f>[1]Profand_Topical_Mapping!H72</f>
        <v>S2-1</v>
      </c>
      <c r="D72" t="str">
        <f>[1]Profand_Topical_Mapping!D72</f>
        <v>Operations and suppliers with significant risk of child labor cases</v>
      </c>
      <c r="E72" t="str">
        <f>[1]Profand_Topical_Mapping!E72</f>
        <v>4.2. Protection and respect for human and labor rights / 4.4. Compliance, good corporate governance and fiscal transparency</v>
      </c>
    </row>
    <row r="73" spans="1:5" x14ac:dyDescent="0.2">
      <c r="A73" t="s">
        <v>3886</v>
      </c>
      <c r="B73" t="str">
        <f t="shared" si="1"/>
        <v>S1</v>
      </c>
      <c r="C73" t="str">
        <f>[1]Profand_Topical_Mapping!H73</f>
        <v>S1-1</v>
      </c>
      <c r="D73" t="str">
        <f>[1]Profand_Topical_Mapping!D73</f>
        <v>Operations and suppliers with significant risk of cases of forced or compulsory labor</v>
      </c>
      <c r="E73" t="str">
        <f>[1]Profand_Topical_Mapping!E73</f>
        <v>4.2. Protection and respect for human and labor rights / 4.4. Compliance, good corporate governance and fiscal transparency</v>
      </c>
    </row>
    <row r="74" spans="1:5" x14ac:dyDescent="0.2">
      <c r="A74" t="s">
        <v>3886</v>
      </c>
      <c r="B74" t="str">
        <f t="shared" si="1"/>
        <v>S2</v>
      </c>
      <c r="C74" t="str">
        <f>[1]Profand_Topical_Mapping!H74</f>
        <v>S2-1</v>
      </c>
      <c r="D74" t="str">
        <f>[1]Profand_Topical_Mapping!D74</f>
        <v>Operations and suppliers with significant risk of cases of forced or compulsory labor</v>
      </c>
      <c r="E74" t="str">
        <f>[1]Profand_Topical_Mapping!E74</f>
        <v>4.2. Protection and respect for human and labor rights / 4.4. Compliance, good corporate governance and fiscal transparency</v>
      </c>
    </row>
    <row r="75" spans="1:5" x14ac:dyDescent="0.2">
      <c r="A75" t="s">
        <v>3886</v>
      </c>
      <c r="B75" t="str">
        <f t="shared" si="1"/>
        <v>G1</v>
      </c>
      <c r="C75" t="str">
        <f>[1]Profand_Topical_Mapping!H75</f>
        <v>G1-5</v>
      </c>
      <c r="D75" t="str">
        <f>[1]Profand_Topical_Mapping!D75</f>
        <v>Political contributions</v>
      </c>
      <c r="E75">
        <f>[1]Profand_Topical_Mapping!E75</f>
        <v>0</v>
      </c>
    </row>
    <row r="76" spans="1:5" x14ac:dyDescent="0.2">
      <c r="A76" t="s">
        <v>3886</v>
      </c>
      <c r="B76" t="str">
        <f t="shared" si="1"/>
        <v>S4</v>
      </c>
      <c r="C76" t="str">
        <f>[1]Profand_Topical_Mapping!H76</f>
        <v>S4-3</v>
      </c>
      <c r="D76" t="str">
        <f>[1]Profand_Topical_Mapping!D76</f>
        <v>Substantiated complaints regarding breaches of customer privacy and loss of customer data</v>
      </c>
      <c r="E76">
        <f>[1]Profand_Topical_Mapping!E76</f>
        <v>0</v>
      </c>
    </row>
    <row r="77" spans="1:5" x14ac:dyDescent="0.2">
      <c r="A77" t="s">
        <v>3886</v>
      </c>
      <c r="B77" t="str">
        <f t="shared" si="1"/>
        <v>S4</v>
      </c>
      <c r="C77" t="str">
        <f>[1]Profand_Topical_Mapping!H77</f>
        <v>S4-4</v>
      </c>
      <c r="D77" t="str">
        <f>[1]Profand_Topical_Mapping!D77</f>
        <v>Substantiated complaints regarding breaches of customer privacy and loss of customer data</v>
      </c>
      <c r="E77">
        <f>[1]Profand_Topical_Mapping!E77</f>
        <v>0</v>
      </c>
    </row>
    <row r="78" spans="1:5" s="14" customFormat="1" x14ac:dyDescent="0.2"/>
    <row r="79" spans="1:5" s="14" customFormat="1" x14ac:dyDescent="0.2"/>
    <row r="80" spans="1:5"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6EFC-5DF5-354C-85F9-CC885D03B78D}">
  <sheetPr>
    <tabColor rgb="FF92D050"/>
  </sheetPr>
  <dimension ref="A1:F97"/>
  <sheetViews>
    <sheetView topLeftCell="A4" workbookViewId="0">
      <selection activeCell="D21" sqref="D21"/>
    </sheetView>
  </sheetViews>
  <sheetFormatPr baseColWidth="10" defaultRowHeight="15" x14ac:dyDescent="0.2"/>
  <cols>
    <col min="1" max="1" width="23" customWidth="1"/>
    <col min="4" max="4" width="68.33203125" customWidth="1"/>
    <col min="5" max="5" width="92" customWidth="1"/>
    <col min="6" max="6" width="22.6640625" customWidth="1"/>
  </cols>
  <sheetData>
    <row r="1" spans="1:6" x14ac:dyDescent="0.2">
      <c r="A1" s="12" t="s">
        <v>3873</v>
      </c>
      <c r="B1" s="12" t="s">
        <v>1667</v>
      </c>
      <c r="C1" s="12" t="s">
        <v>1669</v>
      </c>
      <c r="D1" s="12" t="s">
        <v>3874</v>
      </c>
      <c r="E1" s="12" t="s">
        <v>3875</v>
      </c>
      <c r="F1" s="12" t="s">
        <v>3890</v>
      </c>
    </row>
    <row r="2" spans="1:6" x14ac:dyDescent="0.2">
      <c r="A2" t="s">
        <v>3888</v>
      </c>
      <c r="B2" t="str">
        <f>LEFT(C2, FIND("-", C2) - 1)</f>
        <v>S1</v>
      </c>
      <c r="C2" t="str">
        <f>[2]Nomad_Topical_Mapping!H2</f>
        <v>S1-6</v>
      </c>
      <c r="D2" t="str">
        <f>[2]Nomad_Topical_Mapping!D2</f>
        <v>Total number of employees</v>
      </c>
      <c r="E2" t="str">
        <f>[2]Nomad_Topical_Mapping!E2</f>
        <v>Data tables</v>
      </c>
    </row>
    <row r="3" spans="1:6" x14ac:dyDescent="0.2">
      <c r="A3" t="s">
        <v>3888</v>
      </c>
      <c r="B3" t="str">
        <f t="shared" ref="B3:B65" si="0">LEFT(C3, FIND("-", C3) - 1)</f>
        <v>S1</v>
      </c>
      <c r="C3" t="str">
        <f>[2]Nomad_Topical_Mapping!H3</f>
        <v>S1-6</v>
      </c>
      <c r="D3" t="str">
        <f>[2]Nomad_Topical_Mapping!D3</f>
        <v>Employee breakdown by gender and region</v>
      </c>
      <c r="E3" t="str">
        <f>[2]Nomad_Topical_Mapping!E3</f>
        <v>Data tables</v>
      </c>
    </row>
    <row r="4" spans="1:6" x14ac:dyDescent="0.2">
      <c r="A4" t="s">
        <v>3888</v>
      </c>
      <c r="B4" t="str">
        <f t="shared" si="0"/>
        <v>G1</v>
      </c>
      <c r="C4" t="str">
        <f>[2]Nomad_Topical_Mapping!H4</f>
        <v>G1-3</v>
      </c>
      <c r="D4" t="str">
        <f>[2]Nomad_Topical_Mapping!D4</f>
        <v>Delegation of responsibility</v>
      </c>
      <c r="E4" t="str">
        <f>[2]Nomad_Topical_Mapping!E4</f>
        <v>Sustainability governance</v>
      </c>
    </row>
    <row r="5" spans="1:6" x14ac:dyDescent="0.2">
      <c r="A5" t="s">
        <v>3888</v>
      </c>
      <c r="B5" t="str">
        <f t="shared" si="0"/>
        <v>S1</v>
      </c>
      <c r="C5" t="str">
        <f>[2]Nomad_Topical_Mapping!H5</f>
        <v>S1-1</v>
      </c>
      <c r="D5" t="str">
        <f>[2]Nomad_Topical_Mapping!D5</f>
        <v>Policy commitments for responsible business conduct</v>
      </c>
      <c r="E5" t="str">
        <f>[2]Nomad_Topical_Mapping!E5</f>
        <v>Sustainability governance / Code of Business Principles / Supplier Code of Conduct</v>
      </c>
    </row>
    <row r="6" spans="1:6" x14ac:dyDescent="0.2">
      <c r="A6" t="s">
        <v>3888</v>
      </c>
      <c r="B6" t="str">
        <f t="shared" si="0"/>
        <v>S2</v>
      </c>
      <c r="C6" t="str">
        <f>[2]Nomad_Topical_Mapping!H6</f>
        <v>S2-1</v>
      </c>
      <c r="D6" t="str">
        <f>[2]Nomad_Topical_Mapping!D6</f>
        <v>Policy commitments for responsible business conduct</v>
      </c>
      <c r="E6" t="str">
        <f>[2]Nomad_Topical_Mapping!E6</f>
        <v>Sustainability governance / Code of Business Principles / Supplier Code of Conduct</v>
      </c>
    </row>
    <row r="7" spans="1:6" x14ac:dyDescent="0.2">
      <c r="A7" t="s">
        <v>3888</v>
      </c>
      <c r="B7" t="str">
        <f t="shared" si="0"/>
        <v>G1</v>
      </c>
      <c r="C7" t="str">
        <f>[2]Nomad_Topical_Mapping!H7</f>
        <v>G1-1</v>
      </c>
      <c r="D7" t="str">
        <f>[2]Nomad_Topical_Mapping!D7</f>
        <v>Policy commitments for responsible business conduct</v>
      </c>
      <c r="E7" t="str">
        <f>[2]Nomad_Topical_Mapping!E7</f>
        <v>Sustainability governance / Code of Business Principles / Supplier Code of Conduct</v>
      </c>
    </row>
    <row r="8" spans="1:6" x14ac:dyDescent="0.2">
      <c r="A8" t="s">
        <v>3888</v>
      </c>
      <c r="B8" t="str">
        <f t="shared" si="0"/>
        <v>G1</v>
      </c>
      <c r="C8" t="str">
        <f>[2]Nomad_Topical_Mapping!H8</f>
        <v>G1-1</v>
      </c>
      <c r="D8" t="str">
        <f>[2]Nomad_Topical_Mapping!D8</f>
        <v>Embedding policy commitments for responsible business conduct</v>
      </c>
      <c r="E8" t="str">
        <f>[2]Nomad_Topical_Mapping!E8</f>
        <v>Sustainability governance</v>
      </c>
    </row>
    <row r="9" spans="1:6" x14ac:dyDescent="0.2">
      <c r="A9" t="s">
        <v>3888</v>
      </c>
      <c r="B9" t="str">
        <f t="shared" si="0"/>
        <v>S1</v>
      </c>
      <c r="C9" t="str">
        <f>[2]Nomad_Topical_Mapping!H9</f>
        <v>S1-3</v>
      </c>
      <c r="D9" t="str">
        <f>[2]Nomad_Topical_Mapping!D9</f>
        <v>Mechanisms for seeking advice and raising concerns</v>
      </c>
      <c r="E9" t="str">
        <f>[2]Nomad_Topical_Mapping!E9</f>
        <v>Sustainability governance – Speak up programme</v>
      </c>
    </row>
    <row r="10" spans="1:6" x14ac:dyDescent="0.2">
      <c r="A10" t="s">
        <v>3888</v>
      </c>
      <c r="B10" t="str">
        <f t="shared" si="0"/>
        <v>S2</v>
      </c>
      <c r="C10" t="str">
        <f>[2]Nomad_Topical_Mapping!H10</f>
        <v>S2-3</v>
      </c>
      <c r="D10" t="str">
        <f>[2]Nomad_Topical_Mapping!D10</f>
        <v>Mechanisms for seeking advice and raising concerns</v>
      </c>
      <c r="E10" t="str">
        <f>[2]Nomad_Topical_Mapping!E10</f>
        <v>Sustainability governance – Speak up programme</v>
      </c>
    </row>
    <row r="11" spans="1:6" x14ac:dyDescent="0.2">
      <c r="A11" t="s">
        <v>3888</v>
      </c>
      <c r="B11" t="str">
        <f t="shared" si="0"/>
        <v>G1</v>
      </c>
      <c r="C11" t="str">
        <f>[2]Nomad_Topical_Mapping!H11</f>
        <v>G1-1</v>
      </c>
      <c r="D11" t="str">
        <f>[2]Nomad_Topical_Mapping!D11</f>
        <v>Mechanisms for seeking advice and raising concerns</v>
      </c>
      <c r="E11" t="str">
        <f>[2]Nomad_Topical_Mapping!E11</f>
        <v>Sustainability governance – Speak up programme</v>
      </c>
    </row>
    <row r="12" spans="1:6" x14ac:dyDescent="0.2">
      <c r="A12" t="s">
        <v>3888</v>
      </c>
      <c r="B12" t="str">
        <f t="shared" si="0"/>
        <v>G1</v>
      </c>
      <c r="C12" t="str">
        <f>[2]Nomad_Topical_Mapping!H12</f>
        <v>G1-3</v>
      </c>
      <c r="D12" t="str">
        <f>[2]Nomad_Topical_Mapping!D12</f>
        <v>Mechanisms for seeking advice and raising concerns</v>
      </c>
      <c r="E12" t="str">
        <f>[2]Nomad_Topical_Mapping!E12</f>
        <v>Sustainability governance – Speak up programme</v>
      </c>
    </row>
    <row r="13" spans="1:6" x14ac:dyDescent="0.2">
      <c r="A13" t="s">
        <v>3888</v>
      </c>
      <c r="B13" t="str">
        <f t="shared" si="0"/>
        <v>E2</v>
      </c>
      <c r="C13" t="str">
        <f>[2]Nomad_Topical_Mapping!H13</f>
        <v>E2-4</v>
      </c>
      <c r="D13" t="str">
        <f>[2]Nomad_Topical_Mapping!D13</f>
        <v>Commitment to legal compliance and anti-bribery outlined</v>
      </c>
      <c r="E13" t="str">
        <f>[2]Nomad_Topical_Mapping!E13</f>
        <v>ESG regulation and reporting / Anti-bribery and corruption</v>
      </c>
    </row>
    <row r="14" spans="1:6" x14ac:dyDescent="0.2">
      <c r="A14" t="s">
        <v>3888</v>
      </c>
      <c r="B14" t="str">
        <f t="shared" si="0"/>
        <v>S1</v>
      </c>
      <c r="C14" t="str">
        <f>[2]Nomad_Topical_Mapping!H14</f>
        <v>S1-17</v>
      </c>
      <c r="D14" t="str">
        <f>[2]Nomad_Topical_Mapping!D14</f>
        <v>Commitment to legal compliance and anti-bribery outlined</v>
      </c>
      <c r="E14" t="str">
        <f>[2]Nomad_Topical_Mapping!E14</f>
        <v>ESG regulation and reporting / Anti-bribery and corruption</v>
      </c>
    </row>
    <row r="15" spans="1:6" x14ac:dyDescent="0.2">
      <c r="A15" t="s">
        <v>3888</v>
      </c>
      <c r="B15" t="str">
        <f t="shared" si="0"/>
        <v>G1</v>
      </c>
      <c r="C15" t="str">
        <f>[2]Nomad_Topical_Mapping!H15</f>
        <v>G1-4</v>
      </c>
      <c r="D15" t="str">
        <f>[2]Nomad_Topical_Mapping!D15</f>
        <v>Commitment to legal compliance and anti-bribery outlined</v>
      </c>
      <c r="E15" t="str">
        <f>[2]Nomad_Topical_Mapping!E15</f>
        <v>ESG regulation and reporting / Anti-bribery and corruption</v>
      </c>
    </row>
    <row r="16" spans="1:6" x14ac:dyDescent="0.2">
      <c r="A16" t="s">
        <v>3888</v>
      </c>
      <c r="B16" t="str">
        <f t="shared" si="0"/>
        <v>G1</v>
      </c>
      <c r="C16" t="str">
        <f>[2]Nomad_Topical_Mapping!H16</f>
        <v>G1-5</v>
      </c>
      <c r="D16" t="str">
        <f>[2]Nomad_Topical_Mapping!D16</f>
        <v>Participation in industry associations and advocacy organizations</v>
      </c>
      <c r="E16" t="str">
        <f>[2]Nomad_Topical_Mapping!E16</f>
        <v>Stakeholder engagement / Examples throughout report</v>
      </c>
    </row>
    <row r="17" spans="1:5" x14ac:dyDescent="0.2">
      <c r="A17" t="s">
        <v>3888</v>
      </c>
      <c r="B17" t="str">
        <f t="shared" si="0"/>
        <v>S1</v>
      </c>
      <c r="C17" t="str">
        <f>[2]Nomad_Topical_Mapping!H17</f>
        <v>S1-2</v>
      </c>
      <c r="D17" t="str">
        <f>[2]Nomad_Topical_Mapping!D17</f>
        <v>Approach to stakeholder engagement</v>
      </c>
      <c r="E17" t="str">
        <f>[2]Nomad_Topical_Mapping!E17</f>
        <v>Sustainability stakeholder engagement process</v>
      </c>
    </row>
    <row r="18" spans="1:5" x14ac:dyDescent="0.2">
      <c r="A18" t="s">
        <v>3888</v>
      </c>
      <c r="B18" t="str">
        <f t="shared" si="0"/>
        <v>S2</v>
      </c>
      <c r="C18" t="str">
        <f>[2]Nomad_Topical_Mapping!H18</f>
        <v>S2-2</v>
      </c>
      <c r="D18" t="str">
        <f>[2]Nomad_Topical_Mapping!D18</f>
        <v>Approach to stakeholder engagement</v>
      </c>
      <c r="E18" t="str">
        <f>[2]Nomad_Topical_Mapping!E18</f>
        <v>Sustainability stakeholder engagement process</v>
      </c>
    </row>
    <row r="19" spans="1:5" x14ac:dyDescent="0.2">
      <c r="A19" t="s">
        <v>3888</v>
      </c>
      <c r="B19" t="str">
        <f t="shared" si="0"/>
        <v>E2</v>
      </c>
      <c r="C19" t="str">
        <f>[2]Nomad_Topical_Mapping!H19</f>
        <v>E2-2</v>
      </c>
      <c r="D19" t="str">
        <f>[2]Nomad_Topical_Mapping!D19</f>
        <v>Actions taken to manage negative biodiversity impacts</v>
      </c>
      <c r="E19" t="str">
        <f>[2]Nomad_Topical_Mapping!E19</f>
        <v>Fish and seafood / Agriculture</v>
      </c>
    </row>
    <row r="20" spans="1:5" x14ac:dyDescent="0.2">
      <c r="A20" t="s">
        <v>3888</v>
      </c>
      <c r="B20" t="str">
        <f t="shared" si="0"/>
        <v>E3</v>
      </c>
      <c r="C20" t="str">
        <f>[2]Nomad_Topical_Mapping!H20</f>
        <v>E3-2</v>
      </c>
      <c r="D20" t="str">
        <f>[2]Nomad_Topical_Mapping!D20</f>
        <v>Actions taken to manage negative biodiversity impacts</v>
      </c>
      <c r="E20" t="str">
        <f>[2]Nomad_Topical_Mapping!E20</f>
        <v>Fish and seafood / Agriculture</v>
      </c>
    </row>
    <row r="21" spans="1:5" x14ac:dyDescent="0.2">
      <c r="A21" t="s">
        <v>3888</v>
      </c>
      <c r="B21" t="str">
        <f t="shared" si="0"/>
        <v>E4</v>
      </c>
      <c r="C21" t="str">
        <f>[2]Nomad_Topical_Mapping!H21</f>
        <v>E4-2</v>
      </c>
      <c r="D21" t="str">
        <f>[2]Nomad_Topical_Mapping!D21</f>
        <v>Actions taken to manage negative biodiversity impacts</v>
      </c>
      <c r="E21" t="str">
        <f>[2]Nomad_Topical_Mapping!E21</f>
        <v>Fish and seafood / Agriculture</v>
      </c>
    </row>
    <row r="22" spans="1:5" x14ac:dyDescent="0.2">
      <c r="A22" t="s">
        <v>3888</v>
      </c>
      <c r="B22" t="str">
        <f t="shared" si="0"/>
        <v>E4</v>
      </c>
      <c r="C22" t="str">
        <f>[2]Nomad_Topical_Mapping!H22</f>
        <v>E4-3</v>
      </c>
      <c r="D22" t="str">
        <f>[2]Nomad_Topical_Mapping!D22</f>
        <v>Actions taken to manage negative biodiversity impacts</v>
      </c>
      <c r="E22" t="str">
        <f>[2]Nomad_Topical_Mapping!E22</f>
        <v>Fish and seafood / Agriculture</v>
      </c>
    </row>
    <row r="23" spans="1:5" x14ac:dyDescent="0.2">
      <c r="A23" t="s">
        <v>3888</v>
      </c>
      <c r="B23" t="str">
        <f t="shared" si="0"/>
        <v>E1</v>
      </c>
      <c r="C23" t="str">
        <f>[2]Nomad_Topical_Mapping!H23</f>
        <v>E1-3</v>
      </c>
      <c r="D23" t="str">
        <f>[2]Nomad_Topical_Mapping!D23</f>
        <v>Financial implications and other risks/opportunities due to climate change</v>
      </c>
      <c r="E23" t="str">
        <f>[2]Nomad_Topical_Mapping!E23</f>
        <v>Annual report / TCFD statement</v>
      </c>
    </row>
    <row r="24" spans="1:5" x14ac:dyDescent="0.2">
      <c r="A24" t="s">
        <v>3888</v>
      </c>
      <c r="B24" t="str">
        <f t="shared" si="0"/>
        <v>E1</v>
      </c>
      <c r="C24" t="str">
        <f>[2]Nomad_Topical_Mapping!H24</f>
        <v>E1-9</v>
      </c>
      <c r="D24" t="str">
        <f>[2]Nomad_Topical_Mapping!D24</f>
        <v>Financial implications and other risks/opportunities due to climate change</v>
      </c>
      <c r="E24" t="str">
        <f>[2]Nomad_Topical_Mapping!E24</f>
        <v>Annual report / TCFD statement</v>
      </c>
    </row>
    <row r="25" spans="1:5" x14ac:dyDescent="0.2">
      <c r="A25" t="s">
        <v>3888</v>
      </c>
      <c r="B25" t="str">
        <f t="shared" si="0"/>
        <v>G1</v>
      </c>
      <c r="C25" t="str">
        <f>[2]Nomad_Topical_Mapping!H25</f>
        <v>G1-3</v>
      </c>
      <c r="D25" t="str">
        <f>[2]Nomad_Topical_Mapping!D25</f>
        <v>Management approach — Anti-corruption</v>
      </c>
      <c r="E25" t="str">
        <f>[2]Nomad_Topical_Mapping!E25</f>
        <v>Anti-bribery and corruption</v>
      </c>
    </row>
    <row r="26" spans="1:5" x14ac:dyDescent="0.2">
      <c r="A26" t="s">
        <v>3888</v>
      </c>
      <c r="B26" t="str">
        <f t="shared" si="0"/>
        <v>G1</v>
      </c>
      <c r="C26" t="str">
        <f>[2]Nomad_Topical_Mapping!H26</f>
        <v>G1-4</v>
      </c>
      <c r="D26" t="str">
        <f>[2]Nomad_Topical_Mapping!D26</f>
        <v>Confirmed incidents of corruption and actions taken</v>
      </c>
      <c r="E26" t="str">
        <f>[2]Nomad_Topical_Mapping!E26</f>
        <v>Data tables</v>
      </c>
    </row>
    <row r="27" spans="1:5" x14ac:dyDescent="0.2">
      <c r="A27" t="s">
        <v>3888</v>
      </c>
      <c r="B27" t="str">
        <f t="shared" si="0"/>
        <v>E5</v>
      </c>
      <c r="C27" t="str">
        <f>[2]Nomad_Topical_Mapping!H27</f>
        <v>E5-1</v>
      </c>
      <c r="D27" t="str">
        <f>[2]Nomad_Topical_Mapping!D27</f>
        <v>Management approach — Materials</v>
      </c>
      <c r="E27" t="str">
        <f>[2]Nomad_Topical_Mapping!E27</f>
        <v>Packaging</v>
      </c>
    </row>
    <row r="28" spans="1:5" x14ac:dyDescent="0.2">
      <c r="A28" t="s">
        <v>3888</v>
      </c>
      <c r="B28" t="str">
        <f t="shared" si="0"/>
        <v>E5</v>
      </c>
      <c r="C28" t="str">
        <f>[2]Nomad_Topical_Mapping!H28</f>
        <v>E5-2</v>
      </c>
      <c r="D28" t="str">
        <f>[2]Nomad_Topical_Mapping!D28</f>
        <v>Management approach — Materials</v>
      </c>
      <c r="E28" t="str">
        <f>[2]Nomad_Topical_Mapping!E28</f>
        <v>Packaging</v>
      </c>
    </row>
    <row r="29" spans="1:5" x14ac:dyDescent="0.2">
      <c r="A29" t="s">
        <v>3888</v>
      </c>
      <c r="B29" t="str">
        <f t="shared" si="0"/>
        <v>E5</v>
      </c>
      <c r="C29" t="str">
        <f>[2]Nomad_Topical_Mapping!H29</f>
        <v>E5-3</v>
      </c>
      <c r="D29" t="str">
        <f>[2]Nomad_Topical_Mapping!D29</f>
        <v>Management approach — Materials</v>
      </c>
      <c r="E29" t="str">
        <f>[2]Nomad_Topical_Mapping!E29</f>
        <v>Packaging</v>
      </c>
    </row>
    <row r="30" spans="1:5" x14ac:dyDescent="0.2">
      <c r="A30" t="s">
        <v>3888</v>
      </c>
      <c r="B30" t="str">
        <f t="shared" si="0"/>
        <v>E5</v>
      </c>
      <c r="C30" t="str">
        <f>[2]Nomad_Topical_Mapping!H30</f>
        <v>E5-4</v>
      </c>
      <c r="D30" t="str">
        <f>[2]Nomad_Topical_Mapping!D30</f>
        <v>Recycled input materials used</v>
      </c>
      <c r="E30" t="str">
        <f>[2]Nomad_Topical_Mapping!E30</f>
        <v>Packaging</v>
      </c>
    </row>
    <row r="31" spans="1:5" x14ac:dyDescent="0.2">
      <c r="A31" t="s">
        <v>3888</v>
      </c>
      <c r="B31" t="str">
        <f t="shared" si="0"/>
        <v>E1</v>
      </c>
      <c r="C31" t="str">
        <f>[2]Nomad_Topical_Mapping!H31</f>
        <v>E1-2</v>
      </c>
      <c r="D31" t="str">
        <f>[2]Nomad_Topical_Mapping!D31</f>
        <v>Management approach — Energy</v>
      </c>
      <c r="E31" t="str">
        <f>[2]Nomad_Topical_Mapping!E31</f>
        <v>Packaging</v>
      </c>
    </row>
    <row r="32" spans="1:5" x14ac:dyDescent="0.2">
      <c r="A32" t="s">
        <v>3888</v>
      </c>
      <c r="B32" t="str">
        <f t="shared" si="0"/>
        <v>E1</v>
      </c>
      <c r="C32" t="str">
        <f>[2]Nomad_Topical_Mapping!H32</f>
        <v>E1-3</v>
      </c>
      <c r="D32" t="str">
        <f>[2]Nomad_Topical_Mapping!D32</f>
        <v>Management approach — Energy</v>
      </c>
      <c r="E32" t="str">
        <f>[2]Nomad_Topical_Mapping!E32</f>
        <v>Packaging</v>
      </c>
    </row>
    <row r="33" spans="1:5" x14ac:dyDescent="0.2">
      <c r="A33" t="s">
        <v>3888</v>
      </c>
      <c r="B33" t="str">
        <f t="shared" si="0"/>
        <v>E1</v>
      </c>
      <c r="C33" t="str">
        <f>[2]Nomad_Topical_Mapping!H33</f>
        <v>E1-4</v>
      </c>
      <c r="D33" t="str">
        <f>[2]Nomad_Topical_Mapping!D33</f>
        <v>Management approach — Energy</v>
      </c>
      <c r="E33" t="str">
        <f>[2]Nomad_Topical_Mapping!E33</f>
        <v>Packaging</v>
      </c>
    </row>
    <row r="34" spans="1:5" x14ac:dyDescent="0.2">
      <c r="A34" t="s">
        <v>3888</v>
      </c>
      <c r="B34" t="str">
        <f t="shared" si="0"/>
        <v>E1</v>
      </c>
      <c r="C34" t="str">
        <f>[2]Nomad_Topical_Mapping!H34</f>
        <v>E1-5</v>
      </c>
      <c r="D34" t="str">
        <f>[2]Nomad_Topical_Mapping!D34</f>
        <v>Energy consumption within the organisation</v>
      </c>
      <c r="E34" t="str">
        <f>[2]Nomad_Topical_Mapping!E34</f>
        <v>Packaging</v>
      </c>
    </row>
    <row r="35" spans="1:5" x14ac:dyDescent="0.2">
      <c r="A35" t="s">
        <v>3888</v>
      </c>
      <c r="B35" t="str">
        <f t="shared" si="0"/>
        <v>E3</v>
      </c>
      <c r="C35" t="str">
        <f>[2]Nomad_Topical_Mapping!H35</f>
        <v>E3-1</v>
      </c>
      <c r="D35" t="str">
        <f>[2]Nomad_Topical_Mapping!D35</f>
        <v>Management approach — Water</v>
      </c>
      <c r="E35" t="str">
        <f>[2]Nomad_Topical_Mapping!E35</f>
        <v>Waste and water / Data tables / Environment Policy</v>
      </c>
    </row>
    <row r="36" spans="1:5" x14ac:dyDescent="0.2">
      <c r="A36" t="s">
        <v>3888</v>
      </c>
      <c r="B36" t="str">
        <f t="shared" si="0"/>
        <v>E3</v>
      </c>
      <c r="C36" t="str">
        <f>[2]Nomad_Topical_Mapping!H36</f>
        <v>E3-2</v>
      </c>
      <c r="D36" t="str">
        <f>[2]Nomad_Topical_Mapping!D36</f>
        <v>Management approach — Water</v>
      </c>
      <c r="E36" t="str">
        <f>[2]Nomad_Topical_Mapping!E36</f>
        <v>Waste and water / Data tables / Environment Policy</v>
      </c>
    </row>
    <row r="37" spans="1:5" x14ac:dyDescent="0.2">
      <c r="A37" t="s">
        <v>3888</v>
      </c>
      <c r="B37" t="str">
        <f t="shared" si="0"/>
        <v>E3</v>
      </c>
      <c r="C37" t="str">
        <f>[2]Nomad_Topical_Mapping!H37</f>
        <v>E3-3</v>
      </c>
      <c r="D37" t="str">
        <f>[2]Nomad_Topical_Mapping!D37</f>
        <v>Management approach — Water</v>
      </c>
      <c r="E37" t="str">
        <f>[2]Nomad_Topical_Mapping!E37</f>
        <v>Waste and water / Data tables / Environment Policy</v>
      </c>
    </row>
    <row r="38" spans="1:5" x14ac:dyDescent="0.2">
      <c r="A38" t="s">
        <v>3888</v>
      </c>
      <c r="B38" t="str">
        <f t="shared" si="0"/>
        <v>E3</v>
      </c>
      <c r="C38" t="str">
        <f>[2]Nomad_Topical_Mapping!H38</f>
        <v>E3-4</v>
      </c>
      <c r="D38" t="str">
        <f>[2]Nomad_Topical_Mapping!D38</f>
        <v>Water withdrawal</v>
      </c>
      <c r="E38" t="str">
        <f>[2]Nomad_Topical_Mapping!E38</f>
        <v>Data tables</v>
      </c>
    </row>
    <row r="39" spans="1:5" x14ac:dyDescent="0.2">
      <c r="A39" t="s">
        <v>3888</v>
      </c>
      <c r="B39" t="str">
        <f t="shared" si="0"/>
        <v>E3</v>
      </c>
      <c r="C39" t="str">
        <f>[2]Nomad_Topical_Mapping!H39</f>
        <v>E3-4</v>
      </c>
      <c r="D39" t="str">
        <f>[2]Nomad_Topical_Mapping!D39</f>
        <v>Water discharge</v>
      </c>
      <c r="E39" t="str">
        <f>[2]Nomad_Topical_Mapping!E39</f>
        <v>Data tables</v>
      </c>
    </row>
    <row r="40" spans="1:5" x14ac:dyDescent="0.2">
      <c r="A40" t="s">
        <v>3888</v>
      </c>
      <c r="B40" t="str">
        <f t="shared" si="0"/>
        <v>E3</v>
      </c>
      <c r="C40" t="str">
        <f>[2]Nomad_Topical_Mapping!H40</f>
        <v>E3-4</v>
      </c>
      <c r="D40" t="str">
        <f>[2]Nomad_Topical_Mapping!D40</f>
        <v>Water consumption</v>
      </c>
      <c r="E40" t="str">
        <f>[2]Nomad_Topical_Mapping!E40</f>
        <v>Waste and water / Data tables</v>
      </c>
    </row>
    <row r="41" spans="1:5" x14ac:dyDescent="0.2">
      <c r="A41" t="s">
        <v>3888</v>
      </c>
      <c r="B41" t="str">
        <f t="shared" si="0"/>
        <v>E1</v>
      </c>
      <c r="C41" t="str">
        <f>[2]Nomad_Topical_Mapping!H41</f>
        <v>E1-2</v>
      </c>
      <c r="D41" t="str">
        <f>[2]Nomad_Topical_Mapping!D41</f>
        <v>Management approach — Emissions</v>
      </c>
      <c r="E41" t="str">
        <f>[2]Nomad_Topical_Mapping!E41</f>
        <v>Climate change and greenhouse gases / Data tables</v>
      </c>
    </row>
    <row r="42" spans="1:5" x14ac:dyDescent="0.2">
      <c r="A42" t="s">
        <v>3888</v>
      </c>
      <c r="B42" t="str">
        <f t="shared" si="0"/>
        <v>E1</v>
      </c>
      <c r="C42" t="str">
        <f>[2]Nomad_Topical_Mapping!H42</f>
        <v>E1-3</v>
      </c>
      <c r="D42" t="str">
        <f>[2]Nomad_Topical_Mapping!D42</f>
        <v>Management approach — Emissions</v>
      </c>
      <c r="E42" t="str">
        <f>[2]Nomad_Topical_Mapping!E42</f>
        <v>Climate change and greenhouse gases / Data tables</v>
      </c>
    </row>
    <row r="43" spans="1:5" x14ac:dyDescent="0.2">
      <c r="A43" t="s">
        <v>3888</v>
      </c>
      <c r="B43" t="str">
        <f t="shared" si="0"/>
        <v>E1</v>
      </c>
      <c r="C43" t="str">
        <f>[2]Nomad_Topical_Mapping!H43</f>
        <v>E1-4</v>
      </c>
      <c r="D43" t="str">
        <f>[2]Nomad_Topical_Mapping!D43</f>
        <v>Management approach — Emissions</v>
      </c>
      <c r="E43" t="str">
        <f>[2]Nomad_Topical_Mapping!E43</f>
        <v>Climate change and greenhouse gases / Data tables</v>
      </c>
    </row>
    <row r="44" spans="1:5" x14ac:dyDescent="0.2">
      <c r="A44" t="s">
        <v>3888</v>
      </c>
      <c r="B44" t="str">
        <f t="shared" si="0"/>
        <v>E1</v>
      </c>
      <c r="C44" t="str">
        <f>[2]Nomad_Topical_Mapping!H44</f>
        <v>E1-4</v>
      </c>
      <c r="D44" t="str">
        <f>[2]Nomad_Topical_Mapping!D44</f>
        <v>Direct (Scope 1) GHG emissions</v>
      </c>
      <c r="E44" t="str">
        <f>[2]Nomad_Topical_Mapping!E44</f>
        <v>Climate change and greenhouse gases / Data tables</v>
      </c>
    </row>
    <row r="45" spans="1:5" x14ac:dyDescent="0.2">
      <c r="A45" t="s">
        <v>3888</v>
      </c>
      <c r="B45" t="str">
        <f t="shared" si="0"/>
        <v>E1</v>
      </c>
      <c r="C45" t="str">
        <f>[2]Nomad_Topical_Mapping!H45</f>
        <v>E1-6</v>
      </c>
      <c r="D45" t="str">
        <f>[2]Nomad_Topical_Mapping!D45</f>
        <v>Direct (Scope 1) GHG emissions</v>
      </c>
      <c r="E45" t="str">
        <f>[2]Nomad_Topical_Mapping!E45</f>
        <v>Climate change and greenhouse gases / Data tables</v>
      </c>
    </row>
    <row r="46" spans="1:5" x14ac:dyDescent="0.2">
      <c r="A46" t="s">
        <v>3888</v>
      </c>
      <c r="B46" t="str">
        <f t="shared" si="0"/>
        <v>E1</v>
      </c>
      <c r="C46" t="str">
        <f>[2]Nomad_Topical_Mapping!H46</f>
        <v>E1-4</v>
      </c>
      <c r="D46" t="str">
        <f>[2]Nomad_Topical_Mapping!D46</f>
        <v>Energy indirect (Scope 2) GHG emissions</v>
      </c>
      <c r="E46" t="str">
        <f>[2]Nomad_Topical_Mapping!E46</f>
        <v>Climate change and greenhouse gases / Data tables</v>
      </c>
    </row>
    <row r="47" spans="1:5" x14ac:dyDescent="0.2">
      <c r="A47" t="s">
        <v>3888</v>
      </c>
      <c r="B47" t="str">
        <f t="shared" si="0"/>
        <v>E1</v>
      </c>
      <c r="C47" t="str">
        <f>[2]Nomad_Topical_Mapping!H47</f>
        <v>E1-6</v>
      </c>
      <c r="D47" t="str">
        <f>[2]Nomad_Topical_Mapping!D47</f>
        <v>Energy indirect (Scope 2) GHG emissions</v>
      </c>
      <c r="E47" t="str">
        <f>[2]Nomad_Topical_Mapping!E47</f>
        <v>Climate change and greenhouse gases / Data tables</v>
      </c>
    </row>
    <row r="48" spans="1:5" x14ac:dyDescent="0.2">
      <c r="A48" t="s">
        <v>3888</v>
      </c>
      <c r="B48" t="str">
        <f t="shared" si="0"/>
        <v>E1</v>
      </c>
      <c r="C48" t="str">
        <f>[2]Nomad_Topical_Mapping!H48</f>
        <v>E1-4</v>
      </c>
      <c r="D48" t="str">
        <f>[2]Nomad_Topical_Mapping!D48</f>
        <v>Other indirect (Scope 3) GHG emissions</v>
      </c>
      <c r="E48" t="str">
        <f>[2]Nomad_Topical_Mapping!E48</f>
        <v>Climate change and greenhouse gases / Data tables</v>
      </c>
    </row>
    <row r="49" spans="1:5" x14ac:dyDescent="0.2">
      <c r="A49" t="s">
        <v>3888</v>
      </c>
      <c r="B49" t="str">
        <f t="shared" si="0"/>
        <v>E1</v>
      </c>
      <c r="C49" t="str">
        <f>[2]Nomad_Topical_Mapping!H49</f>
        <v>E1-6</v>
      </c>
      <c r="D49" t="str">
        <f>[2]Nomad_Topical_Mapping!D49</f>
        <v>Other indirect (Scope 3) GHG emissions</v>
      </c>
      <c r="E49" t="str">
        <f>[2]Nomad_Topical_Mapping!E49</f>
        <v>Climate change and greenhouse gases / Data tables</v>
      </c>
    </row>
    <row r="50" spans="1:5" x14ac:dyDescent="0.2">
      <c r="A50" t="s">
        <v>3888</v>
      </c>
      <c r="B50" t="str">
        <f t="shared" si="0"/>
        <v>E1</v>
      </c>
      <c r="C50" t="str">
        <f>[2]Nomad_Topical_Mapping!H50</f>
        <v>E1-6</v>
      </c>
      <c r="D50" t="str">
        <f>[2]Nomad_Topical_Mapping!D50</f>
        <v>GHG emissions intensity</v>
      </c>
      <c r="E50" t="str">
        <f>[2]Nomad_Topical_Mapping!E50</f>
        <v>Climate change and greenhouse gases / Data tables</v>
      </c>
    </row>
    <row r="51" spans="1:5" x14ac:dyDescent="0.2">
      <c r="A51" t="s">
        <v>3888</v>
      </c>
      <c r="B51" t="str">
        <f t="shared" si="0"/>
        <v>E1</v>
      </c>
      <c r="C51" t="str">
        <f>[2]Nomad_Topical_Mapping!H51</f>
        <v>E1-3</v>
      </c>
      <c r="D51" t="str">
        <f>[2]Nomad_Topical_Mapping!D51</f>
        <v>Reduction of GHG emissions</v>
      </c>
      <c r="E51" t="str">
        <f>[2]Nomad_Topical_Mapping!E51</f>
        <v>Climate change and greenhouse gases / Data tables</v>
      </c>
    </row>
    <row r="52" spans="1:5" x14ac:dyDescent="0.2">
      <c r="A52" t="s">
        <v>3888</v>
      </c>
      <c r="B52" t="str">
        <f t="shared" si="0"/>
        <v>E1</v>
      </c>
      <c r="C52" t="str">
        <f>[2]Nomad_Topical_Mapping!H52</f>
        <v>E1-4</v>
      </c>
      <c r="D52" t="str">
        <f>[2]Nomad_Topical_Mapping!D52</f>
        <v>Reduction of GHG emissions</v>
      </c>
      <c r="E52" t="str">
        <f>[2]Nomad_Topical_Mapping!E52</f>
        <v>Climate change and greenhouse gases / Data tables</v>
      </c>
    </row>
    <row r="53" spans="1:5" x14ac:dyDescent="0.2">
      <c r="A53" t="s">
        <v>3888</v>
      </c>
      <c r="B53" t="str">
        <f t="shared" si="0"/>
        <v>E5</v>
      </c>
      <c r="C53" t="str">
        <f>[2]Nomad_Topical_Mapping!H54</f>
        <v>E5-1</v>
      </c>
      <c r="D53" t="str">
        <f>[2]Nomad_Topical_Mapping!D54</f>
        <v>Management approach — Waste</v>
      </c>
      <c r="E53" t="str">
        <f>[2]Nomad_Topical_Mapping!E54</f>
        <v>Waste and water / Environment Policy</v>
      </c>
    </row>
    <row r="54" spans="1:5" x14ac:dyDescent="0.2">
      <c r="A54" t="s">
        <v>3888</v>
      </c>
      <c r="B54" t="str">
        <f t="shared" si="0"/>
        <v>E5</v>
      </c>
      <c r="C54" t="str">
        <f>[2]Nomad_Topical_Mapping!H55</f>
        <v>E5-2</v>
      </c>
      <c r="D54" t="str">
        <f>[2]Nomad_Topical_Mapping!D55</f>
        <v>Management approach — Waste</v>
      </c>
      <c r="E54" t="str">
        <f>[2]Nomad_Topical_Mapping!E55</f>
        <v>Waste and water / Environment Policy</v>
      </c>
    </row>
    <row r="55" spans="1:5" x14ac:dyDescent="0.2">
      <c r="A55" t="s">
        <v>3888</v>
      </c>
      <c r="B55" t="str">
        <f t="shared" si="0"/>
        <v>E5</v>
      </c>
      <c r="C55" t="str">
        <f>[2]Nomad_Topical_Mapping!H56</f>
        <v>E5-3</v>
      </c>
      <c r="D55" t="str">
        <f>[2]Nomad_Topical_Mapping!D56</f>
        <v>Management approach — Waste</v>
      </c>
      <c r="E55" t="str">
        <f>[2]Nomad_Topical_Mapping!E56</f>
        <v>Waste and water / Environment Policy</v>
      </c>
    </row>
    <row r="56" spans="1:5" x14ac:dyDescent="0.2">
      <c r="A56" t="s">
        <v>3888</v>
      </c>
      <c r="B56" t="str">
        <f t="shared" si="0"/>
        <v>E5</v>
      </c>
      <c r="C56" t="str">
        <f>[2]Nomad_Topical_Mapping!H57</f>
        <v>E5-4</v>
      </c>
      <c r="D56" t="str">
        <f>[2]Nomad_Topical_Mapping!D57</f>
        <v>Operational waste profile and significant environmental impact</v>
      </c>
      <c r="E56" t="str">
        <f>[2]Nomad_Topical_Mapping!E57</f>
        <v>Waste and water</v>
      </c>
    </row>
    <row r="57" spans="1:5" x14ac:dyDescent="0.2">
      <c r="A57" t="s">
        <v>3888</v>
      </c>
      <c r="B57" t="str">
        <f t="shared" si="0"/>
        <v>E5</v>
      </c>
      <c r="C57" t="str">
        <f>[2]Nomad_Topical_Mapping!H58</f>
        <v>E5-2</v>
      </c>
      <c r="D57" t="str">
        <f>[2]Nomad_Topical_Mapping!D58</f>
        <v>Management of significant waste related impacts</v>
      </c>
      <c r="E57" t="str">
        <f>[2]Nomad_Topical_Mapping!E58</f>
        <v>Waste and water / Packaging</v>
      </c>
    </row>
    <row r="58" spans="1:5" x14ac:dyDescent="0.2">
      <c r="A58" t="s">
        <v>3888</v>
      </c>
      <c r="B58" t="str">
        <f t="shared" si="0"/>
        <v>E5</v>
      </c>
      <c r="C58" t="str">
        <f>[2]Nomad_Topical_Mapping!H59</f>
        <v>E5-5</v>
      </c>
      <c r="D58" t="str">
        <f>[2]Nomad_Topical_Mapping!D59</f>
        <v>Management of significant waste related impacts</v>
      </c>
      <c r="E58" t="str">
        <f>[2]Nomad_Topical_Mapping!E59</f>
        <v>Waste and water / Packaging</v>
      </c>
    </row>
    <row r="59" spans="1:5" x14ac:dyDescent="0.2">
      <c r="A59" t="s">
        <v>3888</v>
      </c>
      <c r="B59" t="str">
        <f t="shared" si="0"/>
        <v>E5</v>
      </c>
      <c r="C59" t="str">
        <f>[2]Nomad_Topical_Mapping!H60</f>
        <v>E5-5</v>
      </c>
      <c r="D59" t="str">
        <f>[2]Nomad_Topical_Mapping!D60</f>
        <v>Waste generated</v>
      </c>
      <c r="E59" t="str">
        <f>[2]Nomad_Topical_Mapping!E60</f>
        <v>Data tables</v>
      </c>
    </row>
    <row r="60" spans="1:5" x14ac:dyDescent="0.2">
      <c r="A60" t="s">
        <v>3888</v>
      </c>
      <c r="B60" t="str">
        <f t="shared" si="0"/>
        <v>E5</v>
      </c>
      <c r="C60" t="str">
        <f>[2]Nomad_Topical_Mapping!H61</f>
        <v>E5-5</v>
      </c>
      <c r="D60" t="str">
        <f>[2]Nomad_Topical_Mapping!D61</f>
        <v>Waste diverted from disposal</v>
      </c>
      <c r="E60" t="str">
        <f>[2]Nomad_Topical_Mapping!E61</f>
        <v>Waste and water / Data tables</v>
      </c>
    </row>
    <row r="61" spans="1:5" x14ac:dyDescent="0.2">
      <c r="A61" t="s">
        <v>3888</v>
      </c>
      <c r="B61" t="str">
        <f t="shared" si="0"/>
        <v>E5</v>
      </c>
      <c r="C61" t="str">
        <f>[2]Nomad_Topical_Mapping!H62</f>
        <v>E5-5</v>
      </c>
      <c r="D61" t="str">
        <f>[2]Nomad_Topical_Mapping!D62</f>
        <v>Waste directed to disposal</v>
      </c>
      <c r="E61" t="str">
        <f>[2]Nomad_Topical_Mapping!E62</f>
        <v>Waste and water / Data tables</v>
      </c>
    </row>
    <row r="62" spans="1:5" x14ac:dyDescent="0.2">
      <c r="A62" t="s">
        <v>3888</v>
      </c>
      <c r="B62" t="str">
        <f t="shared" si="0"/>
        <v>S1</v>
      </c>
      <c r="C62" t="str">
        <f>[2]Nomad_Topical_Mapping!H63</f>
        <v>S1-1</v>
      </c>
      <c r="D62" t="str">
        <f>[2]Nomad_Topical_Mapping!D63</f>
        <v>Management approach — OHS</v>
      </c>
      <c r="E62" t="str">
        <f>[2]Nomad_Topical_Mapping!E63</f>
        <v>Employee health, wellbeing and development / Data tables / Safety Policy</v>
      </c>
    </row>
    <row r="63" spans="1:5" x14ac:dyDescent="0.2">
      <c r="A63" t="s">
        <v>3888</v>
      </c>
      <c r="B63" t="str">
        <f t="shared" si="0"/>
        <v>S1</v>
      </c>
      <c r="C63" t="str">
        <f>[2]Nomad_Topical_Mapping!H64</f>
        <v>S1-4</v>
      </c>
      <c r="D63" t="str">
        <f>[2]Nomad_Topical_Mapping!D64</f>
        <v>Management approach — OHS</v>
      </c>
      <c r="E63" t="str">
        <f>[2]Nomad_Topical_Mapping!E64</f>
        <v>Employee health, wellbeing and development / Data tables / Safety Policy</v>
      </c>
    </row>
    <row r="64" spans="1:5" x14ac:dyDescent="0.2">
      <c r="A64" t="s">
        <v>3888</v>
      </c>
      <c r="B64" t="str">
        <f t="shared" si="0"/>
        <v>S1</v>
      </c>
      <c r="C64" t="str">
        <f>[2]Nomad_Topical_Mapping!H65</f>
        <v>S1-5</v>
      </c>
      <c r="D64" t="str">
        <f>[2]Nomad_Topical_Mapping!D65</f>
        <v>Management approach — OHS</v>
      </c>
      <c r="E64" t="str">
        <f>[2]Nomad_Topical_Mapping!E65</f>
        <v>Employee health, wellbeing and development / Data tables / Safety Policy</v>
      </c>
    </row>
    <row r="65" spans="1:5" x14ac:dyDescent="0.2">
      <c r="A65" t="s">
        <v>3888</v>
      </c>
      <c r="B65" t="str">
        <f t="shared" si="0"/>
        <v>S1</v>
      </c>
      <c r="C65" t="str">
        <f>[2]Nomad_Topical_Mapping!H66</f>
        <v>S1-3</v>
      </c>
      <c r="D65" t="str">
        <f>[2]Nomad_Topical_Mapping!D66</f>
        <v>Hazard identification, risk assessment, and incident investigation</v>
      </c>
      <c r="E65" t="str">
        <f>[2]Nomad_Topical_Mapping!E66</f>
        <v>Employee health, wellbeing and development</v>
      </c>
    </row>
    <row r="66" spans="1:5" x14ac:dyDescent="0.2">
      <c r="A66" t="s">
        <v>3888</v>
      </c>
      <c r="B66" t="str">
        <f t="shared" ref="B66:B97" si="1">LEFT(C66, FIND("-", C66) - 1)</f>
        <v>S2</v>
      </c>
      <c r="C66" t="str">
        <f>[2]Nomad_Topical_Mapping!H67</f>
        <v>S2-4</v>
      </c>
      <c r="D66" t="str">
        <f>[2]Nomad_Topical_Mapping!D67</f>
        <v>Prevention and mitigation of OH&amp;S impacts linked by business relationships</v>
      </c>
      <c r="E66" t="str">
        <f>[2]Nomad_Topical_Mapping!E67</f>
        <v>Employee health, wellbeing and development</v>
      </c>
    </row>
    <row r="67" spans="1:5" x14ac:dyDescent="0.2">
      <c r="A67" t="s">
        <v>3888</v>
      </c>
      <c r="B67" t="str">
        <f t="shared" si="1"/>
        <v>S1</v>
      </c>
      <c r="C67" t="str">
        <f>[2]Nomad_Topical_Mapping!H68</f>
        <v>S1-4</v>
      </c>
      <c r="D67" t="str">
        <f>[2]Nomad_Topical_Mapping!D68</f>
        <v>Work-related injuries</v>
      </c>
      <c r="E67" t="str">
        <f>[2]Nomad_Topical_Mapping!E68</f>
        <v>Employee health, wellbeing and development / Data tables</v>
      </c>
    </row>
    <row r="68" spans="1:5" x14ac:dyDescent="0.2">
      <c r="A68" t="s">
        <v>3888</v>
      </c>
      <c r="B68" t="str">
        <f t="shared" si="1"/>
        <v>S1</v>
      </c>
      <c r="C68" t="str">
        <f>[2]Nomad_Topical_Mapping!H69</f>
        <v>S1-14</v>
      </c>
      <c r="D68" t="str">
        <f>[2]Nomad_Topical_Mapping!D69</f>
        <v>Work-related injuries</v>
      </c>
      <c r="E68" t="str">
        <f>[2]Nomad_Topical_Mapping!E69</f>
        <v>Employee health, wellbeing and development / Data tables</v>
      </c>
    </row>
    <row r="69" spans="1:5" x14ac:dyDescent="0.2">
      <c r="A69" t="s">
        <v>3888</v>
      </c>
      <c r="B69" t="str">
        <f t="shared" si="1"/>
        <v>S1</v>
      </c>
      <c r="C69" t="str">
        <f>[2]Nomad_Topical_Mapping!H70</f>
        <v>S1-1</v>
      </c>
      <c r="D69" t="str">
        <f>[2]Nomad_Topical_Mapping!D70</f>
        <v>Management approach — Training</v>
      </c>
      <c r="E69" t="str">
        <f>[2]Nomad_Topical_Mapping!E70</f>
        <v>Employee health, wellbeing and development / Data tables</v>
      </c>
    </row>
    <row r="70" spans="1:5" x14ac:dyDescent="0.2">
      <c r="A70" t="s">
        <v>3888</v>
      </c>
      <c r="B70" t="str">
        <f t="shared" si="1"/>
        <v>S1</v>
      </c>
      <c r="C70" t="str">
        <f>[2]Nomad_Topical_Mapping!H71</f>
        <v>S1-4</v>
      </c>
      <c r="D70" t="str">
        <f>[2]Nomad_Topical_Mapping!D71</f>
        <v>Management approach — Training</v>
      </c>
      <c r="E70" t="str">
        <f>[2]Nomad_Topical_Mapping!E71</f>
        <v>Employee health, wellbeing and development / Data tables</v>
      </c>
    </row>
    <row r="71" spans="1:5" x14ac:dyDescent="0.2">
      <c r="A71" t="s">
        <v>3888</v>
      </c>
      <c r="B71" t="str">
        <f t="shared" si="1"/>
        <v>S1</v>
      </c>
      <c r="C71" t="str">
        <f>[2]Nomad_Topical_Mapping!H72</f>
        <v>S1-5</v>
      </c>
      <c r="D71" t="str">
        <f>[2]Nomad_Topical_Mapping!D72</f>
        <v>Management approach — Training</v>
      </c>
      <c r="E71" t="str">
        <f>[2]Nomad_Topical_Mapping!E72</f>
        <v>Employee health, wellbeing and development / Data tables</v>
      </c>
    </row>
    <row r="72" spans="1:5" x14ac:dyDescent="0.2">
      <c r="A72" t="s">
        <v>3888</v>
      </c>
      <c r="B72" t="str">
        <f t="shared" si="1"/>
        <v>S1</v>
      </c>
      <c r="C72" t="str">
        <f>[2]Nomad_Topical_Mapping!H73</f>
        <v>S1-13</v>
      </c>
      <c r="D72" t="str">
        <f>[2]Nomad_Topical_Mapping!D73</f>
        <v>Average hours of training per year per employee</v>
      </c>
      <c r="E72" t="str">
        <f>[2]Nomad_Topical_Mapping!E73</f>
        <v>Employee health, wellbeing and development / Data tables</v>
      </c>
    </row>
    <row r="73" spans="1:5" x14ac:dyDescent="0.2">
      <c r="A73" t="s">
        <v>3888</v>
      </c>
      <c r="B73" t="str">
        <f t="shared" si="1"/>
        <v>S1</v>
      </c>
      <c r="C73" t="str">
        <f>[2]Nomad_Topical_Mapping!H74</f>
        <v>S1-1</v>
      </c>
      <c r="D73" t="str">
        <f>[2]Nomad_Topical_Mapping!D74</f>
        <v>Programmes for upgrading employee skills and transition assistance programmes</v>
      </c>
      <c r="E73" t="str">
        <f>[2]Nomad_Topical_Mapping!E74</f>
        <v>Employee health, wellbeing and development</v>
      </c>
    </row>
    <row r="74" spans="1:5" x14ac:dyDescent="0.2">
      <c r="A74" t="s">
        <v>3888</v>
      </c>
      <c r="B74" t="str">
        <f t="shared" si="1"/>
        <v>S1</v>
      </c>
      <c r="C74" t="str">
        <f>[2]Nomad_Topical_Mapping!H75</f>
        <v>S1-1</v>
      </c>
      <c r="D74" t="str">
        <f>[2]Nomad_Topical_Mapping!D75</f>
        <v>Management approach — Diversity</v>
      </c>
      <c r="E74" t="str">
        <f>[2]Nomad_Topical_Mapping!E75</f>
        <v>Diversity, equity and inclusion / Data tables</v>
      </c>
    </row>
    <row r="75" spans="1:5" x14ac:dyDescent="0.2">
      <c r="A75" t="s">
        <v>3888</v>
      </c>
      <c r="B75" t="str">
        <f t="shared" si="1"/>
        <v>S1</v>
      </c>
      <c r="C75" t="str">
        <f>[2]Nomad_Topical_Mapping!H76</f>
        <v>S1-4</v>
      </c>
      <c r="D75" t="str">
        <f>[2]Nomad_Topical_Mapping!D76</f>
        <v>Management approach — Diversity</v>
      </c>
      <c r="E75" t="str">
        <f>[2]Nomad_Topical_Mapping!E76</f>
        <v>Diversity, equity and inclusion / Data tables</v>
      </c>
    </row>
    <row r="76" spans="1:5" x14ac:dyDescent="0.2">
      <c r="A76" t="s">
        <v>3888</v>
      </c>
      <c r="B76" t="str">
        <f t="shared" si="1"/>
        <v>S1</v>
      </c>
      <c r="C76" t="str">
        <f>[2]Nomad_Topical_Mapping!H77</f>
        <v>S1-5</v>
      </c>
      <c r="D76" t="str">
        <f>[2]Nomad_Topical_Mapping!D77</f>
        <v>Management approach — Diversity</v>
      </c>
      <c r="E76" t="str">
        <f>[2]Nomad_Topical_Mapping!E77</f>
        <v>Diversity, equity and inclusion / Data tables</v>
      </c>
    </row>
    <row r="77" spans="1:5" x14ac:dyDescent="0.2">
      <c r="A77" t="s">
        <v>3888</v>
      </c>
      <c r="B77" t="str">
        <f t="shared" si="1"/>
        <v>S1</v>
      </c>
      <c r="C77" t="str">
        <f>[2]Nomad_Topical_Mapping!H78</f>
        <v>S1-6</v>
      </c>
      <c r="D77" t="str">
        <f>[2]Nomad_Topical_Mapping!D78</f>
        <v>Diversity of governance bodies and employees</v>
      </c>
      <c r="E77" t="str">
        <f>[2]Nomad_Topical_Mapping!E78</f>
        <v>Diversity, equity and inclusion / Data tables</v>
      </c>
    </row>
    <row r="78" spans="1:5" x14ac:dyDescent="0.2">
      <c r="A78" t="s">
        <v>3888</v>
      </c>
      <c r="B78" t="str">
        <f t="shared" si="1"/>
        <v>S1</v>
      </c>
      <c r="C78" t="str">
        <f>[2]Nomad_Topical_Mapping!H79</f>
        <v>S1-9</v>
      </c>
      <c r="D78" t="str">
        <f>[2]Nomad_Topical_Mapping!D79</f>
        <v>Diversity of governance bodies and employees</v>
      </c>
      <c r="E78" t="str">
        <f>[2]Nomad_Topical_Mapping!E79</f>
        <v>Diversity, equity and inclusion / Data tables</v>
      </c>
    </row>
    <row r="79" spans="1:5" x14ac:dyDescent="0.2">
      <c r="A79" t="s">
        <v>3888</v>
      </c>
      <c r="B79" t="str">
        <f t="shared" si="1"/>
        <v>S1</v>
      </c>
      <c r="C79" t="str">
        <f>[2]Nomad_Topical_Mapping!H80</f>
        <v>S1-12</v>
      </c>
      <c r="D79" t="str">
        <f>[2]Nomad_Topical_Mapping!D80</f>
        <v>Diversity of governance bodies and employees</v>
      </c>
      <c r="E79" t="str">
        <f>[2]Nomad_Topical_Mapping!E80</f>
        <v>Diversity, equity and inclusion / Data tables</v>
      </c>
    </row>
    <row r="80" spans="1:5" x14ac:dyDescent="0.2">
      <c r="A80" t="s">
        <v>3888</v>
      </c>
      <c r="B80" t="str">
        <f t="shared" si="1"/>
        <v>S1</v>
      </c>
      <c r="C80" t="str">
        <f>[2]Nomad_Topical_Mapping!H81</f>
        <v>S1-1</v>
      </c>
      <c r="D80" t="str">
        <f>[2]Nomad_Topical_Mapping!D81</f>
        <v>Operations and suppliers at significant risk of incidents of child labour</v>
      </c>
      <c r="E80" t="str">
        <f>[2]Nomad_Topical_Mapping!E81</f>
        <v>Social impact of supply chain / Modern slavery statement</v>
      </c>
    </row>
    <row r="81" spans="1:5" x14ac:dyDescent="0.2">
      <c r="A81" t="s">
        <v>3888</v>
      </c>
      <c r="B81" t="str">
        <f t="shared" si="1"/>
        <v>S2</v>
      </c>
      <c r="C81" t="str">
        <f>[2]Nomad_Topical_Mapping!H82</f>
        <v>S2-1</v>
      </c>
      <c r="D81" t="str">
        <f>[2]Nomad_Topical_Mapping!D82</f>
        <v>Operations and suppliers at significant risk of incidents of child labour</v>
      </c>
      <c r="E81" t="str">
        <f>[2]Nomad_Topical_Mapping!E82</f>
        <v>Social impact of supply chain / Modern slavery statement</v>
      </c>
    </row>
    <row r="82" spans="1:5" x14ac:dyDescent="0.2">
      <c r="A82" t="s">
        <v>3888</v>
      </c>
      <c r="B82" t="str">
        <f t="shared" si="1"/>
        <v>S1</v>
      </c>
      <c r="C82" t="str">
        <f>[2]Nomad_Topical_Mapping!H83</f>
        <v>S1-1</v>
      </c>
      <c r="D82" t="str">
        <f>[2]Nomad_Topical_Mapping!D83</f>
        <v>Operations and suppliers at significant risk for incidents of forced labour</v>
      </c>
      <c r="E82" t="str">
        <f>[2]Nomad_Topical_Mapping!E83</f>
        <v>Social impact of supply chain / Modern slavery statement</v>
      </c>
    </row>
    <row r="83" spans="1:5" x14ac:dyDescent="0.2">
      <c r="A83" t="s">
        <v>3888</v>
      </c>
      <c r="B83" t="str">
        <f t="shared" si="1"/>
        <v>S2</v>
      </c>
      <c r="C83" t="str">
        <f>[2]Nomad_Topical_Mapping!H84</f>
        <v>S2-1</v>
      </c>
      <c r="D83" t="str">
        <f>[2]Nomad_Topical_Mapping!D84</f>
        <v>Operations and suppliers at significant risk for incidents of forced labour</v>
      </c>
      <c r="E83" t="str">
        <f>[2]Nomad_Topical_Mapping!E84</f>
        <v>Social impact of supply chain / Modern slavery statement</v>
      </c>
    </row>
    <row r="84" spans="1:5" x14ac:dyDescent="0.2">
      <c r="A84" t="s">
        <v>3888</v>
      </c>
      <c r="B84" t="str">
        <f t="shared" si="1"/>
        <v>S1</v>
      </c>
      <c r="C84" t="str">
        <f>[2]Nomad_Topical_Mapping!H85</f>
        <v>S1-1</v>
      </c>
      <c r="D84" t="str">
        <f>[2]Nomad_Topical_Mapping!D85</f>
        <v>Employee training on human rights policies or procedures</v>
      </c>
      <c r="E84" t="str">
        <f>[2]Nomad_Topical_Mapping!E85</f>
        <v>Modern slavery statement</v>
      </c>
    </row>
    <row r="85" spans="1:5" x14ac:dyDescent="0.2">
      <c r="A85" t="s">
        <v>3888</v>
      </c>
      <c r="B85" t="str">
        <f t="shared" si="1"/>
        <v>S2</v>
      </c>
      <c r="C85" t="str">
        <f>[2]Nomad_Topical_Mapping!H86</f>
        <v>S2-1</v>
      </c>
      <c r="D85" t="str">
        <f>[2]Nomad_Topical_Mapping!D86</f>
        <v>Management approach — Supplier social assessment</v>
      </c>
      <c r="E85" t="str">
        <f>[2]Nomad_Topical_Mapping!E86</f>
        <v>Social impact of supply chain / Code of Business Principles / Supplier Code of Conduct / Modern slavery statement</v>
      </c>
    </row>
    <row r="86" spans="1:5" x14ac:dyDescent="0.2">
      <c r="A86" t="s">
        <v>3888</v>
      </c>
      <c r="B86" t="str">
        <f t="shared" si="1"/>
        <v>S2</v>
      </c>
      <c r="C86" t="str">
        <f>[2]Nomad_Topical_Mapping!H87</f>
        <v>S2-2</v>
      </c>
      <c r="D86" t="str">
        <f>[2]Nomad_Topical_Mapping!D87</f>
        <v>Management approach — Supplier social assessment</v>
      </c>
      <c r="E86" t="str">
        <f>[2]Nomad_Topical_Mapping!E87</f>
        <v>Social impact of supply chain / Code of Business Principles / Supplier Code of Conduct / Modern slavery statement</v>
      </c>
    </row>
    <row r="87" spans="1:5" x14ac:dyDescent="0.2">
      <c r="A87" t="s">
        <v>3888</v>
      </c>
      <c r="B87" t="str">
        <f t="shared" si="1"/>
        <v>G1</v>
      </c>
      <c r="C87" t="str">
        <f>[2]Nomad_Topical_Mapping!H88</f>
        <v>G1-2</v>
      </c>
      <c r="D87" t="str">
        <f>[2]Nomad_Topical_Mapping!D88</f>
        <v>New suppliers screened using social criteria</v>
      </c>
      <c r="E87" t="str">
        <f>[2]Nomad_Topical_Mapping!E88</f>
        <v>Data tables</v>
      </c>
    </row>
    <row r="88" spans="1:5" x14ac:dyDescent="0.2">
      <c r="A88" t="s">
        <v>3888</v>
      </c>
      <c r="B88" t="str">
        <f t="shared" si="1"/>
        <v>S4</v>
      </c>
      <c r="C88" t="str">
        <f>[2]Nomad_Topical_Mapping!H89</f>
        <v>S4-1</v>
      </c>
      <c r="D88" t="str">
        <f>[2]Nomad_Topical_Mapping!D89</f>
        <v>Management approach — Customer health and safety</v>
      </c>
      <c r="E88" t="str">
        <f>[2]Nomad_Topical_Mapping!E89</f>
        <v>Food safety and quality / Data tables</v>
      </c>
    </row>
    <row r="89" spans="1:5" x14ac:dyDescent="0.2">
      <c r="A89" t="s">
        <v>3888</v>
      </c>
      <c r="B89" t="str">
        <f t="shared" si="1"/>
        <v>S4</v>
      </c>
      <c r="C89" t="str">
        <f>[2]Nomad_Topical_Mapping!H90</f>
        <v>S4-2</v>
      </c>
      <c r="D89" t="str">
        <f>[2]Nomad_Topical_Mapping!D90</f>
        <v>Management approach — Customer health and safety</v>
      </c>
      <c r="E89" t="str">
        <f>[2]Nomad_Topical_Mapping!E90</f>
        <v>Food safety and quality / Data tables</v>
      </c>
    </row>
    <row r="90" spans="1:5" x14ac:dyDescent="0.2">
      <c r="A90" t="s">
        <v>3888</v>
      </c>
      <c r="B90" t="str">
        <f t="shared" si="1"/>
        <v>S4</v>
      </c>
      <c r="C90" t="str">
        <f>[2]Nomad_Topical_Mapping!H91</f>
        <v>S4-4</v>
      </c>
      <c r="D90" t="str">
        <f>[2]Nomad_Topical_Mapping!D91</f>
        <v>Management approach — Customer health and safety</v>
      </c>
      <c r="E90" t="str">
        <f>[2]Nomad_Topical_Mapping!E91</f>
        <v>Food safety and quality / Data tables</v>
      </c>
    </row>
    <row r="91" spans="1:5" x14ac:dyDescent="0.2">
      <c r="A91" t="s">
        <v>3888</v>
      </c>
      <c r="B91" t="str">
        <f t="shared" si="1"/>
        <v>E4</v>
      </c>
      <c r="C91" t="str">
        <f>[2]Nomad_Topical_Mapping!H92</f>
        <v>E4-1</v>
      </c>
      <c r="D91" t="str">
        <f>[2]Nomad_Topical_Mapping!D92</f>
        <v>Management approach — Fish and seafood sourcing</v>
      </c>
      <c r="E91" t="str">
        <f>[2]Nomad_Topical_Mapping!E92</f>
        <v>Fish and seafood / Data tables / Fish and Seafood Sourcing Policy</v>
      </c>
    </row>
    <row r="92" spans="1:5" x14ac:dyDescent="0.2">
      <c r="A92" t="s">
        <v>3888</v>
      </c>
      <c r="B92" t="str">
        <f t="shared" si="1"/>
        <v>E4</v>
      </c>
      <c r="C92" t="str">
        <f>[2]Nomad_Topical_Mapping!H93</f>
        <v>E4-2</v>
      </c>
      <c r="D92" t="str">
        <f>[2]Nomad_Topical_Mapping!D93</f>
        <v>Management approach — Fish and seafood sourcing</v>
      </c>
      <c r="E92" t="str">
        <f>[2]Nomad_Topical_Mapping!E93</f>
        <v>Fish and seafood / Data tables / Fish and Seafood Sourcing Policy</v>
      </c>
    </row>
    <row r="93" spans="1:5" x14ac:dyDescent="0.2">
      <c r="A93" t="s">
        <v>3888</v>
      </c>
      <c r="B93" t="str">
        <f t="shared" si="1"/>
        <v>E4</v>
      </c>
      <c r="C93" t="str">
        <f>[2]Nomad_Topical_Mapping!H94</f>
        <v>E4-1</v>
      </c>
      <c r="D93" t="str">
        <f>[2]Nomad_Topical_Mapping!D94</f>
        <v>Management approach — Agriculture sourcing</v>
      </c>
      <c r="E93" t="str">
        <f>[2]Nomad_Topical_Mapping!E94</f>
        <v>Agriculture / Data tables / Agriculture Policy / Soy Policy / Palm Oil Policy</v>
      </c>
    </row>
    <row r="94" spans="1:5" x14ac:dyDescent="0.2">
      <c r="A94" t="s">
        <v>3888</v>
      </c>
      <c r="B94" t="str">
        <f t="shared" si="1"/>
        <v>E4</v>
      </c>
      <c r="C94" t="str">
        <f>[2]Nomad_Topical_Mapping!H95</f>
        <v>E4-2</v>
      </c>
      <c r="D94" t="str">
        <f>[2]Nomad_Topical_Mapping!D95</f>
        <v>Management approach — Agriculture sourcing</v>
      </c>
      <c r="E94" t="str">
        <f>[2]Nomad_Topical_Mapping!E95</f>
        <v>Agriculture / Data tables / Agriculture Policy / Soy Policy / Palm Oil Policy</v>
      </c>
    </row>
    <row r="95" spans="1:5" x14ac:dyDescent="0.2">
      <c r="A95" t="s">
        <v>3888</v>
      </c>
      <c r="B95" t="str">
        <f t="shared" si="1"/>
        <v>G1</v>
      </c>
      <c r="C95" t="str">
        <f>[2]Nomad_Topical_Mapping!H96</f>
        <v>G1-1</v>
      </c>
      <c r="D95" t="str">
        <f>[2]Nomad_Topical_Mapping!D96</f>
        <v>Management approach — Animal welfare</v>
      </c>
      <c r="E95" t="str">
        <f>[2]Nomad_Topical_Mapping!E96</f>
        <v>Animal welfare / Data tables / Animal Welfare Policy / Animal Welfare Standard</v>
      </c>
    </row>
    <row r="96" spans="1:5" x14ac:dyDescent="0.2">
      <c r="A96" t="s">
        <v>3888</v>
      </c>
      <c r="B96" t="str">
        <f t="shared" si="1"/>
        <v>S4</v>
      </c>
      <c r="C96" t="str">
        <f>[2]Nomad_Topical_Mapping!H97</f>
        <v>S4-1</v>
      </c>
      <c r="D96" t="str">
        <f>[2]Nomad_Topical_Mapping!D97</f>
        <v>Management approach — Health and nutrition</v>
      </c>
      <c r="E96" t="str">
        <f>[2]Nomad_Topical_Mapping!E97</f>
        <v>Health and nutrition / Data tables / Nutrition Policy</v>
      </c>
    </row>
    <row r="97" spans="1:5" x14ac:dyDescent="0.2">
      <c r="A97" t="s">
        <v>3888</v>
      </c>
      <c r="B97" t="str">
        <f t="shared" si="1"/>
        <v>S4</v>
      </c>
      <c r="C97" t="str">
        <f>[2]Nomad_Topical_Mapping!H98</f>
        <v>S4-1</v>
      </c>
      <c r="D97" t="str">
        <f>[2]Nomad_Topical_Mapping!D98</f>
        <v>Management approach — Ingredient selection</v>
      </c>
      <c r="E97" t="str">
        <f>[2]Nomad_Topical_Mapping!E98</f>
        <v>Ingredient selection / Data tables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ESRS_MASTER</vt:lpstr>
      <vt:lpstr>Mapping_ALLStacked</vt:lpstr>
      <vt:lpstr>DP_Mapping</vt:lpstr>
      <vt:lpstr>MAPPING</vt:lpstr>
      <vt:lpstr>Mowi_Mapping</vt:lpstr>
      <vt:lpstr>MOWI_Mapping_Datapoints</vt:lpstr>
      <vt:lpstr>Espersen_Mapping</vt:lpstr>
      <vt:lpstr>Bolton_Mapping</vt:lpstr>
      <vt:lpstr>Profand_Mapping</vt:lpstr>
      <vt:lpstr>Nomad_Mapping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2026-05-23T13:57:10Z</dcterms:modified>
</cp:coreProperties>
</file>