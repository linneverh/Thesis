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https://aipcecepeu-my.sharepoint.com/personal/linne_verhoeven_seafoodeurope_eu/Documents/THESIS_KPIs/OUTPUT/"/>
    </mc:Choice>
  </mc:AlternateContent>
  <xr:revisionPtr revIDLastSave="96" documentId="8_{9D42900E-B36A-D742-AFA2-E4E5FE2F89D6}" xr6:coauthVersionLast="47" xr6:coauthVersionMax="47" xr10:uidLastSave="{870B85A8-7479-1444-9C4E-0FF1CC49CAF6}"/>
  <bookViews>
    <workbookView xWindow="0" yWindow="680" windowWidth="34200" windowHeight="21460" tabRatio="500" activeTab="2" xr2:uid="{00000000-000D-0000-FFFF-FFFF00000000}"/>
  </bookViews>
  <sheets>
    <sheet name="READ ME" sheetId="1" r:id="rId1"/>
    <sheet name="Coverage matrix" sheetId="2" r:id="rId2"/>
    <sheet name="Results" sheetId="3" r:id="rId3"/>
    <sheet name="Justifications log" sheetId="4" r:id="rId4"/>
    <sheet name="Requirement_Datapoints" sheetId="5" r:id="rId5"/>
    <sheet name="Scope log" sheetId="6" r:id="rId6"/>
  </sheets>
  <calcPr calcId="191029"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 i="3" l="1"/>
  <c r="AJ45" i="2"/>
  <c r="AI45" i="2"/>
  <c r="AG45" i="2"/>
  <c r="AF45" i="2"/>
  <c r="AE45" i="2"/>
  <c r="AD45" i="2"/>
  <c r="AC45" i="2"/>
  <c r="AB45" i="2"/>
  <c r="AA45" i="2"/>
  <c r="Z45" i="2"/>
  <c r="Y45" i="2"/>
  <c r="X45" i="2"/>
  <c r="W45" i="2"/>
  <c r="V45" i="2"/>
  <c r="U45" i="2"/>
  <c r="T45" i="2"/>
  <c r="S45" i="2"/>
  <c r="R45" i="2"/>
  <c r="N45" i="2"/>
  <c r="M45" i="2"/>
  <c r="L45" i="2"/>
  <c r="K45" i="2"/>
  <c r="J45" i="2"/>
  <c r="I45" i="2"/>
  <c r="H45" i="2"/>
  <c r="G45" i="2"/>
  <c r="F45" i="2"/>
  <c r="AH45" i="2"/>
  <c r="Q45" i="2"/>
  <c r="P45" i="2"/>
  <c r="O45" i="2"/>
  <c r="AJ40" i="2"/>
  <c r="AI40" i="2"/>
  <c r="AH40" i="2"/>
  <c r="AG40" i="2"/>
  <c r="AF40" i="2"/>
  <c r="AE40" i="2"/>
  <c r="AD40" i="2"/>
  <c r="AC40" i="2"/>
  <c r="AB40" i="2"/>
  <c r="AA40" i="2"/>
  <c r="Z40" i="2"/>
  <c r="Y40" i="2"/>
  <c r="X40" i="2"/>
  <c r="W40" i="2"/>
  <c r="V40" i="2"/>
  <c r="U40" i="2"/>
  <c r="T40" i="2"/>
  <c r="S40" i="2"/>
  <c r="R40" i="2"/>
  <c r="Q40" i="2"/>
  <c r="P40" i="2"/>
  <c r="O40" i="2"/>
  <c r="N40" i="2"/>
  <c r="M40" i="2"/>
  <c r="L40" i="2"/>
  <c r="K40" i="2"/>
  <c r="J40" i="2"/>
  <c r="I40" i="2"/>
  <c r="H40" i="2"/>
  <c r="G40" i="2"/>
  <c r="F40" i="2"/>
  <c r="AJ39" i="2"/>
  <c r="AI39" i="2"/>
  <c r="AH39" i="2"/>
  <c r="AG39" i="2"/>
  <c r="AF39" i="2"/>
  <c r="AE39" i="2"/>
  <c r="AD39" i="2"/>
  <c r="AC39" i="2"/>
  <c r="AB39" i="2"/>
  <c r="AA39" i="2"/>
  <c r="Z39" i="2"/>
  <c r="Y39" i="2"/>
  <c r="X39" i="2"/>
  <c r="W39" i="2"/>
  <c r="V39" i="2"/>
  <c r="U39" i="2"/>
  <c r="T39" i="2"/>
  <c r="S39" i="2"/>
  <c r="R39" i="2"/>
  <c r="Q39" i="2"/>
  <c r="P39" i="2"/>
  <c r="O39" i="2"/>
  <c r="N39" i="2"/>
  <c r="M39" i="2"/>
  <c r="L39" i="2"/>
  <c r="K39" i="2"/>
  <c r="J39" i="2"/>
  <c r="I39" i="2"/>
  <c r="H39" i="2"/>
  <c r="G39" i="2"/>
  <c r="F39" i="2"/>
  <c r="AP37" i="2"/>
  <c r="AO37" i="2"/>
  <c r="AN37" i="2"/>
  <c r="AM37" i="2"/>
  <c r="AL37" i="2"/>
  <c r="AP36" i="2"/>
  <c r="AO36" i="2"/>
  <c r="AN36" i="2"/>
  <c r="AM36" i="2"/>
  <c r="AL36" i="2"/>
  <c r="AP35" i="2"/>
  <c r="AO35" i="2"/>
  <c r="AN35" i="2"/>
  <c r="AM35" i="2"/>
  <c r="AL35" i="2"/>
  <c r="AP34" i="2"/>
  <c r="AO34" i="2"/>
  <c r="AN34" i="2"/>
  <c r="AM34" i="2"/>
  <c r="AL34" i="2"/>
  <c r="AP33" i="2"/>
  <c r="AO33" i="2"/>
  <c r="AN33" i="2"/>
  <c r="AM33" i="2"/>
  <c r="AL33" i="2"/>
  <c r="AP32" i="2"/>
  <c r="AO32" i="2"/>
  <c r="AN32" i="2"/>
  <c r="AM32" i="2"/>
  <c r="AL32" i="2"/>
  <c r="AP31" i="2"/>
  <c r="AO31" i="2"/>
  <c r="AN31" i="2"/>
  <c r="AM31" i="2"/>
  <c r="AL31" i="2"/>
  <c r="AP30" i="2"/>
  <c r="AO30" i="2"/>
  <c r="AN30" i="2"/>
  <c r="AM30" i="2"/>
  <c r="AL30" i="2"/>
  <c r="AP29" i="2"/>
  <c r="AO29" i="2"/>
  <c r="AN29" i="2"/>
  <c r="AM29" i="2"/>
  <c r="AL29" i="2"/>
  <c r="AP28" i="2"/>
  <c r="AO28" i="2"/>
  <c r="AN28" i="2"/>
  <c r="AM28" i="2"/>
  <c r="AL28" i="2"/>
  <c r="AP27" i="2"/>
  <c r="AO27" i="2"/>
  <c r="AN27" i="2"/>
  <c r="AM27" i="2"/>
  <c r="AL27" i="2"/>
  <c r="AP26" i="2"/>
  <c r="AO26" i="2"/>
  <c r="AN26" i="2"/>
  <c r="AM26" i="2"/>
  <c r="AL26" i="2"/>
  <c r="AP25" i="2"/>
  <c r="AO25" i="2"/>
  <c r="AN25" i="2"/>
  <c r="AM25" i="2"/>
  <c r="AL25" i="2"/>
  <c r="AP24" i="2"/>
  <c r="AO24" i="2"/>
  <c r="AN24" i="2"/>
  <c r="AM24" i="2"/>
  <c r="AL24" i="2"/>
  <c r="AP23" i="2"/>
  <c r="AO23" i="2"/>
  <c r="AN23" i="2"/>
  <c r="AM23" i="2"/>
  <c r="AL23" i="2"/>
  <c r="AP22" i="2"/>
  <c r="AO22" i="2"/>
  <c r="AN22" i="2"/>
  <c r="AM22" i="2"/>
  <c r="AL22" i="2"/>
  <c r="AP21" i="2"/>
  <c r="AO21" i="2"/>
  <c r="AN21" i="2"/>
  <c r="AM21" i="2"/>
  <c r="AL21" i="2"/>
  <c r="AP20" i="2"/>
  <c r="AO20" i="2"/>
  <c r="AN20" i="2"/>
  <c r="AM20" i="2"/>
  <c r="AL20" i="2"/>
  <c r="AP19" i="2"/>
  <c r="AO19" i="2"/>
  <c r="AN19" i="2"/>
  <c r="AM19" i="2"/>
  <c r="AL19" i="2"/>
  <c r="AP18" i="2"/>
  <c r="AO18" i="2"/>
  <c r="AN18" i="2"/>
  <c r="AM18" i="2"/>
  <c r="AL18" i="2"/>
  <c r="AP17" i="2"/>
  <c r="AO17" i="2"/>
  <c r="AN17" i="2"/>
  <c r="AM17" i="2"/>
  <c r="AL17" i="2"/>
  <c r="AP16" i="2"/>
  <c r="AO16" i="2"/>
  <c r="AN16" i="2"/>
  <c r="AM16" i="2"/>
  <c r="AL16" i="2"/>
  <c r="AP15" i="2"/>
  <c r="AO15" i="2"/>
  <c r="AN15" i="2"/>
  <c r="AM15" i="2"/>
  <c r="AL15" i="2"/>
  <c r="AP14" i="2"/>
  <c r="AO14" i="2"/>
  <c r="AN14" i="2"/>
  <c r="AM14" i="2"/>
  <c r="AL14" i="2"/>
  <c r="AP13" i="2"/>
  <c r="AO13" i="2"/>
  <c r="AN13" i="2"/>
  <c r="AM13" i="2"/>
  <c r="AL13" i="2"/>
  <c r="AP12" i="2"/>
  <c r="AO12" i="2"/>
  <c r="AN12" i="2"/>
  <c r="AM12" i="2"/>
  <c r="AL12" i="2"/>
  <c r="AP11" i="2"/>
  <c r="AO11" i="2"/>
  <c r="AN11" i="2"/>
  <c r="AM11" i="2"/>
  <c r="AL11" i="2"/>
  <c r="AP10" i="2"/>
  <c r="AO10" i="2"/>
  <c r="AN10" i="2"/>
  <c r="AM10" i="2"/>
  <c r="AL10" i="2"/>
  <c r="AP9" i="2"/>
  <c r="AO9" i="2"/>
  <c r="AN9" i="2"/>
  <c r="AM9" i="2"/>
  <c r="AL9" i="2"/>
  <c r="AP8" i="2"/>
  <c r="AO8" i="2"/>
  <c r="AN8" i="2"/>
  <c r="AM8" i="2"/>
  <c r="AL8" i="2"/>
  <c r="AP7" i="2"/>
  <c r="AO7" i="2"/>
  <c r="AN7" i="2"/>
  <c r="AM7" i="2"/>
  <c r="AL7" i="2"/>
  <c r="AP6" i="2"/>
  <c r="AO6" i="2"/>
  <c r="AN6" i="2"/>
  <c r="AM6" i="2"/>
  <c r="AL6" i="2"/>
  <c r="AQ36" i="2" l="1"/>
  <c r="AQ35" i="2"/>
  <c r="AQ34" i="2"/>
  <c r="AQ33" i="2"/>
  <c r="AQ32" i="2"/>
  <c r="AQ31" i="2"/>
  <c r="AQ30" i="2"/>
  <c r="AQ29" i="2"/>
  <c r="AQ28" i="2"/>
  <c r="AQ27" i="2"/>
  <c r="AQ26" i="2"/>
  <c r="AQ25" i="2"/>
  <c r="AQ24" i="2"/>
  <c r="AQ23" i="2"/>
  <c r="AQ22" i="2"/>
  <c r="AQ21" i="2"/>
  <c r="AQ20" i="2"/>
  <c r="AQ19" i="2"/>
  <c r="AQ15" i="2"/>
  <c r="AQ11" i="2"/>
  <c r="AQ10" i="2"/>
  <c r="AQ8" i="2"/>
  <c r="AQ6" i="2"/>
  <c r="AQ17" i="2"/>
  <c r="AQ14" i="2"/>
  <c r="AQ12" i="2"/>
  <c r="AQ9" i="2"/>
  <c r="AQ7" i="2"/>
  <c r="AQ37" i="2"/>
  <c r="AQ18" i="2"/>
  <c r="AQ16" i="2"/>
  <c r="AQ13" i="2"/>
  <c r="AR36" i="2" l="1"/>
  <c r="AR35" i="2"/>
  <c r="AR34" i="2"/>
  <c r="AR33" i="2"/>
  <c r="AR32" i="2"/>
  <c r="AR31" i="2"/>
  <c r="AR30" i="2"/>
  <c r="AR29" i="2"/>
  <c r="AR28" i="2"/>
  <c r="AR27" i="2"/>
  <c r="AR26" i="2"/>
  <c r="AR25" i="2"/>
  <c r="AR24" i="2"/>
  <c r="AR23" i="2"/>
  <c r="AR22" i="2"/>
  <c r="AR21" i="2"/>
  <c r="AR20" i="2"/>
  <c r="AR19" i="2"/>
  <c r="AR15" i="2"/>
  <c r="AR11" i="2"/>
  <c r="AR10" i="2"/>
  <c r="AR8" i="2"/>
  <c r="AR6" i="2"/>
  <c r="AR17" i="2"/>
  <c r="AR14" i="2"/>
  <c r="AR12" i="2"/>
  <c r="AR9" i="2"/>
  <c r="AR7" i="2"/>
  <c r="AR37" i="2"/>
  <c r="AR18" i="2"/>
  <c r="AR16" i="2"/>
  <c r="AR13" i="2"/>
  <c r="M6" i="3" l="1" a="1"/>
  <c r="AK39" i="2"/>
  <c r="AK40" i="2"/>
  <c r="D37" i="3" l="1" a="1"/>
  <c r="D37" i="3" s="1"/>
  <c r="D36" i="3" a="1"/>
  <c r="D36" i="3" s="1"/>
  <c r="D35" i="3" a="1"/>
  <c r="D35" i="3" s="1"/>
  <c r="D34" i="3" a="1"/>
  <c r="D34" i="3" s="1"/>
  <c r="D33" i="3" a="1"/>
  <c r="D33" i="3" s="1"/>
  <c r="D32" i="3" a="1"/>
  <c r="D32" i="3" s="1"/>
  <c r="D31" i="3" a="1"/>
  <c r="D31" i="3" s="1"/>
  <c r="D30" i="3" a="1"/>
  <c r="D30" i="3" s="1"/>
  <c r="D29" i="3" a="1"/>
  <c r="D29" i="3" s="1"/>
  <c r="D28" i="3" a="1"/>
  <c r="D28" i="3" s="1"/>
  <c r="D27" i="3" a="1"/>
  <c r="D27" i="3" s="1"/>
  <c r="D26" i="3" a="1"/>
  <c r="D26" i="3" s="1"/>
  <c r="D25" i="3" a="1"/>
  <c r="D25" i="3" s="1"/>
  <c r="D24" i="3" a="1"/>
  <c r="D24" i="3" s="1"/>
  <c r="D23" i="3" a="1"/>
  <c r="D23" i="3" s="1"/>
  <c r="D22" i="3" a="1"/>
  <c r="D22" i="3" s="1"/>
  <c r="D21" i="3" a="1"/>
  <c r="D21" i="3" s="1"/>
  <c r="D20" i="3" a="1"/>
  <c r="D20" i="3" s="1"/>
  <c r="D19" i="3" a="1"/>
  <c r="D19" i="3" s="1"/>
  <c r="D18" i="3" a="1"/>
  <c r="D18" i="3" s="1"/>
  <c r="D17" i="3" a="1"/>
  <c r="D17" i="3" s="1"/>
  <c r="D16" i="3" a="1"/>
  <c r="D16" i="3" s="1"/>
  <c r="D15" i="3" a="1"/>
  <c r="D15" i="3" s="1"/>
  <c r="D14" i="3" a="1"/>
  <c r="D14" i="3" s="1"/>
  <c r="D13" i="3" a="1"/>
  <c r="D13" i="3" s="1"/>
  <c r="D12" i="3" a="1"/>
  <c r="D12" i="3" s="1"/>
  <c r="D11" i="3" a="1"/>
  <c r="D11" i="3" s="1"/>
  <c r="D10" i="3" a="1"/>
  <c r="D10" i="3" s="1"/>
  <c r="D9" i="3" a="1"/>
  <c r="D9" i="3" s="1"/>
  <c r="D8" i="3" a="1"/>
  <c r="D8" i="3" s="1"/>
  <c r="D7" i="3" a="1"/>
  <c r="D7" i="3" s="1"/>
  <c r="G22" i="3" a="1"/>
  <c r="G22" i="3" s="1"/>
  <c r="J37" i="3" a="1"/>
  <c r="J37" i="3" s="1"/>
  <c r="I37" i="3" a="1"/>
  <c r="I37" i="3" s="1"/>
  <c r="H37" i="3" a="1"/>
  <c r="H37" i="3" s="1"/>
  <c r="G37" i="3" a="1"/>
  <c r="G37" i="3" s="1"/>
  <c r="F37" i="3" a="1"/>
  <c r="F37" i="3" s="1"/>
  <c r="E37" i="3" a="1"/>
  <c r="E37" i="3" s="1"/>
  <c r="C37" i="3" a="1"/>
  <c r="C37" i="3" s="1"/>
  <c r="K36" i="3" a="1"/>
  <c r="K36" i="3" s="1"/>
  <c r="J36" i="3" a="1"/>
  <c r="J36" i="3" s="1"/>
  <c r="I36" i="3" a="1"/>
  <c r="I36" i="3" s="1"/>
  <c r="H36" i="3" a="1"/>
  <c r="H36" i="3" s="1"/>
  <c r="G36" i="3" a="1"/>
  <c r="G36" i="3" s="1"/>
  <c r="F36" i="3" a="1"/>
  <c r="F36" i="3" s="1"/>
  <c r="E36" i="3" a="1"/>
  <c r="E36" i="3" s="1"/>
  <c r="C36" i="3" a="1"/>
  <c r="C36" i="3" s="1"/>
  <c r="K35" i="3" a="1"/>
  <c r="K35" i="3" s="1"/>
  <c r="J35" i="3" a="1"/>
  <c r="J35" i="3" s="1"/>
  <c r="I35" i="3" a="1"/>
  <c r="I35" i="3" s="1"/>
  <c r="H35" i="3" a="1"/>
  <c r="H35" i="3" s="1"/>
  <c r="G35" i="3" a="1"/>
  <c r="G35" i="3" s="1"/>
  <c r="F35" i="3" a="1"/>
  <c r="F35" i="3" s="1"/>
  <c r="E35" i="3" a="1"/>
  <c r="E35" i="3" s="1"/>
  <c r="C35" i="3" a="1"/>
  <c r="C35" i="3" s="1"/>
  <c r="K34" i="3" a="1"/>
  <c r="K34" i="3" s="1"/>
  <c r="J34" i="3" a="1"/>
  <c r="J34" i="3" s="1"/>
  <c r="I34" i="3" a="1"/>
  <c r="I34" i="3" s="1"/>
  <c r="H34" i="3" a="1"/>
  <c r="H34" i="3" s="1"/>
  <c r="G34" i="3" a="1"/>
  <c r="G34" i="3" s="1"/>
  <c r="F34" i="3" a="1"/>
  <c r="F34" i="3" s="1"/>
  <c r="E34" i="3" a="1"/>
  <c r="E34" i="3" s="1"/>
  <c r="C34" i="3" a="1"/>
  <c r="C34" i="3" s="1"/>
  <c r="K33" i="3" a="1"/>
  <c r="K33" i="3" s="1"/>
  <c r="J33" i="3" a="1"/>
  <c r="J33" i="3" s="1"/>
  <c r="I33" i="3" a="1"/>
  <c r="I33" i="3" s="1"/>
  <c r="H33" i="3" a="1"/>
  <c r="H33" i="3" s="1"/>
  <c r="G33" i="3" a="1"/>
  <c r="G33" i="3" s="1"/>
  <c r="F33" i="3" a="1"/>
  <c r="F33" i="3" s="1"/>
  <c r="E33" i="3" a="1"/>
  <c r="E33" i="3" s="1"/>
  <c r="C33" i="3" a="1"/>
  <c r="C33" i="3" s="1"/>
  <c r="K32" i="3" a="1"/>
  <c r="K32" i="3" s="1"/>
  <c r="J32" i="3" a="1"/>
  <c r="J32" i="3" s="1"/>
  <c r="I32" i="3" a="1"/>
  <c r="I32" i="3" s="1"/>
  <c r="H32" i="3" a="1"/>
  <c r="H32" i="3" s="1"/>
  <c r="G32" i="3" a="1"/>
  <c r="G32" i="3" s="1"/>
  <c r="F32" i="3" a="1"/>
  <c r="F32" i="3" s="1"/>
  <c r="E32" i="3" a="1"/>
  <c r="E32" i="3" s="1"/>
  <c r="C32" i="3" a="1"/>
  <c r="C32" i="3" s="1"/>
  <c r="K31" i="3" a="1"/>
  <c r="K31" i="3" s="1"/>
  <c r="J31" i="3" a="1"/>
  <c r="J31" i="3" s="1"/>
  <c r="I31" i="3" a="1"/>
  <c r="I31" i="3" s="1"/>
  <c r="H31" i="3" a="1"/>
  <c r="H31" i="3" s="1"/>
  <c r="G31" i="3" a="1"/>
  <c r="G31" i="3" s="1"/>
  <c r="F31" i="3" a="1"/>
  <c r="F31" i="3" s="1"/>
  <c r="E31" i="3" a="1"/>
  <c r="E31" i="3" s="1"/>
  <c r="C31" i="3" a="1"/>
  <c r="C31" i="3" s="1"/>
  <c r="K30" i="3" a="1"/>
  <c r="K30" i="3" s="1"/>
  <c r="J30" i="3" a="1"/>
  <c r="J30" i="3" s="1"/>
  <c r="I30" i="3" a="1"/>
  <c r="I30" i="3" s="1"/>
  <c r="H30" i="3" a="1"/>
  <c r="H30" i="3" s="1"/>
  <c r="G30" i="3" a="1"/>
  <c r="G30" i="3" s="1"/>
  <c r="F30" i="3" a="1"/>
  <c r="F30" i="3" s="1"/>
  <c r="E30" i="3" a="1"/>
  <c r="E30" i="3" s="1"/>
  <c r="C30" i="3" a="1"/>
  <c r="C30" i="3" s="1"/>
  <c r="K29" i="3" a="1"/>
  <c r="K29" i="3" s="1"/>
  <c r="J29" i="3" a="1"/>
  <c r="J29" i="3" s="1"/>
  <c r="I29" i="3" a="1"/>
  <c r="I29" i="3" s="1"/>
  <c r="H29" i="3" a="1"/>
  <c r="H29" i="3" s="1"/>
  <c r="G29" i="3" a="1"/>
  <c r="G29" i="3" s="1"/>
  <c r="F29" i="3" a="1"/>
  <c r="F29" i="3" s="1"/>
  <c r="E29" i="3" a="1"/>
  <c r="E29" i="3" s="1"/>
  <c r="C29" i="3" a="1"/>
  <c r="C29" i="3" s="1"/>
  <c r="K28" i="3" a="1"/>
  <c r="K28" i="3" s="1"/>
  <c r="J28" i="3" a="1"/>
  <c r="J28" i="3" s="1"/>
  <c r="I28" i="3" a="1"/>
  <c r="I28" i="3" s="1"/>
  <c r="H28" i="3" a="1"/>
  <c r="H28" i="3" s="1"/>
  <c r="G28" i="3" a="1"/>
  <c r="G28" i="3" s="1"/>
  <c r="F28" i="3" a="1"/>
  <c r="F28" i="3" s="1"/>
  <c r="E28" i="3" a="1"/>
  <c r="E28" i="3" s="1"/>
  <c r="C28" i="3" a="1"/>
  <c r="C28" i="3" s="1"/>
  <c r="K27" i="3" a="1"/>
  <c r="K27" i="3" s="1"/>
  <c r="J27" i="3" a="1"/>
  <c r="J27" i="3" s="1"/>
  <c r="I27" i="3" a="1"/>
  <c r="I27" i="3" s="1"/>
  <c r="H27" i="3" a="1"/>
  <c r="H27" i="3" s="1"/>
  <c r="G27" i="3" a="1"/>
  <c r="G27" i="3" s="1"/>
  <c r="F27" i="3" a="1"/>
  <c r="F27" i="3" s="1"/>
  <c r="E27" i="3" a="1"/>
  <c r="E27" i="3" s="1"/>
  <c r="C27" i="3" a="1"/>
  <c r="C27" i="3" s="1"/>
  <c r="K26" i="3" a="1"/>
  <c r="K26" i="3" s="1"/>
  <c r="J26" i="3" a="1"/>
  <c r="J26" i="3" s="1"/>
  <c r="I26" i="3" a="1"/>
  <c r="I26" i="3" s="1"/>
  <c r="H26" i="3" a="1"/>
  <c r="H26" i="3" s="1"/>
  <c r="G26" i="3" a="1"/>
  <c r="G26" i="3" s="1"/>
  <c r="F26" i="3" a="1"/>
  <c r="F26" i="3" s="1"/>
  <c r="E26" i="3" a="1"/>
  <c r="E26" i="3" s="1"/>
  <c r="C26" i="3" a="1"/>
  <c r="C26" i="3" s="1"/>
  <c r="K25" i="3" a="1"/>
  <c r="K25" i="3" s="1"/>
  <c r="J25" i="3" a="1"/>
  <c r="J25" i="3" s="1"/>
  <c r="I25" i="3" a="1"/>
  <c r="I25" i="3" s="1"/>
  <c r="H25" i="3" a="1"/>
  <c r="H25" i="3" s="1"/>
  <c r="G25" i="3" a="1"/>
  <c r="G25" i="3" s="1"/>
  <c r="F25" i="3" a="1"/>
  <c r="F25" i="3" s="1"/>
  <c r="E25" i="3" a="1"/>
  <c r="E25" i="3" s="1"/>
  <c r="C25" i="3" a="1"/>
  <c r="C25" i="3" s="1"/>
  <c r="K24" i="3" a="1"/>
  <c r="K24" i="3" s="1"/>
  <c r="J24" i="3" a="1"/>
  <c r="J24" i="3" s="1"/>
  <c r="I24" i="3" a="1"/>
  <c r="I24" i="3" s="1"/>
  <c r="H24" i="3" a="1"/>
  <c r="H24" i="3" s="1"/>
  <c r="G24" i="3" a="1"/>
  <c r="G24" i="3" s="1"/>
  <c r="F24" i="3" a="1"/>
  <c r="F24" i="3" s="1"/>
  <c r="E24" i="3" a="1"/>
  <c r="E24" i="3" s="1"/>
  <c r="C24" i="3" a="1"/>
  <c r="C24" i="3" s="1"/>
  <c r="K23" i="3" a="1"/>
  <c r="K23" i="3" s="1"/>
  <c r="J23" i="3" a="1"/>
  <c r="J23" i="3" s="1"/>
  <c r="I23" i="3" a="1"/>
  <c r="I23" i="3" s="1"/>
  <c r="H23" i="3" a="1"/>
  <c r="H23" i="3" s="1"/>
  <c r="G23" i="3" a="1"/>
  <c r="G23" i="3" s="1"/>
  <c r="F23" i="3" a="1"/>
  <c r="F23" i="3" s="1"/>
  <c r="E23" i="3" a="1"/>
  <c r="E23" i="3" s="1"/>
  <c r="C23" i="3" a="1"/>
  <c r="C23" i="3" s="1"/>
  <c r="K22" i="3" a="1"/>
  <c r="K22" i="3" s="1"/>
  <c r="J22" i="3" a="1"/>
  <c r="J22" i="3" s="1"/>
  <c r="I22" i="3" a="1"/>
  <c r="I22" i="3" s="1"/>
  <c r="H22" i="3" a="1"/>
  <c r="H22" i="3" s="1"/>
  <c r="K37" i="3" a="1"/>
  <c r="K37" i="3" s="1"/>
  <c r="F22" i="3" a="1"/>
  <c r="F22" i="3" s="1"/>
  <c r="E22" i="3" a="1"/>
  <c r="E22" i="3" s="1"/>
  <c r="C22" i="3" a="1"/>
  <c r="C22" i="3" s="1"/>
  <c r="K21" i="3" a="1"/>
  <c r="K21" i="3" s="1"/>
  <c r="J21" i="3" a="1"/>
  <c r="J21" i="3" s="1"/>
  <c r="I21" i="3" a="1"/>
  <c r="I21" i="3" s="1"/>
  <c r="H21" i="3" a="1"/>
  <c r="H21" i="3" s="1"/>
  <c r="G21" i="3" a="1"/>
  <c r="G21" i="3" s="1"/>
  <c r="F21" i="3" a="1"/>
  <c r="F21" i="3" s="1"/>
  <c r="E21" i="3" a="1"/>
  <c r="E21" i="3" s="1"/>
  <c r="C21" i="3" a="1"/>
  <c r="C21" i="3" s="1"/>
  <c r="K20" i="3" a="1"/>
  <c r="K20" i="3" s="1"/>
  <c r="J20" i="3" a="1"/>
  <c r="J20" i="3" s="1"/>
  <c r="I20" i="3" a="1"/>
  <c r="I20" i="3" s="1"/>
  <c r="H20" i="3" a="1"/>
  <c r="H20" i="3" s="1"/>
  <c r="G20" i="3" a="1"/>
  <c r="G20" i="3" s="1"/>
  <c r="F20" i="3" a="1"/>
  <c r="F20" i="3" s="1"/>
  <c r="E20" i="3" a="1"/>
  <c r="E20" i="3" s="1"/>
  <c r="C20" i="3" a="1"/>
  <c r="C20" i="3" s="1"/>
  <c r="K19" i="3" a="1"/>
  <c r="K19" i="3" s="1"/>
  <c r="J19" i="3" a="1"/>
  <c r="J19" i="3" s="1"/>
  <c r="I19" i="3" a="1"/>
  <c r="I19" i="3" s="1"/>
  <c r="H19" i="3" a="1"/>
  <c r="H19" i="3" s="1"/>
  <c r="G19" i="3" a="1"/>
  <c r="G19" i="3" s="1"/>
  <c r="F19" i="3" a="1"/>
  <c r="F19" i="3" s="1"/>
  <c r="E19" i="3" a="1"/>
  <c r="E19" i="3" s="1"/>
  <c r="C19" i="3" a="1"/>
  <c r="C19" i="3" s="1"/>
  <c r="K18" i="3" a="1"/>
  <c r="K18" i="3" s="1"/>
  <c r="J18" i="3" a="1"/>
  <c r="J18" i="3" s="1"/>
  <c r="I18" i="3" a="1"/>
  <c r="I18" i="3" s="1"/>
  <c r="H18" i="3" a="1"/>
  <c r="H18" i="3" s="1"/>
  <c r="G18" i="3" a="1"/>
  <c r="G18" i="3" s="1"/>
  <c r="F18" i="3" a="1"/>
  <c r="F18" i="3" s="1"/>
  <c r="E18" i="3" a="1"/>
  <c r="E18" i="3" s="1"/>
  <c r="C18" i="3" a="1"/>
  <c r="C18" i="3" s="1"/>
  <c r="K17" i="3" a="1"/>
  <c r="K17" i="3" s="1"/>
  <c r="J17" i="3" a="1"/>
  <c r="J17" i="3" s="1"/>
  <c r="I17" i="3" a="1"/>
  <c r="I17" i="3" s="1"/>
  <c r="H17" i="3" a="1"/>
  <c r="H17" i="3" s="1"/>
  <c r="G17" i="3" a="1"/>
  <c r="G17" i="3" s="1"/>
  <c r="F17" i="3" a="1"/>
  <c r="F17" i="3" s="1"/>
  <c r="E17" i="3" a="1"/>
  <c r="E17" i="3" s="1"/>
  <c r="C17" i="3" a="1"/>
  <c r="C17" i="3" s="1"/>
  <c r="K16" i="3" a="1"/>
  <c r="K16" i="3" s="1"/>
  <c r="J16" i="3" a="1"/>
  <c r="J16" i="3" s="1"/>
  <c r="I16" i="3" a="1"/>
  <c r="I16" i="3" s="1"/>
  <c r="H16" i="3" a="1"/>
  <c r="H16" i="3" s="1"/>
  <c r="G16" i="3" a="1"/>
  <c r="G16" i="3" s="1"/>
  <c r="F16" i="3" a="1"/>
  <c r="F16" i="3" s="1"/>
  <c r="E16" i="3" a="1"/>
  <c r="E16" i="3" s="1"/>
  <c r="C16" i="3" a="1"/>
  <c r="C16" i="3" s="1"/>
  <c r="K15" i="3" a="1"/>
  <c r="K15" i="3" s="1"/>
  <c r="J15" i="3" a="1"/>
  <c r="J15" i="3" s="1"/>
  <c r="I15" i="3" a="1"/>
  <c r="I15" i="3" s="1"/>
  <c r="H15" i="3" a="1"/>
  <c r="H15" i="3" s="1"/>
  <c r="G15" i="3" a="1"/>
  <c r="G15" i="3" s="1"/>
  <c r="F15" i="3" a="1"/>
  <c r="F15" i="3" s="1"/>
  <c r="E15" i="3" a="1"/>
  <c r="E15" i="3" s="1"/>
  <c r="C15" i="3" a="1"/>
  <c r="C15" i="3" s="1"/>
  <c r="K14" i="3" a="1"/>
  <c r="K14" i="3" s="1"/>
  <c r="J14" i="3" a="1"/>
  <c r="J14" i="3" s="1"/>
  <c r="I14" i="3" a="1"/>
  <c r="I14" i="3" s="1"/>
  <c r="H14" i="3" a="1"/>
  <c r="H14" i="3" s="1"/>
  <c r="G14" i="3" a="1"/>
  <c r="G14" i="3" s="1"/>
  <c r="F14" i="3" a="1"/>
  <c r="F14" i="3" s="1"/>
  <c r="E14" i="3" a="1"/>
  <c r="E14" i="3" s="1"/>
  <c r="C14" i="3" a="1"/>
  <c r="C14" i="3" s="1"/>
  <c r="K13" i="3" a="1"/>
  <c r="K13" i="3" s="1"/>
  <c r="J13" i="3" a="1"/>
  <c r="J13" i="3" s="1"/>
  <c r="I13" i="3" a="1"/>
  <c r="I13" i="3" s="1"/>
  <c r="H13" i="3" a="1"/>
  <c r="H13" i="3" s="1"/>
  <c r="G13" i="3" a="1"/>
  <c r="G13" i="3" s="1"/>
  <c r="F13" i="3" a="1"/>
  <c r="F13" i="3" s="1"/>
  <c r="E13" i="3" a="1"/>
  <c r="E13" i="3" s="1"/>
  <c r="C13" i="3" a="1"/>
  <c r="C13" i="3" s="1"/>
  <c r="K12" i="3" a="1"/>
  <c r="K12" i="3" s="1"/>
  <c r="J12" i="3" a="1"/>
  <c r="J12" i="3" s="1"/>
  <c r="I12" i="3" a="1"/>
  <c r="I12" i="3" s="1"/>
  <c r="H12" i="3" a="1"/>
  <c r="H12" i="3" s="1"/>
  <c r="G12" i="3" a="1"/>
  <c r="G12" i="3" s="1"/>
  <c r="F12" i="3" a="1"/>
  <c r="F12" i="3" s="1"/>
  <c r="E12" i="3" a="1"/>
  <c r="E12" i="3" s="1"/>
  <c r="C12" i="3" a="1"/>
  <c r="C12" i="3" s="1"/>
  <c r="K11" i="3" a="1"/>
  <c r="K11" i="3" s="1"/>
  <c r="J11" i="3" a="1"/>
  <c r="J11" i="3" s="1"/>
  <c r="I11" i="3" a="1"/>
  <c r="I11" i="3" s="1"/>
  <c r="H11" i="3" a="1"/>
  <c r="H11" i="3" s="1"/>
  <c r="G11" i="3" a="1"/>
  <c r="G11" i="3" s="1"/>
  <c r="F11" i="3" a="1"/>
  <c r="F11" i="3" s="1"/>
  <c r="E11" i="3" a="1"/>
  <c r="E11" i="3" s="1"/>
  <c r="C11" i="3" a="1"/>
  <c r="C11" i="3" s="1"/>
  <c r="K10" i="3" a="1"/>
  <c r="K10" i="3" s="1"/>
  <c r="J10" i="3" a="1"/>
  <c r="J10" i="3" s="1"/>
  <c r="I10" i="3" a="1"/>
  <c r="I10" i="3" s="1"/>
  <c r="H10" i="3" a="1"/>
  <c r="H10" i="3" s="1"/>
  <c r="G10" i="3" a="1"/>
  <c r="G10" i="3" s="1"/>
  <c r="F10" i="3" a="1"/>
  <c r="F10" i="3" s="1"/>
  <c r="E10" i="3" a="1"/>
  <c r="E10" i="3" s="1"/>
  <c r="C10" i="3" a="1"/>
  <c r="C10" i="3" s="1"/>
  <c r="K9" i="3" a="1"/>
  <c r="K9" i="3" s="1"/>
  <c r="J9" i="3" a="1"/>
  <c r="J9" i="3" s="1"/>
  <c r="I9" i="3" a="1"/>
  <c r="I9" i="3" s="1"/>
  <c r="H9" i="3" a="1"/>
  <c r="H9" i="3" s="1"/>
  <c r="G9" i="3" a="1"/>
  <c r="G9" i="3" s="1"/>
  <c r="F9" i="3" a="1"/>
  <c r="F9" i="3" s="1"/>
  <c r="E9" i="3" a="1"/>
  <c r="E9" i="3" s="1"/>
  <c r="C9" i="3" a="1"/>
  <c r="C9" i="3" s="1"/>
  <c r="K8" i="3" a="1"/>
  <c r="K8" i="3" s="1"/>
  <c r="J8" i="3" a="1"/>
  <c r="J8" i="3" s="1"/>
  <c r="I8" i="3" a="1"/>
  <c r="I8" i="3" s="1"/>
  <c r="H8" i="3" a="1"/>
  <c r="H8" i="3" s="1"/>
  <c r="G8" i="3" a="1"/>
  <c r="G8" i="3" s="1"/>
  <c r="F8" i="3" a="1"/>
  <c r="F8" i="3" s="1"/>
  <c r="E8" i="3" a="1"/>
  <c r="E8" i="3" s="1"/>
  <c r="C8" i="3" a="1"/>
  <c r="C8" i="3" s="1"/>
  <c r="K7" i="3" a="1"/>
  <c r="K7" i="3" s="1"/>
  <c r="J7" i="3" a="1"/>
  <c r="J7" i="3" s="1"/>
  <c r="I7" i="3" a="1"/>
  <c r="I7" i="3" s="1"/>
  <c r="H7" i="3" a="1"/>
  <c r="H7" i="3" s="1"/>
  <c r="G7" i="3" a="1"/>
  <c r="G7" i="3" s="1"/>
  <c r="F7" i="3" a="1"/>
  <c r="F7" i="3" s="1"/>
  <c r="E7" i="3" a="1"/>
  <c r="E7" i="3" s="1"/>
  <c r="C7" i="3" a="1"/>
  <c r="C7" i="3" s="1"/>
  <c r="M6" i="3"/>
  <c r="K6" i="3" l="1" a="1"/>
  <c r="K6" i="3" s="1"/>
  <c r="D6" i="3" a="1"/>
  <c r="D6" i="3" s="1"/>
  <c r="I6" i="3" a="1"/>
  <c r="I6" i="3" s="1"/>
  <c r="J6" i="3" a="1"/>
  <c r="J6" i="3" s="1"/>
  <c r="G6" i="3" a="1"/>
  <c r="G6" i="3" s="1"/>
  <c r="H6" i="3" a="1"/>
  <c r="H6" i="3" s="1"/>
  <c r="E6" i="3" a="1"/>
  <c r="E6" i="3" s="1"/>
  <c r="F6" i="3" a="1"/>
  <c r="F6" i="3" s="1"/>
  <c r="C6" i="3" a="1"/>
  <c r="C6"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4" authorId="0" shapeId="0" xr:uid="{00000000-0006-0000-0100-000001000000}">
      <text>
        <r>
          <rPr>
            <sz val="10"/>
            <rFont val="Arial"/>
            <family val="2"/>
          </rPr>
          <t>No clean ESRS/VSME home — governance/CoC (IUU, GDST, MSC CoC).</t>
        </r>
      </text>
    </comment>
    <comment ref="B35" authorId="0" shapeId="0" xr:uid="{00000000-0006-0000-0100-000002000000}">
      <text>
        <r>
          <rPr>
            <sz val="10"/>
            <rFont val="Arial"/>
            <family val="2"/>
          </rPr>
          <t>KEPT — distinct from E4. E4 = corporate biodiversity disclosure lens (ESRS E4 / GRI 101 / TNFD). Wild-stock = stock-status sourcing lens (MSC Principle 1, IUU legal catch, FisheryProgress). MSC itself splits: P1 stock-status -&gt; here; P2 ecosystem/bycatch/habitat -&gt; E4. Coding rule: stock-status &amp; legal-sourcing demand codes here; generic biodiversity demand codes to E4. Wild-only.</t>
        </r>
      </text>
    </comment>
    <comment ref="B36" authorId="0" shapeId="0" xr:uid="{00000000-0006-0000-0100-000003000000}">
      <text>
        <r>
          <rPr>
            <sz val="10"/>
            <rFont val="Arial"/>
            <family val="2"/>
          </rPr>
          <t>Split across E4/E5; no dedicated DR.</t>
        </r>
      </text>
    </comment>
    <comment ref="B37" authorId="0" shapeId="0" xr:uid="{00000000-0006-0000-0100-000004000000}">
      <text>
        <r>
          <rPr>
            <sz val="10"/>
            <rFont val="Arial"/>
            <family val="2"/>
          </rPr>
          <t>GRI 13.11 (welfare: % certified, survival rates). AMU folded in here — AMU is NOT in GRI 13; justified on ASC/BAP antibiotic criteria + Farm to Fork AMR target. Aqua-only.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<sst xmlns="http://schemas.openxmlformats.org/spreadsheetml/2006/main" count="55925" uniqueCount="2003">
  <si>
    <t>PHASE 3 — COVERAGE &amp; HOTSPOT MATRIX</t>
  </si>
  <si>
    <t>WHAT THIS IS</t>
  </si>
  <si>
    <t>32 disclosure topics (rows) scored against 31 columns: 29 scored instruments — with VSME split into Basic + Comprehensive, so 30 instrument columns — plus ISSF (tuna opt-in) and the CSRD/ESRS baseline. The full Phase 2 landscape is 37 instruments; the 8 that are catalogued but not scored are listed on the 'Scope log' sheet.</t>
  </si>
  <si>
    <t>CODING SCALE — 0 / 1 / 2</t>
  </si>
  <si>
    <t>2 = the framework bindingly requires the entity to achieve, comply with, certify, report on or disclose at least one datapoint of the topic. Binding conformity counts equally with binding disclosure.</t>
  </si>
  <si>
    <t>1 = touched: references the topic but imposes no binding datapoint requirement.</t>
  </si>
  <si>
    <t>0 = absent, or maps only to datapoints outside the 32-row universe. (blank = not yet coded)</t>
  </si>
  <si>
    <t>The score is INDEPENDENT of obligation locus — an indirect instrument (e.g. CSDDD, SFDR) can still score 2. Locus is recorded separately.</t>
  </si>
  <si>
    <t>Every 1 and every 2 has a row in the 'Justifications log' (clause reference + source + datapoint ID).</t>
  </si>
  <si>
    <t>COMPUTED COLUMNS (auto)</t>
  </si>
  <si>
    <t>Breadth Σ = sum of all scores for the topic — the volume of demand.</t>
  </si>
  <si>
    <t>Reg / Cust / Inv / NGO = 1 if any instrument of that stakeholder type scores &gt;0 on the topic.</t>
  </si>
  <si>
    <t>Conv (0–4) = number of DISTINCT stakeholder types demanding the topic. THIS IS THE HEADLINE METRIC: it is dedup-robust by construction — overlapping instruments within one stakeholder type collapse to a single flag.</t>
  </si>
  <si>
    <t>Stage = auto-triage from the two threshold cells at the top of the Stage column (breadth ≥ and conv ≥). Tune those to set your Stage-1 'build-first' shortlist.</t>
  </si>
  <si>
    <t>NO WEIGHTS / NO ADJUSTED COLUMNS (why)</t>
  </si>
  <si>
    <t>The former independence weights (row 43) and all adjusted-score columns were removed. Convergence already neutralises within-audience redundancy by counting stakeholder TYPES, not instrument tallies. Redundancy among substitutes (e.g. MSC / ASC / Friend of the Sea) is handled transparently by a substitute-cluster robustness check, not by arbitrary per-instrument weights.</t>
  </si>
  <si>
    <t>SCOPE LOG SHEET</t>
  </si>
  <si>
    <t>The 'Scope log' sheet records the Phase 2 instruments that are NOT scored here, each with its functional category and reason: Gate-2 fails (EU Taxonomy, FIP, UN SDGs, Move to -15 °C), firm/membership switch-offs (Coller FAIRR, Dow Jones SI, SeaBOS), the tuna-only ISSF opt-in, and the CSRD/ESRS baseline.</t>
  </si>
  <si>
    <t>FIRM-PROFILE PANEL</t>
  </si>
  <si>
    <t>Cells C48–C51: employees, processes-tuna (yes/no), uses-HFC refrigerant (yes/no), and system (wild / aqua / both). The include-switches in row 45 are formulas that turn columns on/off: F-gas (HFC), Whistleblowing (≥50 employees), Pay Transparency (≥150), ISSF (tuna). The SYSTEM toggle (C51) additionally (a) switches off instruments whose scope does not match — e.g. aqua certifications (ASC/BAP/GLOBALG.A.P.) for a wild-only firm, MSC/ISSF for an aqua-only firm — and (b) marks system-specific topics N/A: wild-stock is n/a for an aqua firm, feed and animal-health/AMU are n/a for a wild firm. 'Both' (default) leaves everything on.</t>
  </si>
  <si>
    <t>STAKEHOLDER SOURCE</t>
  </si>
  <si>
    <t>The channel through which an out-of-scope SME actually experiences the instrument, not its issuer:</t>
  </si>
  <si>
    <t xml:space="preserve">   Regulator</t>
  </si>
  <si>
    <t xml:space="preserve">   Customer</t>
  </si>
  <si>
    <t xml:space="preserve">   Investor</t>
  </si>
  <si>
    <t xml:space="preserve">   Industry / NGO</t>
  </si>
  <si>
    <t xml:space="preserve">   CSRD/ESRS baseline (excluded from sums)</t>
  </si>
  <si>
    <t>SELF-ASSESSMENT INSTRUMENTS</t>
  </si>
  <si>
    <t>EcoVadis and the Sedex SAQ are scored on their published theme/pillar structure (exact questionnaire items are not public) and capped at 1 (touched). A 2 requires an enforced conformity bar (e.g. a SMETA audit) or a defined-datapoint disclosure standard.</t>
  </si>
  <si>
    <t>CAVEATS — READ BEFORE TRUSTING THE OUTPUT</t>
  </si>
  <si>
    <t>1. ESRS BASELINE: the 32 rows are ESRS-derived, so ESRS would score 2 almost everywhere. It is therefore the excluded baseline column (last instrument, not summed), used as a reference — never as a demand signal.</t>
  </si>
  <si>
    <t>2. DISCRIMINATION RISK: if most topics land at Conv 3–4, everything reads as a hotspot and the tool stops discriminating. Use Breadth Σ as the tie-breaker and tune the Stage thresholds so Stage-1 stays a genuine shortlist, not the whole list.</t>
  </si>
  <si>
    <t>3. SEAFOOD-SPECIFICITY: the ESRS-derived rows skew to GHG / workforce / governance. The topics an SME actually feels first — traceability, wild-stock, feed, animal health/AMU — are the sector-gap rows. Weight them in interpretation; a high generic-topic score is not the same as an operational priority for a seafood processor.</t>
  </si>
  <si>
    <t>4. SELF-ASSESSMENT &amp; RATINGS: instruments scored on published structure (EcoVadis, SAQ) cap at 1; external ratings that score the firm without its input (MSCI, Sustainalytics, DJSI) are not scored at all — see the Scope log.</t>
  </si>
  <si>
    <t>28-TOPIC × FRAMEWORK COVERAGE MATRIX — Phase 3 hotspot analysis</t>
  </si>
  <si>
    <t>Stage thresholds →</t>
  </si>
  <si>
    <t>breadth≥</t>
  </si>
  <si>
    <t>Necessity tier</t>
  </si>
  <si>
    <t>Tier 1</t>
  </si>
  <si>
    <t>Tier 2</t>
  </si>
  <si>
    <t>Tier 3</t>
  </si>
  <si>
    <t>Tier 4</t>
  </si>
  <si>
    <t>conv≥</t>
  </si>
  <si>
    <t>Stakeholder</t>
  </si>
  <si>
    <t>Regulator</t>
  </si>
  <si>
    <t>Customer</t>
  </si>
  <si>
    <t>Investor</t>
  </si>
  <si>
    <t>Industry / NGO</t>
  </si>
  <si>
    <t>indep wt cutoff</t>
  </si>
  <si>
    <t>Obligation</t>
  </si>
  <si>
    <t>Direct</t>
  </si>
  <si>
    <t>Indirect</t>
  </si>
  <si>
    <t>#</t>
  </si>
  <si>
    <t>Topic / DR</t>
  </si>
  <si>
    <t>ESG</t>
  </si>
  <si>
    <t>Tier</t>
  </si>
  <si>
    <t>Fisheries Control Regulation (2023/2842)</t>
  </si>
  <si>
    <t>IUU Regulation (1005/2008)</t>
  </si>
  <si>
    <t>CMO marketing standards (1379/2013)</t>
  </si>
  <si>
    <t>PPWR (2025/40)</t>
  </si>
  <si>
    <t>OSH Framework Directive (89/391/EEC)</t>
  </si>
  <si>
    <t>Working Time Directive (2003/88/EC)</t>
  </si>
  <si>
    <t>Forced Labour Regulation (2024/3015)</t>
  </si>
  <si>
    <t>EUDR (2023/1115)</t>
  </si>
  <si>
    <t>EmpCo Directive (2024/825)</t>
  </si>
  <si>
    <t>F-gas Regulation (2024/573)</t>
  </si>
  <si>
    <t>Whistleblowing Directive (2019/1937)</t>
  </si>
  <si>
    <t>Pay Transparency Directive (2023/970)</t>
  </si>
  <si>
    <t>MSC</t>
  </si>
  <si>
    <t>ASC</t>
  </si>
  <si>
    <t>GSA BAP</t>
  </si>
  <si>
    <t>GLOBALG.A.P. Aquaculture</t>
  </si>
  <si>
    <t>Friend of the Sea</t>
  </si>
  <si>
    <t>SAQ from Sedex (follow by SMETA)</t>
  </si>
  <si>
    <t>EcoVadis</t>
  </si>
  <si>
    <t>CSDDD (2024/1760)</t>
  </si>
  <si>
    <t>CDP</t>
  </si>
  <si>
    <t>VSME-Basic</t>
  </si>
  <si>
    <t>VSME-Comprehensive</t>
  </si>
  <si>
    <t>SFDR (2019/2088)</t>
  </si>
  <si>
    <t>IFRS S1/S2 (ISSB)</t>
  </si>
  <si>
    <t>TNFD</t>
  </si>
  <si>
    <t>GDST</t>
  </si>
  <si>
    <t>GRI Standards (incl. GRI 13)</t>
  </si>
  <si>
    <t>ISSF</t>
  </si>
  <si>
    <t>SBTi</t>
  </si>
  <si>
    <t>UN Global Compact</t>
  </si>
  <si>
    <t>CSRD / ESRS  [BASELINE — excluded from sums]</t>
  </si>
  <si>
    <t>Breadth Σ</t>
  </si>
  <si>
    <t>Reg</t>
  </si>
  <si>
    <t>Cust</t>
  </si>
  <si>
    <t>Inv</t>
  </si>
  <si>
    <t>NGO</t>
  </si>
  <si>
    <t>Conv (0-4)</t>
  </si>
  <si>
    <t>Stage</t>
  </si>
  <si>
    <t>Topic system</t>
  </si>
  <si>
    <t>System</t>
  </si>
  <si>
    <t>E1-3</t>
  </si>
  <si>
    <t>E</t>
  </si>
  <si>
    <t>Actions and resources in relation to climate change policies</t>
  </si>
  <si>
    <t>T1</t>
  </si>
  <si>
    <t>E1-4</t>
  </si>
  <si>
    <t>Targets related to climate change mitigation and adaptation</t>
  </si>
  <si>
    <t>E1-5</t>
  </si>
  <si>
    <t>Energy consumption and mix</t>
  </si>
  <si>
    <t>E1-6</t>
  </si>
  <si>
    <t>Gross scopes 1, 2, 3 and total GHG emissions</t>
  </si>
  <si>
    <t>E3-1</t>
  </si>
  <si>
    <t>Policies related to water and marine resources</t>
  </si>
  <si>
    <t>E3-2</t>
  </si>
  <si>
    <t>Actions and resources related to water and marine resources</t>
  </si>
  <si>
    <t>E3-3</t>
  </si>
  <si>
    <t>Targets related to water and marine resources</t>
  </si>
  <si>
    <t>E3-4</t>
  </si>
  <si>
    <t>Water consumption</t>
  </si>
  <si>
    <t>E5-2</t>
  </si>
  <si>
    <t>Actions and resources related to resource use and circular economy</t>
  </si>
  <si>
    <t>E5-4</t>
  </si>
  <si>
    <t>Resource inflows</t>
  </si>
  <si>
    <t>E5-5</t>
  </si>
  <si>
    <t>Resource outflows</t>
  </si>
  <si>
    <t>G1-1</t>
  </si>
  <si>
    <t>G</t>
  </si>
  <si>
    <t>Corporate culture and business conduct policies and corporate culture</t>
  </si>
  <si>
    <t>G1-3</t>
  </si>
  <si>
    <t>Prevention and detection of corruption and bribery</t>
  </si>
  <si>
    <t>G1-4</t>
  </si>
  <si>
    <t>Confirmed incidents of corruption or bribery</t>
  </si>
  <si>
    <t>G1-5</t>
  </si>
  <si>
    <t>Political influence and lobbying activities</t>
  </si>
  <si>
    <t>S1-1</t>
  </si>
  <si>
    <t>S</t>
  </si>
  <si>
    <t>Policies related to own workforce</t>
  </si>
  <si>
    <t>S1-14</t>
  </si>
  <si>
    <t>Health and safety metrics</t>
  </si>
  <si>
    <t>S1-17</t>
  </si>
  <si>
    <t>Incidents, complaints and severe human rights impacts</t>
  </si>
  <si>
    <t>S1-2</t>
  </si>
  <si>
    <t>Processes for engaging with own workers and workers’ representatives about impacts</t>
  </si>
  <si>
    <t>S1-3</t>
  </si>
  <si>
    <t>Processes to remediate negative impacts and channels for own workers to raise concerns</t>
  </si>
  <si>
    <t>S1-4</t>
  </si>
  <si>
    <t>Taking action on material impacts on own workforce, and approaches to mitigating material risks and pursuing material opportunities related to own workforce, and effectiveness of those action</t>
  </si>
  <si>
    <t>S1-6</t>
  </si>
  <si>
    <t>Characteristics of the undertaking’s employees</t>
  </si>
  <si>
    <t>S1-9</t>
  </si>
  <si>
    <t>Diversity metrics</t>
  </si>
  <si>
    <t>S2-1</t>
  </si>
  <si>
    <t>Policies related to value chain workers</t>
  </si>
  <si>
    <t>S2-2</t>
  </si>
  <si>
    <t>Processes for engaging with value chain workers about impacts</t>
  </si>
  <si>
    <t>S2-3</t>
  </si>
  <si>
    <t>Processes to remediate negative impacts and channels for value chain workers to raise concerns</t>
  </si>
  <si>
    <t>Biodiversity &amp; ecosystems (E4)</t>
  </si>
  <si>
    <t>T2</t>
  </si>
  <si>
    <t>Consumers &amp; end-users (S4)</t>
  </si>
  <si>
    <t>G1</t>
  </si>
  <si>
    <t>Supply-chain traceability (chain of custody)</t>
  </si>
  <si>
    <t>GAP</t>
  </si>
  <si>
    <t>Both</t>
  </si>
  <si>
    <t>G2</t>
  </si>
  <si>
    <t>Wild-stock status / sustainable wild sourcing</t>
  </si>
  <si>
    <t>Wild</t>
  </si>
  <si>
    <t>G3</t>
  </si>
  <si>
    <t>Feed &amp; marine ingredients sourcing</t>
  </si>
  <si>
    <t>Aqua</t>
  </si>
  <si>
    <t>G4</t>
  </si>
  <si>
    <t>Animal health &amp; welfare (incl. antimicrobial use)</t>
  </si>
  <si>
    <t>Column total (Σ scores)</t>
  </si>
  <si>
    <t>Topics touched (count ≥1)</t>
  </si>
  <si>
    <t>Framework system scope →</t>
  </si>
  <si>
    <t>Agnostic</t>
  </si>
  <si>
    <t>Phase-3 scope status →</t>
  </si>
  <si>
    <t>SCORE</t>
  </si>
  <si>
    <t>OPT-IN (on; set 0 if N/A)  [trigger: fluorinated HFC/HFO refrigerants]</t>
  </si>
  <si>
    <t>OPT-IN (on; set 0 if N/A)  [trigger: ≥150 employees]</t>
  </si>
  <si>
    <t>OPT-IN (off; set 1 if applies)  [trigger: processes tuna]</t>
  </si>
  <si>
    <t>Include switch (1/0) →</t>
  </si>
  <si>
    <t>FIRM PROFILE — set these; the include-switches (row 46) update automatically</t>
  </si>
  <si>
    <t>Number of employees</t>
  </si>
  <si>
    <t>Processes tuna? (yes/no)</t>
  </si>
  <si>
    <t>no</t>
  </si>
  <si>
    <t>Operates own refrigeration using fluorinated (HFC/HFO) gases ≥5 t CO₂e (yes/no)?</t>
  </si>
  <si>
    <t>yes</t>
  </si>
  <si>
    <t>System (wild / aqua / both)</t>
  </si>
  <si>
    <t>both</t>
  </si>
  <si>
    <t>SME PRIORITY VIEW — personalised hotspot ranking</t>
  </si>
  <si>
    <t>Firm profile:</t>
  </si>
  <si>
    <t>Grouped by Stage, then ranked by convergence (cross-stakeholder consensus) and breadth (volume). Stage 1 = demanded across ≥3 stakeholder channels AND high volume (breadth ≥ 12) — the no-regret core to build first.</t>
  </si>
  <si>
    <t>Topic</t>
  </si>
  <si>
    <t>Breadth</t>
  </si>
  <si>
    <t>Conv</t>
  </si>
  <si>
    <t>ESRS id</t>
  </si>
  <si>
    <t>Framework</t>
  </si>
  <si>
    <t>Score (1/2)</t>
  </si>
  <si>
    <t>Clause / indicator ref</t>
  </si>
  <si>
    <t>One-line justification</t>
  </si>
  <si>
    <t>Source (doc, date, page/URL)</t>
  </si>
  <si>
    <t>Annex Pt I(15); Art 7</t>
  </si>
  <si>
    <t>Water/air pollution &amp; excessive water consumption are listed adverse environmental impacts, but only where they harm people/ecosystems; CSDDD mandates a generic DD policy, not a water-specific disclosure.</t>
  </si>
  <si>
    <t>Directive (EU) 2024/1760, consolidated 18.03.2026 — EUR-Lex CELEX:02024L1760-20260318</t>
  </si>
  <si>
    <t>Annex Pt I(15); Art 10–11</t>
  </si>
  <si>
    <t>Mitigating water/marine impacts falls under the prevent / bring-to-an-end duties as a process obligation, not as this specific action DR.</t>
  </si>
  <si>
    <t>Annex Pt I(15); Art 10(2)(a)</t>
  </si>
  <si>
    <t>Prevention/corrective action plans must carry time-bound qualitative &amp; quantitative indicators, but CSDDD sets no water-target disclosure.</t>
  </si>
  <si>
    <t>Annex Pt I(15)</t>
  </si>
  <si>
    <t>'Excessive water consumption' is expressly named as environmental degradation — the strongest E3 hook — but framed as impact-on-people, not a consumption metric.</t>
  </si>
  <si>
    <t>Art 7(2)(b)</t>
  </si>
  <si>
    <t>CSDDD requires a code of conduct within the DD policy — partial overlap with business-conduct culture; broader corporate culture not covered.</t>
  </si>
  <si>
    <t>Art 7(1)–(2)</t>
  </si>
  <si>
    <t>Mandatory DD policy plus a code of conduct, developed in consultation with employees, addressing impacts on the own workforce.</t>
  </si>
  <si>
    <t>Annex Pt I(6)</t>
  </si>
  <si>
    <t>'Safe and healthy working conditions' is a listed adverse impact, so OSH due diligence is required; the H&amp;S coverage metric itself is not.</t>
  </si>
  <si>
    <t>Fisheries labour conditions (2017/159)</t>
  </si>
  <si>
    <t>Art 14; Annex Pt I(9)–(12); Art 3(l)</t>
  </si>
  <si>
    <t>CSDDD mandates a complaints mechanism and due diligence on severe human-rights impacts (forced/child labour), but not the incident-count disclosure.</t>
  </si>
  <si>
    <t>Art 13(1),(3); Art 7(2)</t>
  </si>
  <si>
    <t>Meaningful stakeholder engagement expressly includes the company's own employees and their representatives.</t>
  </si>
  <si>
    <t>Art 12; Art 14</t>
  </si>
  <si>
    <t>Remediation duty plus a mandatory notification/complaints procedure for own workers to raise concerns.</t>
  </si>
  <si>
    <t>Best Aquaculture Practices (BAP)</t>
  </si>
  <si>
    <t>Art 10; Art 11</t>
  </si>
  <si>
    <t>Core prevent / bring-to-an-end duties applied to actual and potential adverse impacts on the own workforce.</t>
  </si>
  <si>
    <t>Art 7(2)(b); Annex Pt I(6)–(14)</t>
  </si>
  <si>
    <t>Code of conduct extended to business partners across the chain of activities, covering value-chain workers' human rights — the heart of CSDDD.</t>
  </si>
  <si>
    <t>Art 13; Art 3(1)(n)</t>
  </si>
  <si>
    <t>'Stakeholders' expressly include the workers of business partners, who must be engaged in the due-diligence process.</t>
  </si>
  <si>
    <t>Sedex / SMETA</t>
  </si>
  <si>
    <t>Art 12; Art 14(2)(b)</t>
  </si>
  <si>
    <t>Complaints may be filed by workers in the chain of activities, with remediation required for actual adverse impacts.</t>
  </si>
  <si>
    <t>E4-3</t>
  </si>
  <si>
    <t>Annex Pt II(1),(2),(13),(14); Pt I(15)(e)</t>
  </si>
  <si>
    <t>Explicit obligations to avoid/minimise biodiversity impacts (CBD/Nagoya/Cartagena), plus CITES (incl. introduction from the sea), World Heritage and Ramsar.</t>
  </si>
  <si>
    <t>VSME</t>
  </si>
  <si>
    <t>—</t>
  </si>
  <si>
    <t>Art 8; Art 5(3)</t>
  </si>
  <si>
    <t>Requires chain-of-activities mapping and disclosure of business-partner identity, but not product chain-of-custody / catch documentation.</t>
  </si>
  <si>
    <t>Annex Pt II(2),(1)</t>
  </si>
  <si>
    <t>Captured only via CITES (endangered species, incl. introduction from the sea) and the general biodiversity obligation; routine stock status is not covered.</t>
  </si>
  <si>
    <t>EU Taxonomy (2020/852)</t>
  </si>
  <si>
    <t>Annex Pt I(15),(16); Pt II(1)</t>
  </si>
  <si>
    <t>Feed-linked deforestation, land-rights and biodiversity impacts fall within chain-of-activities DD; feed-sourcing disclosure as such is not required.</t>
  </si>
  <si>
    <t>Art 56–58 traceability</t>
  </si>
  <si>
    <t>Mandates lot-level traceability of fishery/aquaculture products at all stages of production, processing and distribution, with prescribed traceability information and digital catch data — a direct chain-of-custody data duty.</t>
  </si>
  <si>
    <t>Reg (EU) 2023/2842 amending Reg (EC) 1224/2009 — EUR-Lex CELEX: 32023R2842</t>
  </si>
  <si>
    <t>logbook/landing/quota enforcement arts  [v]</t>
  </si>
  <si>
    <t>Enforces CFP catch-registration and landing obligations that operationalise stock quotas, but imposes no stock-status assessment or sourcing-sustainability disclosure on the processor — touches sustainable wild sourcing only via legality of catch.</t>
  </si>
  <si>
    <t>Art 12–14 + Annex II catch certificate  [v]</t>
  </si>
  <si>
    <t>Catch-certificate scheme requires validated documentation tracing wild-capture product from catch to import — a mandatory document trail underpinning chain of custody.</t>
  </si>
  <si>
    <t>Council Reg (EC) 1005/2008 — EUR-Lex CELEX: 02008R1005-20260110</t>
  </si>
  <si>
    <t>Art 12 catch certificate</t>
  </si>
  <si>
    <t>The validated catch certificate attests the catch complied with applicable conservation and management measures (legal, reported, regulated) — the hard-law floor of sustainable wild sourcing. [legality is not stock health/MSY; therefore 1]</t>
  </si>
  <si>
    <t>Coller FAIRR Index</t>
  </si>
  <si>
    <t xml:space="preserve">Art 35 (label data flow) </t>
  </si>
  <si>
    <t>The mandatory label data (area, gear, method) must accompany the product, requiring upstream information flow — touches traceability though the traceability system itself sits in the Control/IUU regimes.</t>
  </si>
  <si>
    <t>Reg (EU) No 1379/2013 — EUR-Lex: Regulation (EU) No 1379/2013</t>
  </si>
  <si>
    <t>FIPs / FisheryProgress</t>
  </si>
  <si>
    <t>Consumers &amp; end-users (s4)</t>
  </si>
  <si>
    <t>S4</t>
  </si>
  <si>
    <t>Art 35 (mandatory consumer information) → S4 "information-related impacts for consumers" sub-topic</t>
  </si>
  <si>
    <t>CMO mandates consumer product information (species, production method, catch area); bears on the S4 consumer-information sub-topic but demands no specific S4 datapoint → touched, not required</t>
  </si>
  <si>
    <t>Regulation (EU) 1379/2013, Art 35</t>
  </si>
  <si>
    <t>Art 35(1) catch-area/gear labelling  [v]</t>
  </si>
  <si>
    <t>Compulsory catch-area and gear-category labelling makes wild sourcing partially transparent to buyers and consumers — adjacent to sustainable-sourcing disclosure.</t>
  </si>
  <si>
    <t>Consumer health &amp; food safety (S4)</t>
  </si>
  <si>
    <t xml:space="preserve">recyclability + recycled-content + reuse arts </t>
  </si>
  <si>
    <t>Directly mandates circular-economy actions on packaging — recyclability design, recycled-content minima, reuse/refill and waste-reduction obligations.</t>
  </si>
  <si>
    <t xml:space="preserve">Reg (EU) 2025/40 (PPWR) — EUR-Lex: Regulation (EU) 2025/40 </t>
  </si>
  <si>
    <t>GSSI</t>
  </si>
  <si>
    <t>recycled-content art  [v]</t>
  </si>
  <si>
    <t>Minimum recycled-content requirements bear on material inflows (recyclate as input), but PPWR frames them as packaging design rather than an inflow-accounting duty.</t>
  </si>
  <si>
    <t xml:space="preserve">Reg (EU) 2025/40 (PPWR) — EUR-Lex: : Regulation (EU) 2025/40 </t>
  </si>
  <si>
    <t>waste-reduction / reuse-target arts  [v]</t>
  </si>
  <si>
    <t>Packaging-waste minimisation, recyclability and reuse targets directly govern resource outflows and packaging waste.</t>
  </si>
  <si>
    <t xml:space="preserve">Art 6 general obligations; Art 9 accident records </t>
  </si>
  <si>
    <t>Core employer duty to ensure workers’ safety and health via risk assessment and preventive measures, plus the duty to keep a list of and report occupational accidents — the substantive H&amp;S obligation underlying the S1 H&amp;S topic.</t>
  </si>
  <si>
    <t xml:space="preserve">Council Dir 89/391/EEC — EUR-Lex:Council Directive 89/391/EEC </t>
  </si>
  <si>
    <t>Antimicrobial use (AMU)</t>
  </si>
  <si>
    <t>SeaBOS</t>
  </si>
  <si>
    <t xml:space="preserve">Policies related to own workforce (S1-1) </t>
  </si>
  <si>
    <t>Arts 6 &amp; 9 → S1-1_09 (accident-prevention policy/mgmt system), S1-1_18 (H&amp;S environment)</t>
  </si>
  <si>
    <t>OSH mandates a workplace accident-prevention policy/management system and risk assessment — direct hit on S1-1_09/18Directive 89/391/EEC, Arts 6 &amp; 9</t>
  </si>
  <si>
    <t xml:space="preserve">Council Dir 89/391/EEC — EUR-Lex: Council Directive 89/391/EEC </t>
  </si>
  <si>
    <t>Art 10–11 information &amp; consultation</t>
  </si>
  <si>
    <t>Mandates information, consultation and participation of workers and their representatives — worker engagement, but scoped to health &amp; safety matters.</t>
  </si>
  <si>
    <t>Animal welfare</t>
  </si>
  <si>
    <t xml:space="preserve">Art 6 preventive/protective measures </t>
  </si>
  <si>
    <t>Requires preventive and protective measures to act on workplace risks — action on a material own-workforce (H&amp;S) impact.</t>
  </si>
  <si>
    <t>UN SDGs</t>
  </si>
  <si>
    <t>— (out of frame)</t>
  </si>
  <si>
    <t>REVISED 1-&gt;0: working-time standards map natively to S1-11/S1-15 (out of universe); S1-4 datapoints are narrative actions-on-impacts, not a working-time standard. Recorded in out-of-frame register, not coded.</t>
  </si>
  <si>
    <t>Dir 2003/88/EC — EUR-Lex</t>
  </si>
  <si>
    <t>Move to Minus 15</t>
  </si>
  <si>
    <t xml:space="preserve">Art 3 prohibition </t>
  </si>
  <si>
    <t>Prohibits placing on / making available products made with forced labour — forced labour is the archetypal severe human-rights impact (own and value-chain workers), but FLR is a market ban, not an incident-disclosure duty.</t>
  </si>
  <si>
    <t>Reg (EU) 2024/3015 (Forced Labour Regulation) — EUR-Lex: Regulation (EU) 2024/3015</t>
  </si>
  <si>
    <t>Art 3 (market prohibition) → S2-1_05 (forced labour)</t>
  </si>
  <si>
    <t>Targets forced labour anywhere in the supply chain, bearing on value-chain worker protection — coded as a product market-ban rather than a policy/engagement requirement. [FLAG: arguably 2 since it explicitly addresses the topic.]</t>
  </si>
  <si>
    <t>Arts 3 &amp; 8 (deforestation-free + due diligence) → E4-2_20 (deforestation policy), E4-5_05 (land conversion)</t>
  </si>
  <si>
    <t>Purpose is to curb deforestation and forest degradation in commodity supply chains — addresses ecosystem/biodiversity loss relevant to E4 where the processor handles in-scope commodities.</t>
  </si>
  <si>
    <t>Reg (EU) 2023/1115 (EUDR) — EUR-Lex</t>
  </si>
  <si>
    <t>Art 9 geolocation; Art 4 DD statement  [v]</t>
  </si>
  <si>
    <t>Requires plot-level geolocation and due-diligence statements traceable to origin for in-scope commodities — a strong traceability duty, but for deforestation commodities (e.g. soy/palm in feed), not seafood chain of custody.</t>
  </si>
  <si>
    <t>Annex I + Art 3 DD obligation  [v]</t>
  </si>
  <si>
    <t>Soy/palm in aquafeed are in-scope EUDR commodities, so the deforestation-commodity slice of feed carries a due-diligence duty. [FLAG applicability: for a processor buying finished feed, the EUDR duty may sit with the feed supplier — consider context/indirect or 0.]</t>
  </si>
  <si>
    <t xml:space="preserve">amends UCPD 2005/29/EC Arts 6–7 </t>
  </si>
  <si>
    <t>Bans generic/unsubstantiated environmental claims and regulates sustainability labels in B2C commercial practices — a consumer-protection duty touching the S4 consumer topic, but governing how claims are made rather than any sustainability performance or disclosure. [FLAG: weak fit; reviewer may treat EmpCo as context (0).]</t>
  </si>
  <si>
    <t>Dir (EU) 2024/825 (EmpCo) amending Dir 2005/29/EC — EUR-Lex: Regulation (EU) No 2024/825</t>
  </si>
  <si>
    <t>leak-check / containment / recovery arts</t>
  </si>
  <si>
    <t>Mandatory HFC phase-down, leak checks, containment and recovery for refrigeration operators is a binding climate-mitigation action on the refrigerant slice of operations. (Conditional: profile = uses HFC/HFO.)</t>
  </si>
  <si>
    <t>Reg (EU) 2024/573 (F-gas) — EUR-Lex</t>
  </si>
  <si>
    <t>Arts 4–6, 26 → E1-6_07 (Gross Scope 1 GHG)</t>
  </si>
  <si>
    <t>Binding leak-control/recovery + reporting of fluorinated-gas (Scope-1) emissions addresses the Scope-1 GHG datapoint substance</t>
  </si>
  <si>
    <t xml:space="preserve">Art 8 internal channels; Art 4 personal scope </t>
  </si>
  <si>
    <t>Requires legal entities with ≥50 workers to establish internal reporting channels and protect reporting persons — a direct, mandated channel for workers to raise concerns.</t>
  </si>
  <si>
    <t>Dir (EU) 2019/1937 (Whistleblowing) — EUR-Lex</t>
  </si>
  <si>
    <t>Arts 8–9 → G1-1_05/06 (reporting safeguards, whistle-blower protection)</t>
  </si>
  <si>
    <t>Datapoint check: G1-1 carries dedicated whistleblowing datapoints (G1-1_05 safeguards for reporting irregularities incl. whistleblowing; G1-1_06 whistle-blower protection policy; G1-1_12 entity subject to whistleblower legal requirements). The Directive maps to these explicitly -&gt; upgraded 1-&gt;2.</t>
  </si>
  <si>
    <t>— (removed on datapoint check)</t>
  </si>
  <si>
    <t>REMOVED 1-&gt;0: G1-3 datapoints are anti-corruption procedures/training only; whistleblowing maps to G1-1 (above), not G1-3. Dropped to avoid double-counting the same instrument across two governance rows.</t>
  </si>
  <si>
    <t>Art 4 personal scope  [v]</t>
  </si>
  <si>
    <t>Personal scope extends beyond employees (e.g. contractors, suppliers and their workers), so the channel partly reaches value-chain workers. [FLAG: defensible as 0.]</t>
  </si>
  <si>
    <t>— (no datapoint home)</t>
  </si>
  <si>
    <t>REVISED 2-&gt;0 on datapoint check: S1-9 datapoints (S1-9_01..06) are gender/age headcount only — no pay metric. Gender pay gap = S1-16_01, which is outside the 28-row universe. Pay Transparency therefore has no datapoint home; recommend adding an S1-16 row if pay-transparency demand is to be captured.</t>
  </si>
  <si>
    <t>Dir (EU) 2023/970 (Pay Transparency) — EUR-Lex</t>
  </si>
  <si>
    <t>MSC CoC Standard (segregation, identification, lot records)  [v]</t>
  </si>
  <si>
    <t>GAP ROW (no ESRS datapoint). MSC Chain of Custody is the core traceability requirement the processor itself holds — purchase/segregation/lot records of certified product.</t>
  </si>
  <si>
    <t>MSC Fisheries Standard v3 + Chain of Custody Standard — marine.org [v]</t>
  </si>
  <si>
    <t>Principle 1 (stock evaluation + harvest strategy)</t>
  </si>
  <si>
    <t>GAP ROW. Principle 1 requires the source fishery to keep the target stock above biologically based reference points; transmitted to the processor as a condition of any MSC claim. (Stock-status side of the wild-stock/E4 split.)</t>
  </si>
  <si>
    <t>E4</t>
  </si>
  <si>
    <t xml:space="preserve">MSC Fisheries Std Principle 2 </t>
  </si>
  <si>
    <t>Binding sourcing requirement on certified catch meeting P2 ecosystem criteria. Locus: indirect on P2 (fishery-certified)</t>
  </si>
  <si>
    <t xml:space="preserve">MSC CoC labour-eligibility requirement </t>
  </si>
  <si>
    <t>MSC CoC labour requirement (forced/child-labour eligibility) touches value-chain worker policy -&gt; datapoint S2-1_05 (policies explicitly addressing forced labour); light self-assessment, not full disclosure -&gt; 1.</t>
  </si>
  <si>
    <t xml:space="preserve">ASC Chain of Custody Standard </t>
  </si>
  <si>
    <t>GAP ROW. ASC CoC traceability of certified farmed product held by the processor.</t>
  </si>
  <si>
    <t>ASC Farm Standard + Feed Standard + Chain of Custody — asc-aqua.org [v]</t>
  </si>
  <si>
    <t xml:space="preserve">ASC Feed Standard / responsible marine-ingredient &amp; soy sourcing </t>
  </si>
  <si>
    <t>GAP ROW. ASC explicitly certifies responsible feed: FFDR limits, fishmeal/oil from responsibly managed fisheries, deforestation-free soy.</t>
  </si>
  <si>
    <t xml:space="preserve">ASC Farm Standard fish-health &amp; antibiotic criteria </t>
  </si>
  <si>
    <t>GAP ROW. ASC restricts antibiotics (bans prophylactic use, limits human-critical antimicrobials), requires mortality/survival and fish-health management — covers the welfare+AMU row.</t>
  </si>
  <si>
    <t>ASC Farm Standard escapes &amp; biodiversity criteria  [v]</t>
  </si>
  <si>
    <t>Escape prevention, benthic/biodiversity impact and predator interaction map to E4-5 biodiversity-impact datapoints (E4-5_14/_15 invasive/escaped species; benthic state).</t>
  </si>
  <si>
    <t xml:space="preserve">ASC effluent / water-quality monitoring </t>
  </si>
  <si>
    <t>ASC requires nutrient/effluent monitoring and limits -&gt; E3-4_12 (water discharges) and E3-4_01 (consumption).</t>
  </si>
  <si>
    <t xml:space="preserve">ASC water-management requirements </t>
  </si>
  <si>
    <t>Water-management practices touch the E3-1 water policy datapoints (E3-1_01) without requiring a full E3-1 policy disclosure -&gt; 1.</t>
  </si>
  <si>
    <t>ASC waste &amp; chemical management</t>
  </si>
  <si>
    <t>Waste/chemical handling criteria touch E5-5 waste datapoints -&gt; 1.</t>
  </si>
  <si>
    <t xml:space="preserve">ASC Farm Standard social/labour criteria </t>
  </si>
  <si>
    <t xml:space="preserve">Farm-level labour standards (forced/child labour, freedom of association) reach the processor as value-chain demand -&gt; S2-1_05; certification of supplier, not processor disclosure </t>
  </si>
  <si>
    <t>BAP</t>
  </si>
  <si>
    <t>BAP traceability requirements (multi-facility)  [v]</t>
  </si>
  <si>
    <t>GAP ROW. BAP traceability across hatchery/farm/feed/processing.</t>
  </si>
  <si>
    <t>Best Aquaculture Practices — Farm/Feed Mill/Processing Plant Standards, BAP/GSA [v]</t>
  </si>
  <si>
    <t>BAP Feed Mill Standard  [v]</t>
  </si>
  <si>
    <t>GAP ROW. BAP certifies the feed mill (ingredient sourcing, marine-ingredient responsibility).</t>
  </si>
  <si>
    <t>BAP antibiotic &amp; fish-health criteria  [v]</t>
  </si>
  <si>
    <t>GAP ROW. BAP restricts antibiotic use and requires health/mortality management.</t>
  </si>
  <si>
    <t>BAP Processing Plant Standard — food safety / HACCP  [v]</t>
  </si>
  <si>
    <t>BAP uniquely certifies the processing plant for food safety -&gt; S4 food-safety datapoints (S4-4 action on consumer health). Distinctive vs MSC/ASC.</t>
  </si>
  <si>
    <t>BAP effluent / sediment monitoring  [v]</t>
  </si>
  <si>
    <t>Effluent and sediment monitoring -&gt; E3-4_12 (discharges).</t>
  </si>
  <si>
    <t>BAP water-management requirements  [v]</t>
  </si>
  <si>
    <t>Water-management practices touch E3-1_01 -&gt; 1.</t>
  </si>
  <si>
    <t>BAP sediment / mangrove / biodiversity criteria  [v]</t>
  </si>
  <si>
    <t>Mangrove and benthic-protection criteria touch E4-5 biodiversity datapoints -&gt; 1 (less central than ASC).</t>
  </si>
  <si>
    <t>BAP Processing Plant Standard — worker safety  [v]</t>
  </si>
  <si>
    <t>Processing-plant worker-safety requirements bind the processor itself -&gt; S1-14_01 (H&amp;S coverage); own-workforce locus -&gt; 2</t>
  </si>
  <si>
    <t>BAP farm/feed social criteria  [v]</t>
  </si>
  <si>
    <t>Farm- and feed-mill labour criteria reach the processor as value-chain demand -&gt; S2-1_05 -&gt; 1.</t>
  </si>
  <si>
    <t>GLOBALG.A.P. traceability / chain of custody  [v]</t>
  </si>
  <si>
    <t>GAP ROW. Product traceability requirement.</t>
  </si>
  <si>
    <t>GLOBALG.A.P. Aquaculture Standard + GRASP add-on [v]</t>
  </si>
  <si>
    <t>GLOBALG.A.P. fish-health, welfare &amp; veterinary-medicine records  [v]</t>
  </si>
  <si>
    <t>GAP ROW. Requires veterinary-medicine (incl. antibiotic) records and fish-health/welfare management -&gt; covers welfare+AMU.</t>
  </si>
  <si>
    <t>GLOBALG.A.P. food-safety / GMP core  [v]</t>
  </si>
  <si>
    <t>The G.A.P. core is food safety and good manufacturing practice -&gt; S4 food-safety datapoints. Distinctive vs MSC/ASC.</t>
  </si>
  <si>
    <t>GLOBALG.A.P. feed-management &amp; records  [v]</t>
  </si>
  <si>
    <t>GAP ROW. Feed records/management touched but marine-ingredient sourcing is lighter than ASC -&gt; 1.</t>
  </si>
  <si>
    <t>GRASP add-on — farm worker welfare  [v]</t>
  </si>
  <si>
    <t>GRASP assesses farm-worker welfare; reaches the processor as value-chain demand -&gt; S2-1 -&gt; 1 (add-on, not always required).</t>
  </si>
  <si>
    <t>GLOBALG.A.P. water-use / quality criteria  [v]</t>
  </si>
  <si>
    <t>Water-use and quality criteria touch E3-4 -&gt; 1.</t>
  </si>
  <si>
    <t>GLOBALG.A.P. site / biodiversity criteria  [v]</t>
  </si>
  <si>
    <t>Site and biodiversity criteria touch E4-5 -&gt; 1.</t>
  </si>
  <si>
    <t>FotS chain of custody  [v]</t>
  </si>
  <si>
    <t>GAP ROW. Traceability of certified product. NOTE: FotS is a COLLAPSE/derivative scheme — raw scores duplicate MSC/ASC; dependency weight should net it ~0 in adjusted convergence.</t>
  </si>
  <si>
    <t>Friend of the Sea (World Sustainability Org) — wild &amp; aquaculture standards [v]</t>
  </si>
  <si>
    <t>FotS wild criterion (no overfished stocks, legal origin)  [v]</t>
  </si>
  <si>
    <t>GAP ROW. Wild standard requires sourcing from non-overfished, legal stocks.</t>
  </si>
  <si>
    <t>FotS aquaculture feed criteria  [v]</t>
  </si>
  <si>
    <t>GAP ROW. Aqua feed-sourcing criteria touched -&gt; 1.</t>
  </si>
  <si>
    <t>FotS aquaculture antibiotic restriction  [v]</t>
  </si>
  <si>
    <t>GAP ROW. Antibiotic restriction touched -&gt; 1.</t>
  </si>
  <si>
    <t>FotS bycatch / ecosystem &amp; escape criteria  [v]</t>
  </si>
  <si>
    <t>Bycatch/ecosystem (wild) and escape (aqua) criteria touch E4-5 -&gt; 1.</t>
  </si>
  <si>
    <t>SAQ - Sedex / SMETA</t>
  </si>
  <si>
    <t>SMETA Labour pillar (enforced)</t>
  </si>
  <si>
    <t>Audited + customer-gated labour standards (forced/child labour, FoA, wages, hours) → binding conformity, not mere disclosure → S1-1.</t>
  </si>
  <si>
    <t>SMETA 4-Pillar methodology — Sedex</t>
  </si>
  <si>
    <t>SMETA Health &amp; Safety pillar (enforced)</t>
  </si>
  <si>
    <t>Dedicated H&amp;S audit pillar; non-conformities must be remediated to retain the buyer → binding conformity → S1-14.</t>
  </si>
  <si>
    <t>Remediation processes / raise-a-concern channels</t>
  </si>
  <si>
    <t>SMETA grievance check</t>
  </si>
  <si>
    <t>Audit verifies that worker grievance channels exist → touched → S1-3.</t>
  </si>
  <si>
    <t>Taking action on workforce impacts</t>
  </si>
  <si>
    <t>SMETA corrective actions</t>
  </si>
  <si>
    <t>Non-conformities drive corrective-action plans → touched → S1-4.</t>
  </si>
  <si>
    <t>Incidents, complaints, severe HR impacts</t>
  </si>
  <si>
    <t>SMETA findings</t>
  </si>
  <si>
    <t>Audit surfaces severe labour/HR findings; a finding, not a standing metric → touched → S1-17.</t>
  </si>
  <si>
    <t>Policies related to value-chain workers</t>
  </si>
  <si>
    <t>SAQ Management — supply-chain labour</t>
  </si>
  <si>
    <t>SAQ Management section asks about supply-chain labour policy → touched → S2-1.</t>
  </si>
  <si>
    <t>Sedex SAQ structure, sedex.com — Jun 2026</t>
  </si>
  <si>
    <t>Corporate culture &amp; business-conduct policies</t>
  </si>
  <si>
    <t>SAQ/SMETA Business Ethics pillar</t>
  </si>
  <si>
    <t>Business-ethics module (disclosed in SAQ, lightly audited) → touched → G1-1.</t>
  </si>
  <si>
    <t>Sedex SAQ structure + SMETA — Sedex</t>
  </si>
  <si>
    <t>Prevention/detection of corruption &amp; bribery</t>
  </si>
  <si>
    <t>Touches anti-bribery; lighter than a dedicated programme → G1-3.</t>
  </si>
  <si>
    <t>SAQ/SMETA Environment pillar</t>
  </si>
  <si>
    <t>Environment pillar lightly covers waste → touched → E5-5.</t>
  </si>
  <si>
    <t>Gross Scopes 1, 2, 3 and total GHG emissions</t>
  </si>
  <si>
    <t>SAQ Pillar C — Environment (energy/emissions)</t>
  </si>
  <si>
    <t>SAQ's energy/emissions section touches GHG reporting at self-disclosure level; no binding datapoint imposition.</t>
  </si>
  <si>
    <t>Sedex SAQ structure, sedex.com — accessed Jun 2026</t>
  </si>
  <si>
    <t>Characteristics of the undertaking's employees</t>
  </si>
  <si>
    <t>SAQ Pillar A — Labour Standards (workforce profile)</t>
  </si>
  <si>
    <t>SAQ collects workforce composition — contract types, agency/migrant-worker use and headcount — self-disclosing the S1-6 employee-characteristics datapoints. [LIKELY] 2 defensible: it is a core SAQ data field, not a peripheral mention.</t>
  </si>
  <si>
    <t>Sedex SAQ structure (4 pillars + Management), sedex.com — accessed Jun 2026; exact items not public</t>
  </si>
  <si>
    <t>Processes for engaging own workforce / worker representation</t>
  </si>
  <si>
    <t>SAQ Pillar A — Labour Standards (freedom of association)</t>
  </si>
  <si>
    <t>SAQ asks about freedom of association / worker representation, touching the S1-2 engagement process.</t>
  </si>
  <si>
    <t>SAQ Pillar A — Labour Standards (discrimination)</t>
  </si>
  <si>
    <t>SAQ covers non-discrimination/equal-treatment, touching the diversity dimension of S1-9 without imposing the metric.</t>
  </si>
  <si>
    <t>SAQ Pillar C — Environment</t>
  </si>
  <si>
    <t>SAQ self-discloses site energy use under the Environment pillar; touched, not bindingly required at datapoint depth.</t>
  </si>
  <si>
    <t>SAQ self-discloses water use under the Environment pillar; touched only.</t>
  </si>
  <si>
    <t xml:space="preserve">EcoVadis Labour &amp; HR theme </t>
  </si>
  <si>
    <t>Assesses labour/HR policies &amp; practices -&gt; S1-1; rating evidence not audit (overlaps SMETA).</t>
  </si>
  <si>
    <t>EcoVadis methodology — 4 themes</t>
  </si>
  <si>
    <t xml:space="preserve">EcoVadis Labour &amp; HR (H&amp;S) </t>
  </si>
  <si>
    <t>H&amp;S assessed -&gt; S1-14.</t>
  </si>
  <si>
    <t xml:space="preserve">EcoVadis Sustainable Procurement  </t>
  </si>
  <si>
    <t>Supplier social/environmental assessment -&gt; S2-1.</t>
  </si>
  <si>
    <t xml:space="preserve">EcoVadis Ethics theme  </t>
  </si>
  <si>
    <t>Ethics theme -&gt; G1-1.</t>
  </si>
  <si>
    <t xml:space="preserve">EcoVadis Ethics (anti-corruption)  </t>
  </si>
  <si>
    <t>Anti-corruption within ethics theme -&gt; G1-3.</t>
  </si>
  <si>
    <t xml:space="preserve">EcoVadis Environment (GHG) </t>
  </si>
  <si>
    <t>Requests GHG data -&gt; E1-6.</t>
  </si>
  <si>
    <t xml:space="preserve">EcoVadis Environment (energy)  </t>
  </si>
  <si>
    <t>Energy requested -&gt; E1-5.</t>
  </si>
  <si>
    <t xml:space="preserve">EcoVadis Environment (water)  </t>
  </si>
  <si>
    <t>Water requested -&gt; E3-4.</t>
  </si>
  <si>
    <t xml:space="preserve">EcoVadis Environment (waste)  </t>
  </si>
  <si>
    <t>Waste requested -&gt; E5-5.</t>
  </si>
  <si>
    <t xml:space="preserve">EcoVadis Labour &amp; HR (diversity/non-discrimination) </t>
  </si>
  <si>
    <t>Assesses diversity/non-discrimination policy → rating evidence, not imposition → S1-9.</t>
  </si>
  <si>
    <t>Incidents, complaints &amp; severe human rights impacts</t>
  </si>
  <si>
    <t xml:space="preserve">EcoVadis Labour &amp; HR (human rights) </t>
  </si>
  <si>
    <t>Human-rights dimension of the Labour &amp; HR theme → touched → S1-17.</t>
  </si>
  <si>
    <t xml:space="preserve">CDP Climate C6 (emissions) </t>
  </si>
  <si>
    <t>Requires Scope 1/2/3 GHG -&gt; E1-6_06/_07.</t>
  </si>
  <si>
    <t>CDP Climate / Water / Forests questionnaires</t>
  </si>
  <si>
    <t xml:space="preserve">CDP Climate C8 (energy) </t>
  </si>
  <si>
    <t>Requires energy data -&gt; E1-5_01.</t>
  </si>
  <si>
    <t xml:space="preserve">CDP Climate C4 (targets)  </t>
  </si>
  <si>
    <t>Emissions targets -&gt; E1-4_01.</t>
  </si>
  <si>
    <t xml:space="preserve">CDP Climate C4 (initiatives) </t>
  </si>
  <si>
    <t>Reduction initiatives -&gt; E1-3_01/_03.</t>
  </si>
  <si>
    <t xml:space="preserve">CDP Water W1 (withdrawal/discharge) </t>
  </si>
  <si>
    <t>Requires withdrawal/consumption/discharge -&gt; E3-4_11/_12.</t>
  </si>
  <si>
    <t xml:space="preserve">CDP Water (governance/policy) </t>
  </si>
  <si>
    <t>Water policy/governance -&gt; E3-1.</t>
  </si>
  <si>
    <t xml:space="preserve">CDP Water (targets)  </t>
  </si>
  <si>
    <t>Water targets -&gt; E3-3.</t>
  </si>
  <si>
    <t xml:space="preserve">CDP Forests  </t>
  </si>
  <si>
    <t>Deforestation-commodity exposure -&gt; E4; conditional on Forests questionnaire.</t>
  </si>
  <si>
    <t xml:space="preserve">CDP Forests (soy/palm) </t>
  </si>
  <si>
    <t>GAP ROW. Soy/palm in feed -&gt; conditional - only through forest questionnaire, unlikely through processor</t>
  </si>
  <si>
    <t xml:space="preserve">VSME B3 (energy)  </t>
  </si>
  <si>
    <t>B3 requires energy consumption -&gt; E1-5_01.</t>
  </si>
  <si>
    <t>EFRAG VSME — Basic + Comprehensive modules</t>
  </si>
  <si>
    <t xml:space="preserve">VSME B3 (GHG)  </t>
  </si>
  <si>
    <t>B3 requires Scope 1/2 GHG -&gt; E1-6.</t>
  </si>
  <si>
    <t>VSME B6 (water)</t>
  </si>
  <si>
    <t>Water use -&gt; E3-4 (reduced datapoint set)</t>
  </si>
  <si>
    <t xml:space="preserve">VSME B7 (waste) </t>
  </si>
  <si>
    <t>Waste -&gt; E5-5.</t>
  </si>
  <si>
    <t xml:space="preserve">VSME B7 (circular)  </t>
  </si>
  <si>
    <t>Circular practices -&gt; E5-2.</t>
  </si>
  <si>
    <t>VSME Basic B5 (sites/biodiversity)</t>
  </si>
  <si>
    <t>B5-1/2 sites near biodiversity-sensitive areas mandatory; B5-3..6 voluntary land-use -&gt; E4. Touched -&gt; 1.</t>
  </si>
  <si>
    <t xml:space="preserve">VSME B8 (workforce characteristics)  </t>
  </si>
  <si>
    <t>Requires workforce headcount -&gt; S1-6.</t>
  </si>
  <si>
    <t xml:space="preserve">VSME B9 (H&amp;S) </t>
  </si>
  <si>
    <t>Requires accident/H&amp;S data -&gt; S1-14.</t>
  </si>
  <si>
    <t>— (removed)</t>
  </si>
  <si>
    <t>REMOVED from Basic: B10 (pay/training/bargaining) maps to S1-8/S1-10/S1-13/S1-16, NOT S1-1. Workforce policy requirement enters only under Comprehensive (C6). S1-1 now scored in VSME-Comprehensive.</t>
  </si>
  <si>
    <t xml:space="preserve">VSME B11 (convictions/fines) </t>
  </si>
  <si>
    <t>Corruption convictions/fines -&gt; G1-4.</t>
  </si>
  <si>
    <t>VSME Basic B7-5 (material mass-flow)</t>
  </si>
  <si>
    <t>ADDED. B7-5 annual material mass-flow (tonnes), conditional on significant flows -&gt; E5-4. Touched/conditional -&gt; 1.</t>
  </si>
  <si>
    <t>EFRAG VSME Standard (2024); author VSME→ESRS DR mapping</t>
  </si>
  <si>
    <t>VSME Compr C3-4 (actions)</t>
  </si>
  <si>
    <t>C3-4 main actions to achieve GHG target -&gt; E1-3 (actions). "Resources" element absent -&gt; 1.</t>
  </si>
  <si>
    <t>VSME Compr C3-1/2/3 (GHG targets)</t>
  </si>
  <si>
    <t>C3 requires GHG reduction targets (Scope 1/2/3) when C-module adopted -&gt; E1-4. Explicit target ask -&gt; 2.</t>
  </si>
  <si>
    <t>VSME Compr C6-1/C6-2 (code of conduct / HR policy)</t>
  </si>
  <si>
    <t>C6 requires code of conduct + HR policy covering child/forced labour, trafficking, discrimination, accident prevention -&gt; S1-1. Explicit policy disclosure -&gt; 2.</t>
  </si>
  <si>
    <t>VSME Compr C5-1 (management gender ratio)</t>
  </si>
  <si>
    <t>C5-1 female-to-male ratio at management level -&gt; S1-9. Narrow (management only) vs full diversity metrics -&gt; 1.</t>
  </si>
  <si>
    <t>VSME Compr C7-1/C7-2 (confirmed incidents)</t>
  </si>
  <si>
    <t>C7-1a–e confirmed own-workforce incidents (discrimination/harassment) + C7-2 actions -&gt; S1-17. Explicit incident datapoint -&gt; 2.</t>
  </si>
  <si>
    <t>VSME Compr C7-3 (value-chain incidents)</t>
  </si>
  <si>
    <t>C7-3 incidents involving value-chain/community/consumers partially reaches S2 value-chain workers -&gt; 1 (partial, per mapping note).</t>
  </si>
  <si>
    <t xml:space="preserve">SFDR PAI 1-3 (GHG emissions / carbon footprint / intensity) </t>
  </si>
  <si>
    <t>Mandatory PAI GHG datapoints; SFDR directly requires their disclosure. Locus indirect.</t>
  </si>
  <si>
    <t>Reg (EU) 2019/2088 PAI indicators — EUR-Lex</t>
  </si>
  <si>
    <t xml:space="preserve">SFDR PAI 5-6 (non-renewable energy share / intensity)  </t>
  </si>
  <si>
    <t>Mandatory SFDR PAI indicator requires the investee's energy datapoint to be disclosed; demand cascades via PAI-reporting investors. Locus indirect (recorded separately).</t>
  </si>
  <si>
    <t xml:space="preserve">SFDR PAI 7 (activities negatively affecting biodiversity-sensitive areas) </t>
  </si>
  <si>
    <t>Mandatory PAI biodiversity datapoint -&gt; E4. Locus indirect.</t>
  </si>
  <si>
    <t xml:space="preserve">SFDR PAI 9 (hazardous &amp; radioactive waste ratio) </t>
  </si>
  <si>
    <t>Mandatory PAI waste datapoint required by SFDR. Locus indirect.</t>
  </si>
  <si>
    <t xml:space="preserve">SFDR PAI 10 (violations of UNGC principles / OECD Guidelines) </t>
  </si>
  <si>
    <t>Mandatory PAI norms-violation datapoint -&gt; S1-17. Locus indirect.</t>
  </si>
  <si>
    <t xml:space="preserve">IFRS S2 (Scope 1/2/3 GHG)  </t>
  </si>
  <si>
    <t>S2 requires gross GHG -&gt; E1-6.</t>
  </si>
  <si>
    <t>IFRS S1/S2 — ISSB</t>
  </si>
  <si>
    <t xml:space="preserve">IFRS S2 (climate targets) </t>
  </si>
  <si>
    <t>S2 requires targets -&gt; E1-4.</t>
  </si>
  <si>
    <t>IFRS S2 — climate strategy &amp; transition plan</t>
  </si>
  <si>
    <t>S2 requires disclosure of climate strategy, transition plan and the actions/resources to deliver it -&gt; E1-3. Locus indirect.</t>
  </si>
  <si>
    <t xml:space="preserve">IFRS S2 (energy) </t>
  </si>
  <si>
    <t>UNCERTAIN — Energy underlies GHG calc -&gt; E1-5.</t>
  </si>
  <si>
    <t xml:space="preserve">TNFD core (nature/biodiversity) </t>
  </si>
  <si>
    <t>Nature impacts &amp; dependencies -&gt; E4.</t>
  </si>
  <si>
    <t>TNFD Recommendations v1.0</t>
  </si>
  <si>
    <t>TNFD core global metric — water consumption &amp; discharge</t>
  </si>
  <si>
    <t>Water consumption/discharge is a TNFD core global disclosure metric (defined datapoint) -&gt; E3-4. Locus direct.</t>
  </si>
  <si>
    <t xml:space="preserve">TNFD nature dependency (stocks) </t>
  </si>
  <si>
    <t>UNCERTAIN — GAP ROW. Dependency on wild stocks; voluntary/nascent.</t>
  </si>
  <si>
    <t>GDST interoperable traceability KDEs  [v]</t>
  </si>
  <si>
    <t>GAP ROW. The seafood-traceability KDE standard.</t>
  </si>
  <si>
    <t>GDST 1.x Key Data Elements</t>
  </si>
  <si>
    <t>GDST KDEs (catch area/species)  [v]</t>
  </si>
  <si>
    <t>UNCERTAIN — GAP ROW. Catch-area KDEs touch wild-stock sourcing.</t>
  </si>
  <si>
    <t>GRI 302 Energy  [v]</t>
  </si>
  <si>
    <t>Requires energy consumption -&gt; E1-5.</t>
  </si>
  <si>
    <t>GRI Universal + Topic + Sector 13</t>
  </si>
  <si>
    <t>GRI 305 Emissions  [v]</t>
  </si>
  <si>
    <t>Requires Scope 1/2/3 GHG -&gt; E1-6.</t>
  </si>
  <si>
    <t>GRI 305 (reductions)  [v]</t>
  </si>
  <si>
    <t>GHG reduction -&gt; E1-3.</t>
  </si>
  <si>
    <t>GRI 3-3 (targets)  [v]</t>
  </si>
  <si>
    <t>UNCERTAIN — Targets via management approach -&gt; E1-4.</t>
  </si>
  <si>
    <t>GRI 303 Water &amp; Effluents  [v]</t>
  </si>
  <si>
    <t>Requires withdrawal/consumption/discharge -&gt; E3-4.</t>
  </si>
  <si>
    <t>GRI 303-1/2  [v]</t>
  </si>
  <si>
    <t>Water management -&gt; E3-1.</t>
  </si>
  <si>
    <t>GRI 306 Waste  [v]</t>
  </si>
  <si>
    <t>Requires waste generation -&gt; E5-5.</t>
  </si>
  <si>
    <t>GRI 301 Materials  [v]</t>
  </si>
  <si>
    <t>UNCERTAIN — Materials used -&gt; E5-4.</t>
  </si>
  <si>
    <t>GRI 301 (recycled inputs)  [v]</t>
  </si>
  <si>
    <t>UNCERTAIN — Recycled inputs -&gt; E5-2.</t>
  </si>
  <si>
    <t>GRI 304 Biodiversity + 13.3  [v]</t>
  </si>
  <si>
    <t>Requires biodiversity disclosure -&gt; E4.</t>
  </si>
  <si>
    <t>GRI 2-23/24; 400-series  [v]</t>
  </si>
  <si>
    <t>Labour policies -&gt; S1-1.</t>
  </si>
  <si>
    <t>GRI 2-7 / 405  [v]</t>
  </si>
  <si>
    <t>Workforce headcount/diversity -&gt; S1-6.</t>
  </si>
  <si>
    <t>GRI 403 OHS  [v]</t>
  </si>
  <si>
    <t>Requires H&amp;S metrics -&gt; S1-14.</t>
  </si>
  <si>
    <t>GRI 405 — Diversity &amp; Equal Opportunity</t>
  </si>
  <si>
    <t>GRI 405 is a defined topic standard with diversity metrics -&gt; S1-9 (datapoint-level).</t>
  </si>
  <si>
    <t>GRI 412 — Human Rights Assessment</t>
  </si>
  <si>
    <t>GRI 412 imposes human-rights assessment disclosure -&gt; S1-17 (datapoint-level).</t>
  </si>
  <si>
    <t>GRI 414/408/409  [v]</t>
  </si>
  <si>
    <t>Supplier social + child/forced labour -&gt; S2-1.</t>
  </si>
  <si>
    <t>GRI 2-23 conduct  [v]</t>
  </si>
  <si>
    <t>Business-conduct policy -&gt; G1-1.</t>
  </si>
  <si>
    <t>GRI 205-1/2  [v]</t>
  </si>
  <si>
    <t>Anti-corruption procedures/training -&gt; G1-3.</t>
  </si>
  <si>
    <t>GRI 205-3  [v]</t>
  </si>
  <si>
    <t>Confirmed corruption incidents -&gt; G1-4_04.</t>
  </si>
  <si>
    <t>GRI 415 Public Policy  [v]</t>
  </si>
  <si>
    <t>Political contributions -&gt; G1-5_03.</t>
  </si>
  <si>
    <t>GRI 416/417  [v]</t>
  </si>
  <si>
    <t>Consumer H&amp;S &amp; labelling -&gt; S4.</t>
  </si>
  <si>
    <t>GRI 13.23  [v]</t>
  </si>
  <si>
    <t>GAP ROW. Named GRI 13 topic.</t>
  </si>
  <si>
    <t>GRI 13.3.11  [v]</t>
  </si>
  <si>
    <t>GAP ROW. Sector disclosure (caught/harvested).</t>
  </si>
  <si>
    <t>GRI 13.3.10  [v]</t>
  </si>
  <si>
    <t>GAP ROW. Sector disclosure (aquaculture production).</t>
  </si>
  <si>
    <t>GRI 13.11  [v]</t>
  </si>
  <si>
    <t>GAP ROW. Named GRI 13 topic (animal health &amp; welfare).</t>
  </si>
  <si>
    <t>SBTi target-validation criteria  [v]</t>
  </si>
  <si>
    <t>Requires validated science-based reduction targets -&gt; E1-4_01.</t>
  </si>
  <si>
    <t>Science Based Targets initiative criteria</t>
  </si>
  <si>
    <t>SBTi inventory prerequisite  [v]</t>
  </si>
  <si>
    <t>GHG inventory as target basis -&gt; E1-6.</t>
  </si>
  <si>
    <t>SBTi mitigation/transition  [v]</t>
  </si>
  <si>
    <t>UNCERTAIN — Decarbonisation implied -&gt; E1-3.</t>
  </si>
  <si>
    <t>UNGC labour principles 3-6  [v]</t>
  </si>
  <si>
    <t>UNCERTAIN — Commitment-level -&gt; S1-1; CoP is light.</t>
  </si>
  <si>
    <t>UNGC Ten Principles + CoP</t>
  </si>
  <si>
    <t>UNGC human-rights principles 1-2  [v]</t>
  </si>
  <si>
    <t>UNCERTAIN — Value-chain HR commitment -&gt; S2-1.</t>
  </si>
  <si>
    <t>UNGC anti-corruption principle 10  [v]</t>
  </si>
  <si>
    <t>UNCERTAIN — Anti-corruption commitment -&gt; G1-3.</t>
  </si>
  <si>
    <t>UNGC environment principles 7-9  [v]</t>
  </si>
  <si>
    <t>UNCERTAIN — Environmental commitment -&gt; E1-5.</t>
  </si>
  <si>
    <t>SFDR PAI 13 (board gender diversity)  [v]</t>
  </si>
  <si>
    <t>Mandatory PAI board-diversity datapoint -&gt; S1-9. Locus indirect.</t>
  </si>
  <si>
    <t>Corporate culture and business conduct policies</t>
  </si>
  <si>
    <t>SFDR PAI 11 (no processes to monitor UNGC/OECD compliance)  [v]</t>
  </si>
  <si>
    <t>Mandatory PAI on conduct-monitoring processes -&gt; G1-1. Locus indirect.</t>
  </si>
  <si>
    <t>TNFD pollutant-release / waste metric</t>
  </si>
  <si>
    <t>TNFD pollutant/waste metric touches resource outflows -&gt; E5-5; touched.</t>
  </si>
  <si>
    <t>TNFD core global metrics — tnfd.global</t>
  </si>
  <si>
    <t>UNGC Principles 1-2 (human rights)</t>
  </si>
  <si>
    <t>Broad human-rights principle, self-reported via CoP; touched -&gt; S1-17.</t>
  </si>
  <si>
    <t>UN Global Compact — Communication on Progress</t>
  </si>
  <si>
    <t>UNGC Principle 10 (anti-corruption)</t>
  </si>
  <si>
    <t>Anti-corruption principle, broad/shallow via CoP; touched -&gt; G1-1.</t>
  </si>
  <si>
    <t>ISSF Conservation Measures (stock conservation)</t>
  </si>
  <si>
    <t>Participating tuna companies must source from compliant vessels and support science-based tuna-stock conservation -&gt; wild-stock; audited. Conditional on tuna.</t>
  </si>
  <si>
    <t>ISSF Conservation Measures — iss-foundation.org</t>
  </si>
  <si>
    <t>ISSF CMs: ProActive Vessel Register, transshipment oversight, no-IUU</t>
  </si>
  <si>
    <t>Vessel monitoring, PVR sourcing and transshipment controls require catch/vessel documentation -&gt; traceability. Conditional on tuna.</t>
  </si>
  <si>
    <t>ISSF CM: bycatch mitigation</t>
  </si>
  <si>
    <t>Bycatch-mitigation measures are a core ISSF conservation requirement -&gt; E4. Conditional on tuna.</t>
  </si>
  <si>
    <t>Req #</t>
  </si>
  <si>
    <t>Req ID</t>
  </si>
  <si>
    <t>Requirement label</t>
  </si>
  <si>
    <t>Coding level</t>
  </si>
  <si>
    <t>Datapoint ID</t>
  </si>
  <si>
    <t>Official datapoint name</t>
  </si>
  <si>
    <t>Data type</t>
  </si>
  <si>
    <t>Quant/Qual</t>
  </si>
  <si>
    <t>Mandatory/Voluntary</t>
  </si>
  <si>
    <t>Conditional/Alt</t>
  </si>
  <si>
    <t>Phasing (all)</t>
  </si>
  <si>
    <t>Processing relevance</t>
  </si>
  <si>
    <t>Priority screen</t>
  </si>
  <si>
    <t>Paragraph</t>
  </si>
  <si>
    <t>DR</t>
  </si>
  <si>
    <t>E1-3_01</t>
  </si>
  <si>
    <t>Decarbonisation lever type</t>
  </si>
  <si>
    <t>semi-narrative</t>
  </si>
  <si>
    <t>Qualitative</t>
  </si>
  <si>
    <t>Mandatory</t>
  </si>
  <si>
    <t>In scope</t>
  </si>
  <si>
    <t>29 a</t>
  </si>
  <si>
    <t>E1-3_02</t>
  </si>
  <si>
    <t>Adaptation solution type</t>
  </si>
  <si>
    <t>V</t>
  </si>
  <si>
    <t>AR19d</t>
  </si>
  <si>
    <t>E1-3_03</t>
  </si>
  <si>
    <t>Achieved GHG emission reductions</t>
  </si>
  <si>
    <t>ghgEmissions</t>
  </si>
  <si>
    <t>29 b</t>
  </si>
  <si>
    <t>E1-3_04</t>
  </si>
  <si>
    <t>Expected GHG emission reductions</t>
  </si>
  <si>
    <t>E1-3_05</t>
  </si>
  <si>
    <t xml:space="preserve">Explanation of extent to which ability to implement action depends on availability and allocation of resources </t>
  </si>
  <si>
    <t>narrative</t>
  </si>
  <si>
    <t>AR21</t>
  </si>
  <si>
    <t>E1-3_06</t>
  </si>
  <si>
    <t xml:space="preserve">Explanation of relationship of significant CapEx and OpEx required to implement actions taken or planned to relevant line items or notes in financial statements </t>
  </si>
  <si>
    <t>narrative/monetary</t>
  </si>
  <si>
    <t>Quantitative</t>
  </si>
  <si>
    <t>29 c i</t>
  </si>
  <si>
    <t>E1-3_07</t>
  </si>
  <si>
    <t xml:space="preserve">Explanation of relationship of significant CapEx and OpEx required to implement actions taken or planned to key performance indicators required under Commission Delegated Regulation (EU) 2021/2178 </t>
  </si>
  <si>
    <t>29 c ii,16 c</t>
  </si>
  <si>
    <t>E1-3_08</t>
  </si>
  <si>
    <t xml:space="preserve">Explanation of relationship of significant CapEx and OpEx required to implement actions taken or planned to CapEx plan required by Commission Delegated Regulation (EU) 2021/2178 </t>
  </si>
  <si>
    <t>Conditional</t>
  </si>
  <si>
    <t>29 c iii,16 c</t>
  </si>
  <si>
    <t>E1-4_01</t>
  </si>
  <si>
    <t xml:space="preserve">Disclosure of whether and how GHG emissions reduction targets and (or) any other targets have been set to manage material climate-related impacts, risks and opportunities </t>
  </si>
  <si>
    <t>E1-4_02</t>
  </si>
  <si>
    <t>Tables: Multiple Dimensions (baseline year and targets; GHG Types, Scope 3 Categories, Decarbonisation levers, entity-specific denominators for intensity value)</t>
  </si>
  <si>
    <t xml:space="preserve">Table </t>
  </si>
  <si>
    <t>34 a + 34  b</t>
  </si>
  <si>
    <t>E1-4_03</t>
  </si>
  <si>
    <t>Absolute value of total Greenhouse gas emissions reduction</t>
  </si>
  <si>
    <t>Table/ghgEmissions</t>
  </si>
  <si>
    <t>34 a + 34 b</t>
  </si>
  <si>
    <t>E1-4_04</t>
  </si>
  <si>
    <t>Percentage of total Greenhouse gas emissions reduction (as of emissions of base year)</t>
  </si>
  <si>
    <t>Table/percent</t>
  </si>
  <si>
    <t>E1-4_05</t>
  </si>
  <si>
    <t>Intensity value of total Greenhouse gas emissions reduction</t>
  </si>
  <si>
    <t>Table/decimal</t>
  </si>
  <si>
    <t>E1-4_06</t>
  </si>
  <si>
    <t>Absolute value of Scope 1 Greenhouse gas emissions reduction</t>
  </si>
  <si>
    <t>E1-4_07</t>
  </si>
  <si>
    <t>Percentage of Scope 1 Greenhouse gas emissions reduction (as of emissions of base year)</t>
  </si>
  <si>
    <t>E1-4_08</t>
  </si>
  <si>
    <t>Intensity value of Scope 1 Greenhouse gas emissions reduction</t>
  </si>
  <si>
    <t>E1-4_09</t>
  </si>
  <si>
    <t>Absolute value of location-based Scope 2 Greenhouse gas emissions reduction</t>
  </si>
  <si>
    <t>E1-4_10</t>
  </si>
  <si>
    <t>Percentage of location-based Scope 2 Greenhouse gas emissions reduction (as of emissions of base year)</t>
  </si>
  <si>
    <t>E1-4_11</t>
  </si>
  <si>
    <t>Intensity value of location-based Scope 2 Greenhouse gas emissions reduction</t>
  </si>
  <si>
    <t>E1-4_12</t>
  </si>
  <si>
    <t>Absolute value of market-based Scope 2 Greenhouse gas emissions reduction</t>
  </si>
  <si>
    <t>E1-4_13</t>
  </si>
  <si>
    <t>Percentage of market-based Scope 2 Greenhouse gas emissions reduction (as of emissions of base year)</t>
  </si>
  <si>
    <t>E1-4_14</t>
  </si>
  <si>
    <t>Intensity value of market-based Scope 2 Greenhouse gas emissions reduction</t>
  </si>
  <si>
    <t>E1-4_15</t>
  </si>
  <si>
    <t>Absolute value of Scope 3 Greenhouse gas emissions reduction</t>
  </si>
  <si>
    <t>E1-4_16</t>
  </si>
  <si>
    <t>Percentage of Scope 3 Greenhouse gas emissions reduction (as of emissions of base year)</t>
  </si>
  <si>
    <t>E1-4_17</t>
  </si>
  <si>
    <t>Intensity value of Scope 3 Greenhouse gas emissions reduction</t>
  </si>
  <si>
    <t>E1-4_18</t>
  </si>
  <si>
    <t xml:space="preserve">Explanation of how consistency of GHG emission reduction targets with GHG inventory boundaries has been ensured </t>
  </si>
  <si>
    <t>34 b</t>
  </si>
  <si>
    <t>E1-4_19</t>
  </si>
  <si>
    <t xml:space="preserve">Disclosure of past progress made in meeting target before current base year </t>
  </si>
  <si>
    <t>34 c</t>
  </si>
  <si>
    <t>E1-4_20</t>
  </si>
  <si>
    <t xml:space="preserve">Description of how it has been ensured that baseline value is representative in terms of activities covered and influences from external factors </t>
  </si>
  <si>
    <t>AR 25 a</t>
  </si>
  <si>
    <t>E1-4_21</t>
  </si>
  <si>
    <t xml:space="preserve">Description of how new baseline value affects new target, its achievement and presentation of progress over time </t>
  </si>
  <si>
    <t>AR 25 b</t>
  </si>
  <si>
    <t>E1-4_22</t>
  </si>
  <si>
    <t>GHG emission reduction target is science based and compatible with limiting global warming to one and half degrees Celsius</t>
  </si>
  <si>
    <t>34 e, 16 a</t>
  </si>
  <si>
    <t>E1-4_23</t>
  </si>
  <si>
    <t xml:space="preserve">Description of expected decarbonisation levers and their overall quantitative contributions to achieve GHG emission reduction target </t>
  </si>
  <si>
    <t>34 f, 16 b</t>
  </si>
  <si>
    <t>E1-4_24</t>
  </si>
  <si>
    <t>Diverse range of climate scenarios have been considered to detect relevant environmental, societal, technology, market and policy-related developments and determine decarbonisation levers</t>
  </si>
  <si>
    <t>AR 30 c</t>
  </si>
  <si>
    <t>E1-5_01</t>
  </si>
  <si>
    <t>Total energy consumption related to own operations</t>
  </si>
  <si>
    <t>energy</t>
  </si>
  <si>
    <t>E1-5_02</t>
  </si>
  <si>
    <t>Total energy consumption from fossil sources</t>
  </si>
  <si>
    <t>37 a</t>
  </si>
  <si>
    <t>E1-5_03</t>
  </si>
  <si>
    <t>Total energy consumption from nuclear sources</t>
  </si>
  <si>
    <t>37 b</t>
  </si>
  <si>
    <t>E1-5_04</t>
  </si>
  <si>
    <t>Percentage of energy consumption from nuclear sources in total energy consumption</t>
  </si>
  <si>
    <t>percent</t>
  </si>
  <si>
    <t>AR 34</t>
  </si>
  <si>
    <t>E1-5_05</t>
  </si>
  <si>
    <t>Total energy consumption from renewable sources</t>
  </si>
  <si>
    <t>37 c</t>
  </si>
  <si>
    <t>E1-5_06</t>
  </si>
  <si>
    <t>Fuel consumption from renewable sources</t>
  </si>
  <si>
    <t>37 c i</t>
  </si>
  <si>
    <t>E1-5_07</t>
  </si>
  <si>
    <t>Consumption of purchased or acquired electricity, heat, steam, and cooling from renewable sources</t>
  </si>
  <si>
    <t>37 c ii</t>
  </si>
  <si>
    <t>E1-5_08</t>
  </si>
  <si>
    <t>Consumption of self-generated non-fuel renewable energy</t>
  </si>
  <si>
    <t>37 c iii</t>
  </si>
  <si>
    <t>E1-5_09</t>
  </si>
  <si>
    <t>Percentage of renewable sources in total energy consumption</t>
  </si>
  <si>
    <t>E1-5_10</t>
  </si>
  <si>
    <t>Fuel consumption from coal and coal products</t>
  </si>
  <si>
    <t>38 a</t>
  </si>
  <si>
    <t>E1-5_11</t>
  </si>
  <si>
    <t>Fuel consumption from crude oil and petroleum products</t>
  </si>
  <si>
    <t>38 b</t>
  </si>
  <si>
    <t>E1-5_12</t>
  </si>
  <si>
    <t>Fuel consumption from natural gas</t>
  </si>
  <si>
    <t>38 c</t>
  </si>
  <si>
    <t>E1-5_13</t>
  </si>
  <si>
    <t>Fuel consumption from other fossil sources</t>
  </si>
  <si>
    <t>38 d</t>
  </si>
  <si>
    <t>E1-5_14</t>
  </si>
  <si>
    <t>Consumption of purchased or acquired electricity, heat, steam, or cooling from fossil sources</t>
  </si>
  <si>
    <t>38 e</t>
  </si>
  <si>
    <t>E1-5_15</t>
  </si>
  <si>
    <t>Percentage of fossil sources in total energy consumption</t>
  </si>
  <si>
    <t>E1-5_16</t>
  </si>
  <si>
    <t>Non-renewable energy production</t>
  </si>
  <si>
    <t>E1-5_17</t>
  </si>
  <si>
    <t>Renewable energy production</t>
  </si>
  <si>
    <t>E1-5_18</t>
  </si>
  <si>
    <t>Energy intensity from activities in high climate impact sectors (total energy consumption per net revenue)</t>
  </si>
  <si>
    <t>E1-5_19</t>
  </si>
  <si>
    <t>Total energy consumption from activities in high climate impact sectors</t>
  </si>
  <si>
    <t>Intensity</t>
  </si>
  <si>
    <t>E1-5_20</t>
  </si>
  <si>
    <t>High climate impact sectors used to determine energy intensity</t>
  </si>
  <si>
    <t>E1-5_21</t>
  </si>
  <si>
    <t xml:space="preserve">Disclosure of reconciliation to relevant line item or notes in financial statements of net revenue from activities in high climate impact sectors </t>
  </si>
  <si>
    <t>E1-5_22</t>
  </si>
  <si>
    <t>Net revenue from activities in high climate impact sectors</t>
  </si>
  <si>
    <t>monetary</t>
  </si>
  <si>
    <t>AR 38 b</t>
  </si>
  <si>
    <t>E1-5_23</t>
  </si>
  <si>
    <t>Net revenue from activities other than in high climate impact sectors</t>
  </si>
  <si>
    <t>E1-6_01</t>
  </si>
  <si>
    <t>Gross Scopes 1, 2, 3 and Total GHG emissions - GHG emissions per scope [table]</t>
  </si>
  <si>
    <t>E1-6_02</t>
  </si>
  <si>
    <t>Gross Scopes 1, 2, 3 and Total GHG emissions - financial and operational control [table]</t>
  </si>
  <si>
    <t>E1-6_03</t>
  </si>
  <si>
    <t>Disaggregation of GHG emissions - by country, operating segments, economic activity, subsidiary, GHG category or source type</t>
  </si>
  <si>
    <t>AR 41</t>
  </si>
  <si>
    <t>E1-6_04</t>
  </si>
  <si>
    <t>Gross Scopes 1, 2, 3 and Total GHG emissions - Scope 3 GHG emissions (GHG Protocol) [table]</t>
  </si>
  <si>
    <t>Alternative</t>
  </si>
  <si>
    <t>AR 46 d</t>
  </si>
  <si>
    <t>E1-6_05</t>
  </si>
  <si>
    <t>Gross Scopes 1, 2, 3 and Total GHG emissions - Scope 3 GHG emissions (ISO 14064-1) [table]</t>
  </si>
  <si>
    <t>AR 50</t>
  </si>
  <si>
    <t>E1-6_06</t>
  </si>
  <si>
    <t>Gross Scopes 1, 2, 3 and Total GHG emissions - total GHG emissions - value chain [table]</t>
  </si>
  <si>
    <t>AR 52</t>
  </si>
  <si>
    <t>E1-6_07</t>
  </si>
  <si>
    <t xml:space="preserve">Gross Scope 1 greenhouse gas emissions </t>
  </si>
  <si>
    <t>Table/GhgEmissions</t>
  </si>
  <si>
    <t>48 a</t>
  </si>
  <si>
    <t>E1-6_08</t>
  </si>
  <si>
    <t>Percentage of Scope 1 GHG emissions from regulated emission trading schemes</t>
  </si>
  <si>
    <t>Table/Percent</t>
  </si>
  <si>
    <t>48 b</t>
  </si>
  <si>
    <t>E1-6_09</t>
  </si>
  <si>
    <t>Gross location-based Scope 2 greenhouse gas emissions</t>
  </si>
  <si>
    <t>49 a, 52 a</t>
  </si>
  <si>
    <t>E1-6_10</t>
  </si>
  <si>
    <t>Gross market-based Scope 2 greenhouse gas emissions</t>
  </si>
  <si>
    <t>49 b, 52 b</t>
  </si>
  <si>
    <t>E1-6_11</t>
  </si>
  <si>
    <t>Gross Scope 3 greenhouse gas emissions</t>
  </si>
  <si>
    <t>E1-6_12</t>
  </si>
  <si>
    <t>Total GHG emissions location based</t>
  </si>
  <si>
    <t>44, 52 a</t>
  </si>
  <si>
    <t>E1-6_13</t>
  </si>
  <si>
    <t>Total GHG emissions market based</t>
  </si>
  <si>
    <t>44, 52 b</t>
  </si>
  <si>
    <t>E1-6_14</t>
  </si>
  <si>
    <t>Disclosure of significant changes in definition of what constitutes reporting undertaking and its value chain and explanation of their effect on year-to-year comparability of reported GHG emissions</t>
  </si>
  <si>
    <t>E1-6_15</t>
  </si>
  <si>
    <t xml:space="preserve">Disclosure of methodologies, significant assumptions and emissions factors used to calculate or measure GHG emissions </t>
  </si>
  <si>
    <t>AR 39 b</t>
  </si>
  <si>
    <t>E1-6_16</t>
  </si>
  <si>
    <t>Disclosure of the effects of significant events and changes in circumstances (relevant to its GHG emissions) that occur between the reporting dates of the entities in its value chain and the date of the undertaking’s general purpose financial statements</t>
  </si>
  <si>
    <t>AR 42 c</t>
  </si>
  <si>
    <t>E1-6_17</t>
  </si>
  <si>
    <t>biogenic emissions of CO2 from the combustion or bio-degradation of biomassnot included in Scope 1 GHG emissions</t>
  </si>
  <si>
    <t>AR 43 c</t>
  </si>
  <si>
    <t>E1-6_18</t>
  </si>
  <si>
    <t>Percentage of contractual instruments, Scope 2 GHG emissions</t>
  </si>
  <si>
    <t>AR 45 d</t>
  </si>
  <si>
    <t>E1-6_19</t>
  </si>
  <si>
    <t xml:space="preserve">Disclosure of types of contractual instruments, Scope 2 GHG emissions </t>
  </si>
  <si>
    <t>E1-6_20</t>
  </si>
  <si>
    <t>Percentage of market-based Scope 2 GHG emissions linked to purchased electricity bundled with instruments</t>
  </si>
  <si>
    <t>E1-6_21</t>
  </si>
  <si>
    <t>Percentage of contractual instruments used for sale and purchase of energy bundled with attributes about energy generation in relation to Scope 2 GHG emissions</t>
  </si>
  <si>
    <t>E1-6_22</t>
  </si>
  <si>
    <t>Percentage of contractual instruments used for sale and purchase of unbundled energy attribute claims in relation to Scope 2 GHG emissions</t>
  </si>
  <si>
    <t>E1-6_23</t>
  </si>
  <si>
    <t xml:space="preserve">Disclosure of types of contractual instruments used for sale and purchase of energy bundled with attributes about energy generation or for unbundled energy attribute claims </t>
  </si>
  <si>
    <t>E1-6_24</t>
  </si>
  <si>
    <t>Biogenic emissions of CO2 from combustion or bio-degradation of biomass not included in Scope 2 GHG emissions</t>
  </si>
  <si>
    <t>AR 45 e</t>
  </si>
  <si>
    <t>E1-6_25</t>
  </si>
  <si>
    <t xml:space="preserve">Percentage of GHG Scope 3 calculated using primary data </t>
  </si>
  <si>
    <t>Percent</t>
  </si>
  <si>
    <t>AR 46 g</t>
  </si>
  <si>
    <t>E1-6_26</t>
  </si>
  <si>
    <t xml:space="preserve">Disclosure of why Scope 3 GHG emissions category has been excluded </t>
  </si>
  <si>
    <t>AR 46 i</t>
  </si>
  <si>
    <t>E1-6_27</t>
  </si>
  <si>
    <t>List of Scope 3 GHG emissions categories included in inventory</t>
  </si>
  <si>
    <t>E1-6_28</t>
  </si>
  <si>
    <t>Biogenic emissions of CO2 from combustion or bio-degradation of biomass that occur in value chain not included in Scope 3 GHG emissions</t>
  </si>
  <si>
    <t>AR 46 j</t>
  </si>
  <si>
    <t>E1-6_29</t>
  </si>
  <si>
    <t>Disclosure of reporting boundaries considered and calculation methods for estimating Scope 3 GHG emissions</t>
  </si>
  <si>
    <t>AR 46 h</t>
  </si>
  <si>
    <t>E1-6_30</t>
  </si>
  <si>
    <t>GHG emissions intensity, location-based (total GHG emissions per net revenue)</t>
  </si>
  <si>
    <t>E1-6_31</t>
  </si>
  <si>
    <t>GHG emissions intensity, market-based (total GHG emissions per net revenue)</t>
  </si>
  <si>
    <t>E1-6_32</t>
  </si>
  <si>
    <t xml:space="preserve">Disclosure of reconciliation to financial statements of net revenue used for calculation of GHG emissions intensity </t>
  </si>
  <si>
    <t>E1-6_33</t>
  </si>
  <si>
    <t>Net revenue</t>
  </si>
  <si>
    <t>AR 55</t>
  </si>
  <si>
    <t>E1-6_34</t>
  </si>
  <si>
    <t>Net revenue used to calculate GHG intensity</t>
  </si>
  <si>
    <t>E1-6_35</t>
  </si>
  <si>
    <t>Net revenue other than used to calculate GHG intensity</t>
  </si>
  <si>
    <t>E3-1_01</t>
  </si>
  <si>
    <t xml:space="preserve">Disclosure of whether and how policy adresses water management </t>
  </si>
  <si>
    <t>12a</t>
  </si>
  <si>
    <t>E3-1_02</t>
  </si>
  <si>
    <t xml:space="preserve">Disclosure of whether and how policy adresses the use and sourcing of water and marine resources in own operations </t>
  </si>
  <si>
    <t>12a i</t>
  </si>
  <si>
    <t>E3-1_03</t>
  </si>
  <si>
    <t>Disclosure of whether and  how policy adresses water treatment</t>
  </si>
  <si>
    <t>12a ii</t>
  </si>
  <si>
    <t>E3-1_04</t>
  </si>
  <si>
    <t>Disclosure of whether and how policy adresses prevention and abatment of water pollution</t>
  </si>
  <si>
    <t>12a iii</t>
  </si>
  <si>
    <t>E3-1_05</t>
  </si>
  <si>
    <t xml:space="preserve">Disclosure of whether and how policy adresses product and service design in view of addressing water-related issues and preservation of marine resources </t>
  </si>
  <si>
    <t>12 b</t>
  </si>
  <si>
    <t>E3-1_06</t>
  </si>
  <si>
    <t xml:space="preserve">Disclosure of whether and how policy adresses commitment to reduce material water consumption in areas at water risk </t>
  </si>
  <si>
    <t>12 c</t>
  </si>
  <si>
    <t>E3-1_07</t>
  </si>
  <si>
    <t xml:space="preserve">Disclosure of reasons for not having adopted policies in areas of high-water stress </t>
  </si>
  <si>
    <t>E3-1_08</t>
  </si>
  <si>
    <t xml:space="preserve">Disclosure of timeframe in which policies in areas of high-water stress will be adopted </t>
  </si>
  <si>
    <t>E3-1_09</t>
  </si>
  <si>
    <t>Policies or practices related to sustainable oceans and seas have been adopted</t>
  </si>
  <si>
    <t>E3-1_10</t>
  </si>
  <si>
    <t>The policly contributes to good ecological and chemical quality of surface water bodies and good chemical quality and quantity of groundwater bodies, in order to protect human health, water supply, natural ecosystems and biodiversity, the good environmental status of marine waters and the protection of the resource base upon which marine related activities depend;</t>
  </si>
  <si>
    <t>AR 18a</t>
  </si>
  <si>
    <t>E3-1_11</t>
  </si>
  <si>
    <t>The policy minimise material impacts and risks and implement mitigation measures that aim to maintain the value and functionality of priority services and to increase resource efficiency on own operations</t>
  </si>
  <si>
    <t>AR 18b</t>
  </si>
  <si>
    <t>E3-1_12</t>
  </si>
  <si>
    <t>The policy avoid impacts on affected communities.</t>
  </si>
  <si>
    <t>AR 18c</t>
  </si>
  <si>
    <t>E3-2_01</t>
  </si>
  <si>
    <t>Layer in mitigation hierarchy to which action and resources can be allocated to (water and marine resources)</t>
  </si>
  <si>
    <t>E3-2_02</t>
  </si>
  <si>
    <t xml:space="preserve">Information about specific collective action for water and marine resources </t>
  </si>
  <si>
    <t>AR20</t>
  </si>
  <si>
    <t>E3-2_03</t>
  </si>
  <si>
    <t xml:space="preserve">Disclosure of actions and resources  in relation to areas at water risk </t>
  </si>
  <si>
    <t>E3-3_01</t>
  </si>
  <si>
    <t xml:space="preserve">Disclosure of whether and  how target relates to management of material impacts, risks and opportunities related to areas at water risk </t>
  </si>
  <si>
    <t>23 a</t>
  </si>
  <si>
    <t>E3-3_02</t>
  </si>
  <si>
    <t xml:space="preserve">Disclosure of whether and  how target relates to responsible management of marine resources impacts, risks and opportunities </t>
  </si>
  <si>
    <t>23 b</t>
  </si>
  <si>
    <t>E3-3_03</t>
  </si>
  <si>
    <t xml:space="preserve">Disclosure of whether and how target relates to reduction of water consumption </t>
  </si>
  <si>
    <t>23 c</t>
  </si>
  <si>
    <t>E3-3_04</t>
  </si>
  <si>
    <t>(Local) ecological threshold and entity-specific allocation were taken into consideration when setting water and marine resources target</t>
  </si>
  <si>
    <t>E3-3_05</t>
  </si>
  <si>
    <t xml:space="preserve">Disclosure of ecological threshold identified and methodology used to identify ecological threshold (water and marine resources) </t>
  </si>
  <si>
    <t>24 a</t>
  </si>
  <si>
    <t>E3-3_06</t>
  </si>
  <si>
    <t xml:space="preserve">Disclosure of how ecological entity-specific threshold was determined (water and marine resources) </t>
  </si>
  <si>
    <t>24 b</t>
  </si>
  <si>
    <t>E3-3_07</t>
  </si>
  <si>
    <t xml:space="preserve">Disclosure of how responsibility for respecting identified ecological threshold is allocated (water and marine resources) </t>
  </si>
  <si>
    <t>24 c</t>
  </si>
  <si>
    <t>E3-3_08</t>
  </si>
  <si>
    <t>Adopted and presented water and marine resources-related target is mandatory (based on legislation)</t>
  </si>
  <si>
    <t>E3-3_09</t>
  </si>
  <si>
    <t>Target relates to reduction of water withdrawals</t>
  </si>
  <si>
    <t>AR 23 a</t>
  </si>
  <si>
    <t>E3-3_10</t>
  </si>
  <si>
    <t>Target relates to reduction of water discharges</t>
  </si>
  <si>
    <t>AR 23 b</t>
  </si>
  <si>
    <t>E3-4_01</t>
  </si>
  <si>
    <t>Total water consumption</t>
  </si>
  <si>
    <t>Volume</t>
  </si>
  <si>
    <t>28 a</t>
  </si>
  <si>
    <t>E3-4_02</t>
  </si>
  <si>
    <t>Total water consumption in areas at water risk, including areas of high-water stress</t>
  </si>
  <si>
    <t>28 b</t>
  </si>
  <si>
    <t>E3-4_03</t>
  </si>
  <si>
    <t>Total water recycled and reused</t>
  </si>
  <si>
    <t>28 c</t>
  </si>
  <si>
    <t>E3-4_04</t>
  </si>
  <si>
    <t>Total water stored</t>
  </si>
  <si>
    <t>28 d</t>
  </si>
  <si>
    <t>E3-4_05</t>
  </si>
  <si>
    <t>Changes in water storage</t>
  </si>
  <si>
    <t>E3-4_06</t>
  </si>
  <si>
    <t>Disclosure of contextual information regarding warter consumption</t>
  </si>
  <si>
    <t>28 e</t>
  </si>
  <si>
    <t>E3-4_07</t>
  </si>
  <si>
    <t>Share of the measure obtained from direct measurement, from sampling and extrapolation, or from best estimates</t>
  </si>
  <si>
    <t>E3-4_08</t>
  </si>
  <si>
    <t>Water intensity ratio</t>
  </si>
  <si>
    <t>E3-4_09</t>
  </si>
  <si>
    <t>Water consumption - sectors/SEGMENTS [table]</t>
  </si>
  <si>
    <t>Table/Volume</t>
  </si>
  <si>
    <t>AR30</t>
  </si>
  <si>
    <t>E3-4_10</t>
  </si>
  <si>
    <t>Additional water intensity ratio</t>
  </si>
  <si>
    <t>AR 31</t>
  </si>
  <si>
    <t>E3-4_11</t>
  </si>
  <si>
    <t>Total water withdrawals</t>
  </si>
  <si>
    <t>AR 32</t>
  </si>
  <si>
    <t>E3-4_12</t>
  </si>
  <si>
    <t>Total water discharges</t>
  </si>
  <si>
    <t>E5-2_01</t>
  </si>
  <si>
    <t>Description of higher levels of resource efficiency in use of technical and biological materials and water</t>
  </si>
  <si>
    <t>20 a</t>
  </si>
  <si>
    <t>E5-2_02</t>
  </si>
  <si>
    <t>Description of higher rates of use of secondary raw materials</t>
  </si>
  <si>
    <t>20b</t>
  </si>
  <si>
    <t>E5-2_03</t>
  </si>
  <si>
    <t>Description of application of circular design</t>
  </si>
  <si>
    <t>20c</t>
  </si>
  <si>
    <t>E5-2_04</t>
  </si>
  <si>
    <t>Description of application of circular business practices</t>
  </si>
  <si>
    <t>20d</t>
  </si>
  <si>
    <t>E5-2_05</t>
  </si>
  <si>
    <t>Description of actions taken to prevent waste generation in the undertaking's upstream and downstram value chain</t>
  </si>
  <si>
    <t>20e</t>
  </si>
  <si>
    <t>E5-2_06</t>
  </si>
  <si>
    <t>Description of Optimistation of waste management</t>
  </si>
  <si>
    <t>20f</t>
  </si>
  <si>
    <t>E5-2_07</t>
  </si>
  <si>
    <t xml:space="preserve">Information about collective action on development of collaborations or initiatives increasing circularity of products and materials </t>
  </si>
  <si>
    <t>AR 11</t>
  </si>
  <si>
    <t>E5-2_08</t>
  </si>
  <si>
    <t xml:space="preserve">Description of contribution to circular economy </t>
  </si>
  <si>
    <t>AR 12 a</t>
  </si>
  <si>
    <t>E5-2_09</t>
  </si>
  <si>
    <t xml:space="preserve">Description of other stakeholders involved in collective action (resource use and circular economy) </t>
  </si>
  <si>
    <t>AR 12 b</t>
  </si>
  <si>
    <t>E5-2_10</t>
  </si>
  <si>
    <t xml:space="preserve">Description of organisation of project (resource use and circular economy) </t>
  </si>
  <si>
    <t>AR 12 c</t>
  </si>
  <si>
    <t>E5-4_01</t>
  </si>
  <si>
    <t xml:space="preserve">Disclosure of information on material resource inflows </t>
  </si>
  <si>
    <t>E5-4_02</t>
  </si>
  <si>
    <t>Overall total weight of products and technical and biological materials used during the reporting period</t>
  </si>
  <si>
    <t>Mass</t>
  </si>
  <si>
    <t>31a</t>
  </si>
  <si>
    <t>E5-4_03</t>
  </si>
  <si>
    <t>Percentage of biological materials (and biofuels used for non-energy purposes)</t>
  </si>
  <si>
    <t>31b</t>
  </si>
  <si>
    <t>E5-4_04</t>
  </si>
  <si>
    <t>The absolute weight of secondary reused or recycled components, secondary intermediary products and secondary materials used to manufacture the undertaking’s products and services (including packaging)</t>
  </si>
  <si>
    <t>31c</t>
  </si>
  <si>
    <t>E5-4_05</t>
  </si>
  <si>
    <t>Percentage of secondary reused or recycled components, secondary intermediary products and secondary materials</t>
  </si>
  <si>
    <t>E5-4_06</t>
  </si>
  <si>
    <t>Description of methodologies used to calculate data and key assumptions used</t>
  </si>
  <si>
    <t>E5-4_07</t>
  </si>
  <si>
    <t xml:space="preserve">Description of materials that are sourced from by-products or waste stream </t>
  </si>
  <si>
    <t>AR 22</t>
  </si>
  <si>
    <t>E5-4_08</t>
  </si>
  <si>
    <t xml:space="preserve">Description of how double counting was avoided and of choices made </t>
  </si>
  <si>
    <t>AR 25</t>
  </si>
  <si>
    <t>E5-5_01</t>
  </si>
  <si>
    <t>Description of the key products and materials that come out of the undertaking’s production process</t>
  </si>
  <si>
    <t>E5-5_02</t>
  </si>
  <si>
    <t>Disclosure of the expected durability of the products placed on the market, in relation to the industry average for each product group</t>
  </si>
  <si>
    <t>36a</t>
  </si>
  <si>
    <t>E5-5_03</t>
  </si>
  <si>
    <t>Disclosure of the reparability of products</t>
  </si>
  <si>
    <t>36b</t>
  </si>
  <si>
    <t>E5-5_04</t>
  </si>
  <si>
    <t>The rates of recyclable content in products</t>
  </si>
  <si>
    <t>36c</t>
  </si>
  <si>
    <t>E5-5_05</t>
  </si>
  <si>
    <t>The rates of recyclable content in products packaging</t>
  </si>
  <si>
    <t>E5-5_06</t>
  </si>
  <si>
    <t xml:space="preserve">Description of methodologies used to calculate data (resource outflows) </t>
  </si>
  <si>
    <t>E5-5_07</t>
  </si>
  <si>
    <t>Total Waste generated</t>
  </si>
  <si>
    <t>E5-5_08</t>
  </si>
  <si>
    <t>Waste diverted from disposal, breakdown by hazardous and non-hazardous waste and treatment type</t>
  </si>
  <si>
    <t>Table/Mass</t>
  </si>
  <si>
    <t>E5-5_09</t>
  </si>
  <si>
    <t>Waste directed to disposal, breakdown by hazardous and non-hazardous waste and treatment type</t>
  </si>
  <si>
    <t>E5-5_10</t>
  </si>
  <si>
    <t>Non-recycled waste</t>
  </si>
  <si>
    <t>37 d</t>
  </si>
  <si>
    <t>E5-5_11</t>
  </si>
  <si>
    <t>Percentage of non-recycled waste</t>
  </si>
  <si>
    <t>E5-5_12</t>
  </si>
  <si>
    <t xml:space="preserve">Disclosure of composition of waste </t>
  </si>
  <si>
    <t>E5-5_13</t>
  </si>
  <si>
    <t xml:space="preserve">Disclosure of waste streams relevant to undertaking's sector or activities </t>
  </si>
  <si>
    <t>E5-5_14</t>
  </si>
  <si>
    <t xml:space="preserve">Disclosure of materials that are present in waste </t>
  </si>
  <si>
    <t>E5-5_15</t>
  </si>
  <si>
    <t>Total amount of hazardous waste</t>
  </si>
  <si>
    <t>E5-5_16</t>
  </si>
  <si>
    <t>Total amount of radioactive waste</t>
  </si>
  <si>
    <t>E5-5_17</t>
  </si>
  <si>
    <t xml:space="preserve">Description of methodologies used to calculate data (waste generated) </t>
  </si>
  <si>
    <t>E5-5_18</t>
  </si>
  <si>
    <t>Disclosure of its engagement in product end-of-life waste management</t>
  </si>
  <si>
    <t>AR 28</t>
  </si>
  <si>
    <t>G1-1_01</t>
  </si>
  <si>
    <t>Description of how the undertaking establishes, develops, promotes and evaluates its corporate culture</t>
  </si>
  <si>
    <t>G1-1_02</t>
  </si>
  <si>
    <t>Description of the mechanisms for identifying, reporting and investigating concerns about unlawful behaviour or behaviour in contradiction of its code of conduct or similar internal rules</t>
  </si>
  <si>
    <t>10a</t>
  </si>
  <si>
    <t>G1-1_03</t>
  </si>
  <si>
    <t>No policies on anti-corruption or anti-bribery consistent with United Nations Convention against Corruption are in place</t>
  </si>
  <si>
    <t>10 b</t>
  </si>
  <si>
    <t>G1-1_04</t>
  </si>
  <si>
    <t>Timetable for implementation of policies on anti-corruption or anti-bribery consistent with United Nations Convention against Corruption</t>
  </si>
  <si>
    <t>G1-1_05</t>
  </si>
  <si>
    <t>Disclosure of safeguards for reporting irregularities including whistleblowing protection</t>
  </si>
  <si>
    <t>10 c</t>
  </si>
  <si>
    <t>G1-1_06</t>
  </si>
  <si>
    <t>No policies on protection of whistle-blowers are in place</t>
  </si>
  <si>
    <t>10 d</t>
  </si>
  <si>
    <t>G1-1_07</t>
  </si>
  <si>
    <t>Timetable for implementation of policies on protection of whistle-blowers</t>
  </si>
  <si>
    <t>G1-1_08</t>
  </si>
  <si>
    <t>Undertaking is committed to investigate business conduct incidents promptly, independently and objectively</t>
  </si>
  <si>
    <t>10 e</t>
  </si>
  <si>
    <t>G1-1_09</t>
  </si>
  <si>
    <t>Policies with respect to animal welfare are in place</t>
  </si>
  <si>
    <t>10 f</t>
  </si>
  <si>
    <t>G1-1_10</t>
  </si>
  <si>
    <t>Information about policy for training within organisation on business conduct</t>
  </si>
  <si>
    <t xml:space="preserve">10 g </t>
  </si>
  <si>
    <t>G1-1_11</t>
  </si>
  <si>
    <t>Disclosure of the functions that are most at risk in respect of corruption and bribery</t>
  </si>
  <si>
    <t>10 h</t>
  </si>
  <si>
    <t>G1-1_12</t>
  </si>
  <si>
    <t>Entity is subject to legal requirements with regard to protection of whistleblowers</t>
  </si>
  <si>
    <t>G1-3_01</t>
  </si>
  <si>
    <t>Information about procedures in place to prevent, detect, and address allegations or incidents of corruption or bribery</t>
  </si>
  <si>
    <t>18 a</t>
  </si>
  <si>
    <t>G1-3_02</t>
  </si>
  <si>
    <t>Investigators or investigating committee are separate from chain of management involved in prevention and detection of corruption or bribery</t>
  </si>
  <si>
    <t>18 b</t>
  </si>
  <si>
    <t>G1-3_03</t>
  </si>
  <si>
    <t>Information about process to report outcomes to administrative, management and supervisory bodies</t>
  </si>
  <si>
    <t>18 c</t>
  </si>
  <si>
    <t>G1-3_04</t>
  </si>
  <si>
    <t>Disclosure of plans to adopt procedures to prevent, detect, and address allegations or incidents of corruption or bribery in case of no procedure</t>
  </si>
  <si>
    <t>G1-3_05</t>
  </si>
  <si>
    <t>Information about how policies are communicated to those for whom they are relevant (prevention and detection of corruption or bribery)</t>
  </si>
  <si>
    <t>G1-3_06</t>
  </si>
  <si>
    <t>Information about nature, scope and depth of anti-corruption or anti-bribery training programmes offered or required</t>
  </si>
  <si>
    <t xml:space="preserve">21 a </t>
  </si>
  <si>
    <t>G1-3_07</t>
  </si>
  <si>
    <t>Percentage of functions-at-risk covered by training programmes</t>
  </si>
  <si>
    <t>21 b</t>
  </si>
  <si>
    <t>G1-3_08</t>
  </si>
  <si>
    <t>Information about members of administrative, supervisory and management bodies relating to anti-corruption or anti-bribery training</t>
  </si>
  <si>
    <t>21 c</t>
  </si>
  <si>
    <t>G1-3_09</t>
  </si>
  <si>
    <t>Disclosure of an analysis of its training activities by, for example, region of training or category</t>
  </si>
  <si>
    <t>AR 7</t>
  </si>
  <si>
    <t>G1-4_01</t>
  </si>
  <si>
    <t>Number of convictions for violation of anti-corruption and anti- bribery laws</t>
  </si>
  <si>
    <t>Integer</t>
  </si>
  <si>
    <t>G1-4_02</t>
  </si>
  <si>
    <t>Amount of fines for violation of anti-corruption and anti- bribery laws</t>
  </si>
  <si>
    <t>Monetary</t>
  </si>
  <si>
    <t>Prevention and detection of corruption or bribery - anti-corruption and bribery training table</t>
  </si>
  <si>
    <t>Table</t>
  </si>
  <si>
    <t>G1-4_04</t>
  </si>
  <si>
    <t>Number of confirmed incidents of corruption or bribery</t>
  </si>
  <si>
    <t>25 a</t>
  </si>
  <si>
    <t>G1-4_05</t>
  </si>
  <si>
    <t>Information about nature of confirmed incidents of corruption or bribery</t>
  </si>
  <si>
    <t>G1-4_06</t>
  </si>
  <si>
    <t>Number of confirmed incidents in which own workers were dismissed or disciplined for corruption or bribery-related incidents</t>
  </si>
  <si>
    <t>25 b</t>
  </si>
  <si>
    <t>G1-4_07</t>
  </si>
  <si>
    <t>Number of confirmed incidents relating to contracts with business partners that were terminated or not renewed due to violations related to corruption or bribery</t>
  </si>
  <si>
    <t>25 c</t>
  </si>
  <si>
    <t>G1-4_08</t>
  </si>
  <si>
    <t>Information about details of public legal cases regarding corruption or bribery brought against undertaking and own workers and about outcomes of such cases</t>
  </si>
  <si>
    <t>25 d</t>
  </si>
  <si>
    <t>G1-5_01</t>
  </si>
  <si>
    <t>Information about representative(s) responsible in administrative, management and supervisory bodies for oversight of political influence and lobbying activities</t>
  </si>
  <si>
    <t>G1-5_02</t>
  </si>
  <si>
    <t>Information about financial or in-kind political contributions</t>
  </si>
  <si>
    <t>G1-5_03</t>
  </si>
  <si>
    <t>Financial political contributions made</t>
  </si>
  <si>
    <t>29 b i</t>
  </si>
  <si>
    <t>G1-5_04</t>
  </si>
  <si>
    <t>Amount of internal and external lobbying expenses</t>
  </si>
  <si>
    <t>G1-5_05</t>
  </si>
  <si>
    <t>Amount paid for membership to lobbying associations</t>
  </si>
  <si>
    <t>G1-5_06</t>
  </si>
  <si>
    <t>In-kind political contributions made</t>
  </si>
  <si>
    <t>G1-5_07</t>
  </si>
  <si>
    <t>Disclosure of how monetary value of in-kind contributions is estimated</t>
  </si>
  <si>
    <t>29 b ii</t>
  </si>
  <si>
    <t>G1-5_08</t>
  </si>
  <si>
    <t>Financial and in-kind political contributions made [table]</t>
  </si>
  <si>
    <t>G1-5_09</t>
  </si>
  <si>
    <t>Disclosure of main topics covered by lobbying activities and undertaking's main positions on these topics</t>
  </si>
  <si>
    <t>29 c</t>
  </si>
  <si>
    <t>G1-5_10</t>
  </si>
  <si>
    <t>Undertaking is registered in EU Transparency Register or in equivalent transparency register in Member State</t>
  </si>
  <si>
    <t>29 d</t>
  </si>
  <si>
    <t>G1-5_11</t>
  </si>
  <si>
    <t>Information about appointment of any members of administrative, management and supervisory bodies who held comparable position in public administration in two years preceding such appointment</t>
  </si>
  <si>
    <t>G1-5_12</t>
  </si>
  <si>
    <t>The entity is legally obliged to be a member of a chamber of commerce or other organisation that represents its interests</t>
  </si>
  <si>
    <t>AR13</t>
  </si>
  <si>
    <t>S1-1_01</t>
  </si>
  <si>
    <t>Policies to manage material impacts, risks and opportunities related to own workforce, including for specific groups within workforce or all own workforce</t>
  </si>
  <si>
    <t>S1-1_02</t>
  </si>
  <si>
    <t xml:space="preserve">Disclosure of explanations of significant changes to policies adopted during reporting year </t>
  </si>
  <si>
    <t>AR10</t>
  </si>
  <si>
    <t>S1-1_03</t>
  </si>
  <si>
    <t>Description of relevant human rights policy commitments relevant to own workforce</t>
  </si>
  <si>
    <t>S1-1_04</t>
  </si>
  <si>
    <t>Disclosure of general approach in relation to respect for human rights including labour rights, of people in its own workforce</t>
  </si>
  <si>
    <t>20a</t>
  </si>
  <si>
    <t>S1-1_05</t>
  </si>
  <si>
    <t>Disclosure of general approach in relation to engagement with people in its own workforce</t>
  </si>
  <si>
    <t>S1-1_06</t>
  </si>
  <si>
    <t xml:space="preserve">Disclosure of general approach in relation to measures to provide and (or) enable remedy for human rights impacts </t>
  </si>
  <si>
    <t>S1-1_07</t>
  </si>
  <si>
    <t xml:space="preserve">Disclosure of whether and how policies are aligned with relevant internationally recognised instruments </t>
  </si>
  <si>
    <t>S1-1_08</t>
  </si>
  <si>
    <t>Policies explicitly address trafficking in human beings, forced labour or compulsory labour and child labour</t>
  </si>
  <si>
    <t>S1-1_09</t>
  </si>
  <si>
    <t>Workplace accident prevention policy or management system is in place</t>
  </si>
  <si>
    <t>S1-1_10</t>
  </si>
  <si>
    <t>Specific policies aimed at elimination of discrimination are in place</t>
  </si>
  <si>
    <t>24a</t>
  </si>
  <si>
    <t>S1-1_11</t>
  </si>
  <si>
    <t>Grounds for discrimination are specifically covered in policy</t>
  </si>
  <si>
    <t>24b</t>
  </si>
  <si>
    <t>S1-1_12</t>
  </si>
  <si>
    <t xml:space="preserve">Disclosure of specific policy commitments related to inclusion and (or) positive action for people from groups at particular risk of vulnerability in own workforce </t>
  </si>
  <si>
    <t>24c</t>
  </si>
  <si>
    <t>S1-1_13</t>
  </si>
  <si>
    <t xml:space="preserve">Disclosure of whether and how policies are implemented through specific procedures to ensure discrimination is prevented, mitigated and acted upon once detected, as well as to advance diversity and inclusion </t>
  </si>
  <si>
    <t>24d</t>
  </si>
  <si>
    <t>S1-1_14</t>
  </si>
  <si>
    <t>Disclosure on an illustration of the types of communication of its policies to those individuals, group of individuals or entities for whom they are relevant</t>
  </si>
  <si>
    <t>AR 14</t>
  </si>
  <si>
    <t>S1-1_15</t>
  </si>
  <si>
    <t>Policies and procedures which make qualifications, skills and experience the basis for the recruitment, placement, training and advancement are in place</t>
  </si>
  <si>
    <t>AR 17 a</t>
  </si>
  <si>
    <t>S1-1_16</t>
  </si>
  <si>
    <t>Has assigned responsibility at top management level for equal treatment and opportunities in employment, issue clear company-wide policies and procedures to guide equal employment practices, and link advancement to desired performance in this area</t>
  </si>
  <si>
    <t>AR 17 b</t>
  </si>
  <si>
    <t>S1-1_17</t>
  </si>
  <si>
    <t>Staff training on non-discrimination policies and practices are in place</t>
  </si>
  <si>
    <t>AR 17 c</t>
  </si>
  <si>
    <t>S1-1_18</t>
  </si>
  <si>
    <t>Adjustments to the physical environment to ensure health and safety for workers, customers and other visitors with disabilities are in place</t>
  </si>
  <si>
    <t>AR 17 d</t>
  </si>
  <si>
    <t>S1-1_19</t>
  </si>
  <si>
    <t>Has evaluated whether a there is a risk that job requirements have been defined in a way that would systematically disadvantage certain groups</t>
  </si>
  <si>
    <t>AR 17 e</t>
  </si>
  <si>
    <t>S1-1_20</t>
  </si>
  <si>
    <t>Keeping an up-to-date records on recruitment, training and promotion that provide a transparent view of opportunities for employees and their progression</t>
  </si>
  <si>
    <t>AR 17 f</t>
  </si>
  <si>
    <t>S1-1_21</t>
  </si>
  <si>
    <t>Has put in place grievance procedures to address complaints, handle appeals and provide recourse for employees when discrimination is identified, and is alert to formal structures and informal cultural issues that can prevent employees from raising concerns and grievances</t>
  </si>
  <si>
    <t>AR 17 g</t>
  </si>
  <si>
    <t>S1-1_22</t>
  </si>
  <si>
    <t xml:space="preserve">Has programs to promote access to skills development. </t>
  </si>
  <si>
    <t>AR 17 h</t>
  </si>
  <si>
    <t>S1-14_01</t>
  </si>
  <si>
    <t>Percentage of people in its own workforce who are covered by health and safety management system based on legal requirements and (or) recognised standards or guidelines</t>
  </si>
  <si>
    <t>88 a</t>
  </si>
  <si>
    <t>S1-14_02</t>
  </si>
  <si>
    <t>Number of fatalities in own workforce as result of work-related injuries and work-related ill health</t>
  </si>
  <si>
    <t>88 b</t>
  </si>
  <si>
    <t>S1-14_03</t>
  </si>
  <si>
    <t>Number of fatalities as result of work-related injuries and work-related ill health of other workers working on undertaking's sites</t>
  </si>
  <si>
    <t>S1-14_04</t>
  </si>
  <si>
    <t>Number of recordable work-related accidents for own workforce</t>
  </si>
  <si>
    <t>88 c</t>
  </si>
  <si>
    <t>S1-14_05</t>
  </si>
  <si>
    <t>Rate of recordable work-related accidents for own workforce</t>
  </si>
  <si>
    <t>S1-14_06</t>
  </si>
  <si>
    <t>Number of cases of recordable work-related ill health of employees</t>
  </si>
  <si>
    <t>1 year</t>
  </si>
  <si>
    <t>88 d</t>
  </si>
  <si>
    <t>S1-14_07</t>
  </si>
  <si>
    <t>Number of days lost to work-related injuries and fatalities from work-related accidents, work-related ill health and fatalities from ill health related to employees</t>
  </si>
  <si>
    <t>88 e</t>
  </si>
  <si>
    <t>S1-14_08</t>
  </si>
  <si>
    <t>Number of cases of recordable work-related ill health of non-employees</t>
  </si>
  <si>
    <t>S1-14_09</t>
  </si>
  <si>
    <t>Number of days lost to work-related injuries and fatalities from work-related accidents, work-related ill health and fatalities from ill health realted to non-employees</t>
  </si>
  <si>
    <t>S1-14_10</t>
  </si>
  <si>
    <t>Percentage of own workforce who are covered by health and safety management system based on legal requirements and (or) recognised standards or guidelines and which has been internally audited and (or) audited or certified by external party</t>
  </si>
  <si>
    <t>S1-14_11</t>
  </si>
  <si>
    <t xml:space="preserve">Description of underlying standards for internal audit or external certification of health and safety management system </t>
  </si>
  <si>
    <t>AR 81</t>
  </si>
  <si>
    <t>S1-14_12</t>
  </si>
  <si>
    <t>Number of cases of recordable work-related ill health detected among former own workforce</t>
  </si>
  <si>
    <t>AR 94</t>
  </si>
  <si>
    <t>S1-17_01</t>
  </si>
  <si>
    <t>Number of incidents of discrimination [table]</t>
  </si>
  <si>
    <t>103 a</t>
  </si>
  <si>
    <t>S1-17_02</t>
  </si>
  <si>
    <t>Number of incidents of discrimination</t>
  </si>
  <si>
    <t>Table/Integer</t>
  </si>
  <si>
    <t xml:space="preserve">103 a </t>
  </si>
  <si>
    <t>S1-17_03</t>
  </si>
  <si>
    <t>Number of complaints filed through channels for people in own workforce to raise concerns</t>
  </si>
  <si>
    <t>103 b</t>
  </si>
  <si>
    <t>S1-17_04</t>
  </si>
  <si>
    <t>Number of complaints filed to National Contact Points for OECD Multinational Enterprises</t>
  </si>
  <si>
    <t>S1-17_05</t>
  </si>
  <si>
    <t>Amount of fines, penalties, and compensation for damages as result of incidents of discrimination, including harassment and complaints filed</t>
  </si>
  <si>
    <t>103 c</t>
  </si>
  <si>
    <t>S1-17_06</t>
  </si>
  <si>
    <t xml:space="preserve">Information about reconciliation of fines, penalties, and compensation for damages as result of violations regarding swork-related discrimination and harassment  with most relevant amount presented in financial statements </t>
  </si>
  <si>
    <t xml:space="preserve">103 c </t>
  </si>
  <si>
    <t>S1-17_07</t>
  </si>
  <si>
    <t xml:space="preserve">Disclosure of contextual information necessary to understand data and how data has been compiled (work-related grievances, incidents and complaints related to social and human rights matters) </t>
  </si>
  <si>
    <t>103 d</t>
  </si>
  <si>
    <t>S1-17_08</t>
  </si>
  <si>
    <t>Number of severe human rights issues and incidents connected to own workforce</t>
  </si>
  <si>
    <t>104 a</t>
  </si>
  <si>
    <t>S1-17_09</t>
  </si>
  <si>
    <t>Number of severe human rights issues and incidents connected to own workforce that are cases of non respect of UN Guiding Principles and OECD Guidelines for Multinational Enterprises</t>
  </si>
  <si>
    <t>S1-17_10</t>
  </si>
  <si>
    <t>No severe human rights issues and incidents connected to own workforce have occurred</t>
  </si>
  <si>
    <t>S1-17_11</t>
  </si>
  <si>
    <t>Amount of fines, penalties, and compensation for severe human rights issues and incidents connected to own workforce</t>
  </si>
  <si>
    <t>104 b</t>
  </si>
  <si>
    <t>S1-17_12</t>
  </si>
  <si>
    <t xml:space="preserve">Information about reconciliation of amount of fines, penalties, and compensation for severe human rights issues and incidents connected to own workforce with most relevant amount presented in financial statements </t>
  </si>
  <si>
    <t>S1-17_13</t>
  </si>
  <si>
    <t>Disclosure of the status of incidents and/or complaints and actions taken</t>
  </si>
  <si>
    <t>AR 103</t>
  </si>
  <si>
    <t>S1-17_14</t>
  </si>
  <si>
    <t>Number of severe human rights cases where undertaking played role securing remedy for those affected</t>
  </si>
  <si>
    <t>AR 106</t>
  </si>
  <si>
    <t>S1-2_01</t>
  </si>
  <si>
    <t xml:space="preserve">Disclosure of whether and how perspectives of own workforce  inform decisions or activities aimed at managing actual and potential  impacts </t>
  </si>
  <si>
    <t>S1-2_02</t>
  </si>
  <si>
    <t>Engagement occurs with own workforce  or their representatives</t>
  </si>
  <si>
    <t>27 a</t>
  </si>
  <si>
    <t>S1-2_03</t>
  </si>
  <si>
    <t xml:space="preserve">Disclosure of stage at which engagement occurs, type of engagement and frequency of engagement </t>
  </si>
  <si>
    <t>27 b</t>
  </si>
  <si>
    <t>S1-2_04</t>
  </si>
  <si>
    <t xml:space="preserve">Disclosure of function and most senior role within undertaking that has operational responsibility for ensuring that engagement happens and that results inform undertakingâ€™s approach </t>
  </si>
  <si>
    <t>27 c</t>
  </si>
  <si>
    <t>S1-2_05</t>
  </si>
  <si>
    <t xml:space="preserve">Disclosure of Global Framework Agreement or other agreements related to respect of human rights of workers </t>
  </si>
  <si>
    <t>27 d</t>
  </si>
  <si>
    <t>S1-2_06</t>
  </si>
  <si>
    <t xml:space="preserve">Disclosure of how effectiveness of engagement with its own workforce  is assessed </t>
  </si>
  <si>
    <t>27 e</t>
  </si>
  <si>
    <t>S1-2_07</t>
  </si>
  <si>
    <t xml:space="preserve">Disclosure of steps taken to gain insight into perspectives of people in its own workforce that may be particularly vulnerable to impacts and (or) marginalised </t>
  </si>
  <si>
    <t>S1-2_08</t>
  </si>
  <si>
    <t>Statement in case the undertaking has not adopted a general process to engage with its own workforce</t>
  </si>
  <si>
    <t>S1-2_09</t>
  </si>
  <si>
    <t>Disclosure of timeframe for adoption of general process to engage with its own workforce in case the undertaking has not adopted a general process for engagement</t>
  </si>
  <si>
    <t>S1-2_10</t>
  </si>
  <si>
    <t>Disclosure of how undertaking engages with at-risk or persons in vulnerable situations</t>
  </si>
  <si>
    <t>S1-2_11</t>
  </si>
  <si>
    <t xml:space="preserve">Disclosure of how potential barriers to engagement with people in its workforce are taken into account </t>
  </si>
  <si>
    <t>S1-2_12</t>
  </si>
  <si>
    <t xml:space="preserve">Disclosure of how people in its workforce are provided with information that is understandable and accessible through appropriate communication channels </t>
  </si>
  <si>
    <t>AR 25 c</t>
  </si>
  <si>
    <t>S1-2_13</t>
  </si>
  <si>
    <t xml:space="preserve">Disclosure of any conflicting interests that have arisen among different workers and how these conflicting interests have been resolved </t>
  </si>
  <si>
    <t>AR 25 d</t>
  </si>
  <si>
    <t>S1-2_14</t>
  </si>
  <si>
    <t xml:space="preserve">Disclosure of how undertaking seeks to respect human rights of all stakeholders engaged </t>
  </si>
  <si>
    <t>AR 25 e</t>
  </si>
  <si>
    <t>S1-2_15</t>
  </si>
  <si>
    <t xml:space="preserve">Information about effectiveness of processes for engaging with its own workforce from previous reporting periods </t>
  </si>
  <si>
    <t>AR 26</t>
  </si>
  <si>
    <t>S1-3_01</t>
  </si>
  <si>
    <t xml:space="preserve">Disclosure of general approach to and processes for providing or contributing to remedy where undertaking has caused or contributed to a material negative impact on people in its own workforce  </t>
  </si>
  <si>
    <t>32a</t>
  </si>
  <si>
    <t>S1-3_02</t>
  </si>
  <si>
    <t xml:space="preserve">Disclosure of specific channels in place for its own workforce to raise concerns or needs directly with undertaking and have them addressed </t>
  </si>
  <si>
    <t>32 b</t>
  </si>
  <si>
    <t>S1-3_03</t>
  </si>
  <si>
    <t>Third-party mechanisms are accessible to all own workforce</t>
  </si>
  <si>
    <t>AR 29</t>
  </si>
  <si>
    <t>S1-3_04</t>
  </si>
  <si>
    <t xml:space="preserve">Disclosure of whether and how own workforce and their workers' representatives are able to access channels at level of undertaking they are employed by or contracted to work for </t>
  </si>
  <si>
    <t>AR 30</t>
  </si>
  <si>
    <t>S1-3_05</t>
  </si>
  <si>
    <t>Grievance or complaints handling mechanisms related to employee matters exist</t>
  </si>
  <si>
    <t>32 c</t>
  </si>
  <si>
    <t>S1-3_06</t>
  </si>
  <si>
    <t xml:space="preserve">Disclosure of processes through which undertaking supports or requires availability of channels </t>
  </si>
  <si>
    <t>32 d</t>
  </si>
  <si>
    <t>S1-3_07</t>
  </si>
  <si>
    <t xml:space="preserve">Disclosure of how issues raised and addressed are tracked and monitored and how effectiveness of channels is ensured </t>
  </si>
  <si>
    <t>32 e</t>
  </si>
  <si>
    <t>S1-3_08</t>
  </si>
  <si>
    <t xml:space="preserve">Disclosure of whether and how it is assessed that its own workforce is aware of and trust structures or processes as way to raise their concerns or needs and have them addressed </t>
  </si>
  <si>
    <t>S1-3_09</t>
  </si>
  <si>
    <t>Policies regarding protection against retaliation for individuals that use channels to raise concerns or needs are in place</t>
  </si>
  <si>
    <t>S1-3_10</t>
  </si>
  <si>
    <t xml:space="preserve">Statement in case the undertaking has not adopted a channel for raising concerns </t>
  </si>
  <si>
    <t>S1-3_11</t>
  </si>
  <si>
    <t>Disclosure of timeframe for channel for raising concerns to be in place</t>
  </si>
  <si>
    <t>S1-4_01</t>
  </si>
  <si>
    <t xml:space="preserve">Description of action taken, planned or underway to prevent or mitigate negative impacts on own workforce  </t>
  </si>
  <si>
    <t>S1-4_02</t>
  </si>
  <si>
    <t>Disclosure on whether and how action has been taken to provide or enable remedy in relation to actual material impact</t>
  </si>
  <si>
    <t>S1-4_03</t>
  </si>
  <si>
    <t>Description of additional initiatives or actions with primary purpose of delivering positive impacts for own workforce</t>
  </si>
  <si>
    <t>S1-4_04</t>
  </si>
  <si>
    <t xml:space="preserve">Description of how effectiveness of actions and initiatives in delivering outcomes for own workforce is tracked and assessed </t>
  </si>
  <si>
    <t>S1-4_05</t>
  </si>
  <si>
    <t xml:space="preserve">Description of process through which it identifies what action is needed and appropriate in response to particular actual or potential negative impact on own workforce  </t>
  </si>
  <si>
    <t>S1-4_06</t>
  </si>
  <si>
    <t xml:space="preserve">Description of what action is planned or underway to mitigate material risks arising from impacts and dependencies on own workforce  and how effectiveness is tracked </t>
  </si>
  <si>
    <t>40 a</t>
  </si>
  <si>
    <t>S1-4_07</t>
  </si>
  <si>
    <t xml:space="preserve">Description of what action is planned or underway to pursue material opportunities in relation to own workforce  </t>
  </si>
  <si>
    <t>40 b</t>
  </si>
  <si>
    <t>S1-4_08</t>
  </si>
  <si>
    <t xml:space="preserve">Disclosure of whether and how it is ensured that own practices do not cause or contribute to material negative impacts on own workforce  </t>
  </si>
  <si>
    <t>S1-4_09</t>
  </si>
  <si>
    <t>Disclosure of resources are allocated to the management of material impacts</t>
  </si>
  <si>
    <t>S1-4_10</t>
  </si>
  <si>
    <t xml:space="preserve">Disclosure of general and specific approaches to addressing material negative impacts </t>
  </si>
  <si>
    <t>AR 33 a</t>
  </si>
  <si>
    <t>S1-4_11</t>
  </si>
  <si>
    <t xml:space="preserve">Disclosure of initiatives aimed at contributing to additional material positive impacts </t>
  </si>
  <si>
    <t>AR 33 b</t>
  </si>
  <si>
    <t>S1-4_12</t>
  </si>
  <si>
    <t xml:space="preserve">Disclosure of how far undertaking has progressed in efforts during reporting period </t>
  </si>
  <si>
    <t>AR 33 c</t>
  </si>
  <si>
    <t>S1-4_13</t>
  </si>
  <si>
    <t xml:space="preserve">Disclosure of aims for continued improvement </t>
  </si>
  <si>
    <t>AR 33 d</t>
  </si>
  <si>
    <t>S1-4_14</t>
  </si>
  <si>
    <t xml:space="preserve">Disclosure of whether and how undertaking seeks to use leverage with relevant business relationships to manage material negative impacts affecting own workforce  </t>
  </si>
  <si>
    <t>AR 35</t>
  </si>
  <si>
    <t>S1-4_15</t>
  </si>
  <si>
    <t>Disclosure of how the initiative, and its own involvement, is aiming to address the material impact concerned</t>
  </si>
  <si>
    <t>AR 36</t>
  </si>
  <si>
    <t>S1-4_16</t>
  </si>
  <si>
    <t xml:space="preserve">Disclosure of whether and how workers and workers' representatives play role in decisions regarding design and implementation of programmes or processes whose primary aim is to deliver positive impacts for workers </t>
  </si>
  <si>
    <t>AR 40 a</t>
  </si>
  <si>
    <t>S1-4_17</t>
  </si>
  <si>
    <t xml:space="preserve">Information about intended or achieved positive outcomes of programmes or processes for own workforce  </t>
  </si>
  <si>
    <t>AR 40 b</t>
  </si>
  <si>
    <t>S1-4_18</t>
  </si>
  <si>
    <t>Initiatives or processes whose primary aim is to deliver positive impacts for own workforce  are designed also to support achievement of one or more of Sustainable Development Goals</t>
  </si>
  <si>
    <t>S1-4_19</t>
  </si>
  <si>
    <t xml:space="preserve">Information about measures taken to mitigate negative impacts on workers that arise from transition to greener, climate-neutral economy </t>
  </si>
  <si>
    <t>AR 43</t>
  </si>
  <si>
    <t>S1-4_20</t>
  </si>
  <si>
    <t xml:space="preserve">Description of internal functions that are involved in managing impacts and types of action taken by internal functions to address negative and advance positive impacts </t>
  </si>
  <si>
    <t>AR 48</t>
  </si>
  <si>
    <t>S1-6_01</t>
  </si>
  <si>
    <t>Characteristics of undertaking's employees - number of employees by gender [table]</t>
  </si>
  <si>
    <t>Table 1</t>
  </si>
  <si>
    <t>50 a</t>
  </si>
  <si>
    <t>S1-6_02</t>
  </si>
  <si>
    <t>Number of employees (head count)</t>
  </si>
  <si>
    <t>Table 1/Decimal</t>
  </si>
  <si>
    <t>S1-6_03</t>
  </si>
  <si>
    <t>Average number of employees (head count)</t>
  </si>
  <si>
    <t>S1-6_04</t>
  </si>
  <si>
    <t>Characteristics of undertaking's employees - number of employees in countries with 50 or more employees representing at least 10% of total number of employees [table]</t>
  </si>
  <si>
    <t>Table 2</t>
  </si>
  <si>
    <t>S1-6_05</t>
  </si>
  <si>
    <t>Number of employees in countries with 50 or more employees representing at least 10% of total number of employees</t>
  </si>
  <si>
    <t>Table 2/Decimal</t>
  </si>
  <si>
    <t>S1-6_06</t>
  </si>
  <si>
    <t>Average number of employees in countries with 50 or more employees representing at least 10% of total number of employees</t>
  </si>
  <si>
    <t>S1-6_07</t>
  </si>
  <si>
    <t>Characteristics of undertaking's employees - information on employees by contract type and gender  [table]</t>
  </si>
  <si>
    <t>Table 3</t>
  </si>
  <si>
    <t>50 b</t>
  </si>
  <si>
    <t>S1-6_08</t>
  </si>
  <si>
    <t>Characteristics of undertaking's employees - information on employees by region [table]</t>
  </si>
  <si>
    <t>S1-6_09</t>
  </si>
  <si>
    <t>Number of employees (head count or full-time equivalent)</t>
  </si>
  <si>
    <t>Table 3/Decimal</t>
  </si>
  <si>
    <t>50 b + 51</t>
  </si>
  <si>
    <t>S1-6_10</t>
  </si>
  <si>
    <t>Average number of employees (head count or full-time equivalent)</t>
  </si>
  <si>
    <t>S1-6_11</t>
  </si>
  <si>
    <t xml:space="preserve">Number of employee who have left undertaking </t>
  </si>
  <si>
    <t>Decimal</t>
  </si>
  <si>
    <t>50 c</t>
  </si>
  <si>
    <t>S1-6_12</t>
  </si>
  <si>
    <t>Percentage of employee turnover</t>
  </si>
  <si>
    <t>S1-6_13</t>
  </si>
  <si>
    <t xml:space="preserve">Description of methodologies and assumptions used to compile data (employees) </t>
  </si>
  <si>
    <t>50 d</t>
  </si>
  <si>
    <t>S1-6_14</t>
  </si>
  <si>
    <t>Employees numbers are reported in head count or full-time equivalent</t>
  </si>
  <si>
    <t>50 d i</t>
  </si>
  <si>
    <t>S1-6_15</t>
  </si>
  <si>
    <t>Employees numbers are reported at end of reporting period/average/other methodology</t>
  </si>
  <si>
    <t>50 d ii</t>
  </si>
  <si>
    <t>S1-6_16</t>
  </si>
  <si>
    <t xml:space="preserve">Disclosure of contextual information necessary to understand data (employees) </t>
  </si>
  <si>
    <t>50 e</t>
  </si>
  <si>
    <t>S1-6_17</t>
  </si>
  <si>
    <t xml:space="preserve">Disclosure of cross-reference of information reported under paragragph 50 (a) to most representative number in financial statements </t>
  </si>
  <si>
    <t>50 f</t>
  </si>
  <si>
    <t>S1-6_18</t>
  </si>
  <si>
    <t>Further detailed breakdown by gender and by region [table]</t>
  </si>
  <si>
    <t>Table 4</t>
  </si>
  <si>
    <t>S1-6_19</t>
  </si>
  <si>
    <t>Number of full-time employees by head count or full time equivalent</t>
  </si>
  <si>
    <t>Table 4 Decimal/Integer</t>
  </si>
  <si>
    <t>52 a</t>
  </si>
  <si>
    <t>S1-6_20</t>
  </si>
  <si>
    <t>Number of part-time employees by head count or full time equivalent</t>
  </si>
  <si>
    <t>52 b</t>
  </si>
  <si>
    <t>S1-9_01</t>
  </si>
  <si>
    <t>Gender distribution in number of employees (head count) at top management level</t>
  </si>
  <si>
    <t>66a</t>
  </si>
  <si>
    <t>S1-9_02</t>
  </si>
  <si>
    <t>Gender distribution in percentage of employees at top management level</t>
  </si>
  <si>
    <t>Table/percentage</t>
  </si>
  <si>
    <t>66 a</t>
  </si>
  <si>
    <t>S1-9_03</t>
  </si>
  <si>
    <t>Distribution of employees (head count) under 30 years old</t>
  </si>
  <si>
    <t>Integer/percentage</t>
  </si>
  <si>
    <t>66 b</t>
  </si>
  <si>
    <t>S1-9_04</t>
  </si>
  <si>
    <t>Distribution of employees (head count) between 30 and 50 years old</t>
  </si>
  <si>
    <t>S1-9_05</t>
  </si>
  <si>
    <t>Distribution of employees (head count) over 50 years old</t>
  </si>
  <si>
    <t>S1-9_06</t>
  </si>
  <si>
    <t xml:space="preserve">Disclosure of own definition of top management used </t>
  </si>
  <si>
    <t>AR 71</t>
  </si>
  <si>
    <t>S2-1_01</t>
  </si>
  <si>
    <t>Description of relevant human rights policy commitments relevant to value chain workers</t>
  </si>
  <si>
    <t>S2-1_02</t>
  </si>
  <si>
    <t>Disclosure of general approach in relation to respect for human rights relevant to value chain workers</t>
  </si>
  <si>
    <t>17a</t>
  </si>
  <si>
    <t>S2-1_03</t>
  </si>
  <si>
    <t>Disclosure of general approach in relation to engagement with value chain workers</t>
  </si>
  <si>
    <t>17b</t>
  </si>
  <si>
    <t>S2-1_04</t>
  </si>
  <si>
    <t>17 c</t>
  </si>
  <si>
    <t>S2-1_05</t>
  </si>
  <si>
    <t>S2-1_06</t>
  </si>
  <si>
    <t>Undertaking has supplier code of conduct</t>
  </si>
  <si>
    <t>S2-1_07</t>
  </si>
  <si>
    <t>Provisions in supplier codes of conudct are fully in line with applicable ILO standards</t>
  </si>
  <si>
    <t>AR 15</t>
  </si>
  <si>
    <t>S2-1_08</t>
  </si>
  <si>
    <t>S2-1_09</t>
  </si>
  <si>
    <t>Disclosure of extent and indication of nature of cases of non-respect of the UN Guiding Principles on Business and Human Rights, ILO Declaration on Fundamental Principles and Rights at Work or OECD Guidelines for Multinational Enterprises that involve value chain workers</t>
  </si>
  <si>
    <t>S2-1_10</t>
  </si>
  <si>
    <t>AR 12</t>
  </si>
  <si>
    <t>S2-1_11</t>
  </si>
  <si>
    <t>AR 16</t>
  </si>
  <si>
    <t>S2-2_01</t>
  </si>
  <si>
    <t xml:space="preserve">Disclosure of whether and how perspectives of value chain workers inform decisions or activities aimed at managing actual and potential  impacts </t>
  </si>
  <si>
    <t>S2-2_02</t>
  </si>
  <si>
    <t>Engagement occurs with value chain workers or their legitimate
representatives directly, or with credible proxies</t>
  </si>
  <si>
    <t>22 a</t>
  </si>
  <si>
    <t>S2-2_03</t>
  </si>
  <si>
    <t>22 b</t>
  </si>
  <si>
    <t>S2-2_04</t>
  </si>
  <si>
    <t xml:space="preserve">Disclosure of function and most senior role within undertaking that has operational responsibility for ensuring that engagement happens and that results inform undertakings approach </t>
  </si>
  <si>
    <t>22 c</t>
  </si>
  <si>
    <t>S2-2_05</t>
  </si>
  <si>
    <t>22 d</t>
  </si>
  <si>
    <t>S2-2_06</t>
  </si>
  <si>
    <t xml:space="preserve">Disclosure of how effectiveness of engagement with value chain workers is assessed </t>
  </si>
  <si>
    <t>22 e</t>
  </si>
  <si>
    <t>S2-2_07</t>
  </si>
  <si>
    <t xml:space="preserve">Disclosure of steps taken to gain insight into perspectives of value chain workers that may be particularly vulnerable to impacts and (or) marginalised </t>
  </si>
  <si>
    <t>S2-2_08</t>
  </si>
  <si>
    <t>Statement in case the undertaking has not adopted a general process to engage with value chain workers</t>
  </si>
  <si>
    <t>S2-2_09</t>
  </si>
  <si>
    <t>Disclosure of timeframe for adoption of general process to engage with  value chain workers  in case the undertaking has not adopted a general process for engagement</t>
  </si>
  <si>
    <t>S2-3_01</t>
  </si>
  <si>
    <t xml:space="preserve">Disclosure of general approach to and processes for providing or contributing to remedy where undertaking has identified that it connected with a material negative impact on  value chain workers  </t>
  </si>
  <si>
    <t xml:space="preserve">27 a </t>
  </si>
  <si>
    <t>S2-3_02</t>
  </si>
  <si>
    <t xml:space="preserve">Disclosure of specific channels in place for value chain workers to raise concerns or needs directly with undertaking and have them addressed </t>
  </si>
  <si>
    <t xml:space="preserve">27 b </t>
  </si>
  <si>
    <t>S2-3_03</t>
  </si>
  <si>
    <t xml:space="preserve">27 c </t>
  </si>
  <si>
    <t>S2-3_04</t>
  </si>
  <si>
    <t xml:space="preserve">27 d </t>
  </si>
  <si>
    <t>S2-3_05</t>
  </si>
  <si>
    <t xml:space="preserve">Disclosure of whether and how it is assessed that value chain workers are aware of and trust structures or processes as way to raise their concerns or needs and have them addressed </t>
  </si>
  <si>
    <t>S2-3_06</t>
  </si>
  <si>
    <t>S2-3_07</t>
  </si>
  <si>
    <t>S2-3_08</t>
  </si>
  <si>
    <t>S2-3_09</t>
  </si>
  <si>
    <t xml:space="preserve">Disclosure of whether and how value chain workers are able to access channels at level of undertaking they are employed by or contracted to work for </t>
  </si>
  <si>
    <t>AR 23</t>
  </si>
  <si>
    <t>S2-3_10</t>
  </si>
  <si>
    <t>Third-party mechanisms are accessible to all workers</t>
  </si>
  <si>
    <t>AR 24</t>
  </si>
  <si>
    <t>S2-3_11</t>
  </si>
  <si>
    <t>Grievances are treated confidentially and with respect to rights of privacy and data protection</t>
  </si>
  <si>
    <t>S2-3_12</t>
  </si>
  <si>
    <t xml:space="preserve">Channels to raise concerns or needs allow for value chain workers to use them anonymously </t>
  </si>
  <si>
    <t>E4-1_01</t>
  </si>
  <si>
    <t xml:space="preserve">Disclosure of resilience of current business model(s) and strategy to biodiversity and ecosystems-related physical, transition and systemic risks and opportunities </t>
  </si>
  <si>
    <t>13 a</t>
  </si>
  <si>
    <t>E4-1_02</t>
  </si>
  <si>
    <t xml:space="preserve">Disclosure of scope of resilience analysis along own operations and related upstream and downstream value chain </t>
  </si>
  <si>
    <t>13 b</t>
  </si>
  <si>
    <t>E4-1_03</t>
  </si>
  <si>
    <t xml:space="preserve">Disclosure of key assumptions made (biodiversity and ecosystems) </t>
  </si>
  <si>
    <t>13 c</t>
  </si>
  <si>
    <t>E4-1_04</t>
  </si>
  <si>
    <t xml:space="preserve">Disclosure of time horizons used for analysis (biodiversity and ecosystems) </t>
  </si>
  <si>
    <t>13 d</t>
  </si>
  <si>
    <t>E4-1_05</t>
  </si>
  <si>
    <t xml:space="preserve">Disclosure of results of resilience analysis (biodiversity and ecosystems) </t>
  </si>
  <si>
    <t>13 e</t>
  </si>
  <si>
    <t>E4-1_06</t>
  </si>
  <si>
    <t xml:space="preserve">Disclosure of involvement of stakeholders (biodiversity and ecosystems) </t>
  </si>
  <si>
    <t>13 f</t>
  </si>
  <si>
    <t>E4-1_07</t>
  </si>
  <si>
    <t>Disclosure of transition plan to improve and achieve alignment of its business model and strategy</t>
  </si>
  <si>
    <t>E4-1_08</t>
  </si>
  <si>
    <t>Explanation of how strategy and business model will be adjusted to improve and, ultimately, achieve alignment with relevant local, national and global public policy goals</t>
  </si>
  <si>
    <t>AR 1 a</t>
  </si>
  <si>
    <t>E4-1_09</t>
  </si>
  <si>
    <t>Include information about  its own operations and  explain how it is responding to material impacts in its related value chain</t>
  </si>
  <si>
    <t>AR 1 b</t>
  </si>
  <si>
    <t>E4-1_10</t>
  </si>
  <si>
    <t xml:space="preserve">Explanation of how b strategy interacts with  transition plan </t>
  </si>
  <si>
    <t>AR 1 c</t>
  </si>
  <si>
    <t>E4-1_11</t>
  </si>
  <si>
    <t xml:space="preserve">Disclosure of contribution to impact drivers and possible mitigation actions following mitigation hierarchy and main path-dependencies and locked-in assets and resources that are associated with biodiversity and ecosystems change </t>
  </si>
  <si>
    <t>AR 1 d</t>
  </si>
  <si>
    <t>E4-1_12</t>
  </si>
  <si>
    <t>Explanation and quantification of investments and funding supporting the implementation of its transition plan</t>
  </si>
  <si>
    <t>AR 1 e</t>
  </si>
  <si>
    <t>E4-1_13</t>
  </si>
  <si>
    <t>Disclosure of objectives or plans for aligning economic activities (revenues, CapEx)</t>
  </si>
  <si>
    <t>AR 1  f</t>
  </si>
  <si>
    <t>E4-1_14</t>
  </si>
  <si>
    <t>Biodiversity offsets are part of transition plan</t>
  </si>
  <si>
    <t>AR 1 g</t>
  </si>
  <si>
    <t>E4-1_15</t>
  </si>
  <si>
    <t xml:space="preserve">Information about how process of implementing and updating transition plan is managed </t>
  </si>
  <si>
    <t>AR 1  h</t>
  </si>
  <si>
    <t>E4-1_16</t>
  </si>
  <si>
    <t xml:space="preserve">Indication of metrics and related tools used to measure progress that are integrated in measurement approach (biodiversity and ecosystems) </t>
  </si>
  <si>
    <t>AR 1  i</t>
  </si>
  <si>
    <t>E4-1_17</t>
  </si>
  <si>
    <t>Administrative, management and supervisory bodies have approved transition plan</t>
  </si>
  <si>
    <t>AR 1  j</t>
  </si>
  <si>
    <t>E4-1_18</t>
  </si>
  <si>
    <t xml:space="preserve">Indication of current challenges and limitations to draft plan in relation to areas of significant impact and actions company is taking to address them (biodiversity and ecosystems) </t>
  </si>
  <si>
    <t>AR 1  k</t>
  </si>
  <si>
    <t>E4-2_01</t>
  </si>
  <si>
    <t>Disclosure on whether and how biodiversity and ecosystems-related policies relate to matters reported in E4 AR4</t>
  </si>
  <si>
    <t>E4-2_02</t>
  </si>
  <si>
    <t xml:space="preserve">Explanation of whether and  how biodiversity and ecosystems-related policy relates to material biodiversity and ecosystems-related impacts </t>
  </si>
  <si>
    <t>E4-2_03</t>
  </si>
  <si>
    <t xml:space="preserve">Explanation of whether and  how biodiversity and ecosystems-related policy relates to material dependencies and material physical and transition risks and opportunities </t>
  </si>
  <si>
    <t>E4-2_04</t>
  </si>
  <si>
    <t xml:space="preserve">Explanation of whether and how biodiversity and ecosystems-related policy supports traceability of products, components and raw materials with significant actual or potential impacts on biodiversity and ecosystems along value chain </t>
  </si>
  <si>
    <t>23 d</t>
  </si>
  <si>
    <t>E4-2_05</t>
  </si>
  <si>
    <t xml:space="preserve">Explanation of whether and how biodiversity and ecosystems-related policy addresses production, sourcing or consumption from ecosystems that are managed to maintain or enhance conditions for biodiversity </t>
  </si>
  <si>
    <t>23 e</t>
  </si>
  <si>
    <t>E4-2_06</t>
  </si>
  <si>
    <t xml:space="preserve">Explanation of whether and how biodiversity and ecosystems-related policy addresses social consequences of biodiversity and ecosystems-related impacts </t>
  </si>
  <si>
    <t>23 f</t>
  </si>
  <si>
    <t>E4-2_07</t>
  </si>
  <si>
    <t xml:space="preserve">Disclosure of how policy refers to production, sourcing or consumption of raw materials </t>
  </si>
  <si>
    <t>E4-2_08</t>
  </si>
  <si>
    <t xml:space="preserve">Disclosure of how policy refers to policies limiting procurement from suppliers that cannot demonstrate that they are not contributing to significant conversion of protected areas or key biodiversity areas </t>
  </si>
  <si>
    <t>E4-2_09</t>
  </si>
  <si>
    <t xml:space="preserve">Disclosure of how policy refers to recognised standards or third-party certifications overseen by regulators </t>
  </si>
  <si>
    <t>E4-2_10</t>
  </si>
  <si>
    <t>Disclosure of how policy addresses raw materials originating from ecosystems that have been managed to maintain or enhance conditions for biodiversity, as demonstrated by regular monitoring and reporting of biodiversity status and gains or losses</t>
  </si>
  <si>
    <t>E4-2_11</t>
  </si>
  <si>
    <t>Disclosure of how the policy enables to a), b), c) and d)</t>
  </si>
  <si>
    <t>E4-2_12</t>
  </si>
  <si>
    <t>Third-party standard of conduct used in policy is objective and achievable based on scientific approach to identifying issues and realistic in assessing how these issues can be addressed under variety of practical circumstances</t>
  </si>
  <si>
    <t>E4-2_13</t>
  </si>
  <si>
    <t>Third-party standard of conduct used in policy is developed or maintained through process of ongoing consultation with relevant stakeholders with balanced input from all relevant stakeholder groups with no group holding undue authority or veto power over content</t>
  </si>
  <si>
    <t>E4-2_14</t>
  </si>
  <si>
    <t>Third-party standard of conduct used in policy encourages step-wise approach and continuous improvement in standard and its application of better management practices and requires establishment of meaningful targets and specific milestones to indicate progress against principles and criteria over time</t>
  </si>
  <si>
    <t>E4-2_15</t>
  </si>
  <si>
    <t>Third-party standard of conduct used in policy is verifiable through independent certifying or verifying bodies, which have defined and rigorous assessment procedures that avoid conflicts of interest and are compliant with ISO guidance on accreditation and verification procedures or Article 5(2) of Regulation (EC) No 765/2008</t>
  </si>
  <si>
    <t>E4-2_16</t>
  </si>
  <si>
    <t>Third-party standard of conduct used in policy conforms to ISEAL Code of Good Practice</t>
  </si>
  <si>
    <t>E4-2_17</t>
  </si>
  <si>
    <t>Biodiversity and ecosystem protection policy covering operational sites owned, leased, managed in or near protected area or biodiversity-sensitive area outside protected areas has been adopted</t>
  </si>
  <si>
    <t>E4-2_18</t>
  </si>
  <si>
    <t>Sustainable land or agriculture practices or policies have been adopted</t>
  </si>
  <si>
    <t>E4-2_19</t>
  </si>
  <si>
    <t>Sustainable oceans or seas practices or policies have been adopted</t>
  </si>
  <si>
    <t xml:space="preserve">24 c </t>
  </si>
  <si>
    <t>E4-2_20</t>
  </si>
  <si>
    <t>Policies to address deforestation have been adopted</t>
  </si>
  <si>
    <t>24 d</t>
  </si>
  <si>
    <t>E4-3_01</t>
  </si>
  <si>
    <t>Disclosure on how the mitigation hierarchy has been applied with regard to biodiversity and ecosystem actions</t>
  </si>
  <si>
    <t>E4-3_02</t>
  </si>
  <si>
    <t>Biodiversity offsets were used in action plan</t>
  </si>
  <si>
    <t>E4-3_03</t>
  </si>
  <si>
    <t xml:space="preserve">Disclosure of aim of biodiversity offset and key performance indicators used </t>
  </si>
  <si>
    <t>28 b i</t>
  </si>
  <si>
    <t>E4-3_04</t>
  </si>
  <si>
    <t>Financing effects (direct and indirect costs) of biodiversity offsets</t>
  </si>
  <si>
    <t>28 b ii</t>
  </si>
  <si>
    <t>E4-3_05</t>
  </si>
  <si>
    <t>Explanation of rekationship of significant Capex and Opex required to impelement actions taken or planned to relevant line items or notes in the financial statements</t>
  </si>
  <si>
    <t>AR 18 a</t>
  </si>
  <si>
    <t>E4-3_06</t>
  </si>
  <si>
    <t>Explanation of rekationship of significant Capex and Opex required to impelement actions taken or planned to key  performance indicators required under Commission Delegated Regulation (EU) 2021/2178</t>
  </si>
  <si>
    <t>AR 18 b</t>
  </si>
  <si>
    <t>E4-3_07</t>
  </si>
  <si>
    <t>Explanation of rekationship of significant Capex and Opex required to impelement actions taken or planned to Capex plan required under Commission Delegated Regulation (EU) 2021/2178</t>
  </si>
  <si>
    <t>AR 18 c</t>
  </si>
  <si>
    <t>E4-3_08</t>
  </si>
  <si>
    <t xml:space="preserve">Description of biodiversity offsets </t>
  </si>
  <si>
    <t>28 b iii</t>
  </si>
  <si>
    <t>E4-3_09</t>
  </si>
  <si>
    <t xml:space="preserve">Description of whether and how local and indigenous knowledge and nature-based solutions have been incorporated into biodiversity and ecosystems-related action </t>
  </si>
  <si>
    <t>E4-3_10</t>
  </si>
  <si>
    <t xml:space="preserve">Disclosure of key stakeholders involved and how they are involved, key stakeholders negatively or positively impacted by action and how they are impacted </t>
  </si>
  <si>
    <t>AR 20 a</t>
  </si>
  <si>
    <t>E4-3_11</t>
  </si>
  <si>
    <t xml:space="preserve">Explanation of need for appropriate consultations and need to respect decisions of affected communities </t>
  </si>
  <si>
    <t>AR 20 b</t>
  </si>
  <si>
    <t>E4-3_12</t>
  </si>
  <si>
    <t xml:space="preserve">Description of whether key action may induce significant negative sustainability impacts (biodiversity and ecosystems) </t>
  </si>
  <si>
    <t>AR 20 c</t>
  </si>
  <si>
    <t>E4-3_13</t>
  </si>
  <si>
    <t>Explanation of whether the key action is intended to be a one-time initiative or systematic practice</t>
  </si>
  <si>
    <t>AR 20 d</t>
  </si>
  <si>
    <t>E4-3_14</t>
  </si>
  <si>
    <t>Key action plan is carried out only by undertaking (individual action) using its resources (biodiversity and ecosystems)</t>
  </si>
  <si>
    <t>AR 20 e</t>
  </si>
  <si>
    <t>E4-3_15</t>
  </si>
  <si>
    <t>Key action plan is part of wider action plan (collective action), of which undertaking is member (biodiversity and ecosystems)</t>
  </si>
  <si>
    <t>E4-3_16</t>
  </si>
  <si>
    <t xml:space="preserve">Additional information about project, its sponsors and other participants (biodiversity and ecosystems) </t>
  </si>
  <si>
    <t>AR 20 f</t>
  </si>
  <si>
    <t>E4-4_01</t>
  </si>
  <si>
    <t>Ecological threshold and allocation of impacts to undertaking were applied when setting target (biodiversity and ecosystems)</t>
  </si>
  <si>
    <t>32 a</t>
  </si>
  <si>
    <t>E4-4_02</t>
  </si>
  <si>
    <t xml:space="preserve">Disclosure of ecological threshold identified and methodology used to identify threshold (biodiversity and ecosystems) </t>
  </si>
  <si>
    <t>32 a i</t>
  </si>
  <si>
    <t>E4-4_03</t>
  </si>
  <si>
    <t xml:space="preserve">Disclosure of how entity-specific threshold was determined (biodiversity and ecosystems) </t>
  </si>
  <si>
    <t>32 a ii</t>
  </si>
  <si>
    <t>E4-4_04</t>
  </si>
  <si>
    <t xml:space="preserve">Disclosure of how responsibility for respecting identified ecological threshold is allocated (biodiversity and ecosystems) </t>
  </si>
  <si>
    <t>32 a iii</t>
  </si>
  <si>
    <t>E4-4_05</t>
  </si>
  <si>
    <t>Target is informed by relevant aspect of EU Biodiversity Strategy for 2030</t>
  </si>
  <si>
    <t>E4-4_06</t>
  </si>
  <si>
    <t>Disclosure of how the targets relate to the biodiversity and ecosystem impacts, dependencies, risks and opportunities identified in relation to own operations and upstream and downstream value chain</t>
  </si>
  <si>
    <t>E4-4_07</t>
  </si>
  <si>
    <t>Disclosure of the geographical scope of the targets</t>
  </si>
  <si>
    <t>E4-4_08</t>
  </si>
  <si>
    <t>Biodiversity offsets were used in setting target</t>
  </si>
  <si>
    <t>E4-4_09</t>
  </si>
  <si>
    <t>Layer in mitigation hierarchy to which target can be allocated (biodiversity and ecosystems)</t>
  </si>
  <si>
    <t>32 f</t>
  </si>
  <si>
    <t>E4-4_10</t>
  </si>
  <si>
    <t xml:space="preserve">The target addresses shortcomings related to the Substantial Contribution criteria </t>
  </si>
  <si>
    <t>E4-5_01</t>
  </si>
  <si>
    <t>Number of sites owned, leased or managed in or near protected areas or key biodiversity areas that undertaking is negatively affecting</t>
  </si>
  <si>
    <t>E4-5_02</t>
  </si>
  <si>
    <t>Area of sites owned, leased or managed in or near protected areas or key biodiversity areas that undertaking is negatively affecting</t>
  </si>
  <si>
    <t>Area</t>
  </si>
  <si>
    <t>E4-5_03</t>
  </si>
  <si>
    <t xml:space="preserve">Disclosure of land-use based on Life Cycle Assessment </t>
  </si>
  <si>
    <t>E4-5_04</t>
  </si>
  <si>
    <t xml:space="preserve">Disclosure of metrics considered relevant (land-use change, freshwater-use change and (or) sea-use change) </t>
  </si>
  <si>
    <t>E4-5_05</t>
  </si>
  <si>
    <t xml:space="preserve">Disclosure of conversion over time of land cover </t>
  </si>
  <si>
    <t>E4-5_06</t>
  </si>
  <si>
    <t xml:space="preserve">Disclosure of changes over time in management of ecosystem </t>
  </si>
  <si>
    <t>E4-5_07</t>
  </si>
  <si>
    <t xml:space="preserve">Disclosure of changes in spatial configuration of landscape </t>
  </si>
  <si>
    <t>E4-5_08</t>
  </si>
  <si>
    <t xml:space="preserve">Disclosure of changes in ecosystem structural connectivity </t>
  </si>
  <si>
    <t>E4-5_09</t>
  </si>
  <si>
    <t xml:space="preserve">Disclosure of functional connectivity </t>
  </si>
  <si>
    <t>E4-5_10</t>
  </si>
  <si>
    <t>Total use of land area</t>
  </si>
  <si>
    <t>AR 34 a</t>
  </si>
  <si>
    <t>E4-5_11</t>
  </si>
  <si>
    <t>Total sealed area</t>
  </si>
  <si>
    <t>AR 34 b</t>
  </si>
  <si>
    <t>E4-5_12</t>
  </si>
  <si>
    <t>Nature-oriented area on site</t>
  </si>
  <si>
    <t>AR 34 c</t>
  </si>
  <si>
    <t>E4-5_13</t>
  </si>
  <si>
    <t>Nature-oriented area off site</t>
  </si>
  <si>
    <t>AR 34 d</t>
  </si>
  <si>
    <t>E4-5_14</t>
  </si>
  <si>
    <t xml:space="preserve">Disclosure of how pathways of introduction and spread of invasive alien species and risks posed by invasive alien species are managed </t>
  </si>
  <si>
    <t>E4-5_15</t>
  </si>
  <si>
    <t>Number of invasive alien species</t>
  </si>
  <si>
    <t>E4-5_16</t>
  </si>
  <si>
    <t>Area covered by invasive alien species</t>
  </si>
  <si>
    <t>E4-5_17</t>
  </si>
  <si>
    <t xml:space="preserve">Disclosure of metrics considered relevant (state of species) </t>
  </si>
  <si>
    <t>E4-5_18</t>
  </si>
  <si>
    <t xml:space="preserve">Disclosure of paragraph in another environment-related standard in which metric is referred to </t>
  </si>
  <si>
    <t>E4-5_19</t>
  </si>
  <si>
    <t xml:space="preserve">Disclosure of population size, range within specific ecosystems and extinction risk </t>
  </si>
  <si>
    <t>E4-5_20</t>
  </si>
  <si>
    <t xml:space="preserve">Disclosure of changes in number of individuals of species within specific area </t>
  </si>
  <si>
    <t>40 c</t>
  </si>
  <si>
    <t>E4-5_21</t>
  </si>
  <si>
    <t xml:space="preserve">Information about species at global extinction risk </t>
  </si>
  <si>
    <t>40 d</t>
  </si>
  <si>
    <t>E4-5_22</t>
  </si>
  <si>
    <t xml:space="preserve">Disclosure of threat status of species and how activities or pressures may affect threat status </t>
  </si>
  <si>
    <t>40 d i</t>
  </si>
  <si>
    <t>E4-5_23</t>
  </si>
  <si>
    <t xml:space="preserve">Disclosure of change in relevant habitat for threatened species as proxy for impact on local population's extinction risk </t>
  </si>
  <si>
    <t>40 d ii</t>
  </si>
  <si>
    <t>E4-5_24</t>
  </si>
  <si>
    <t xml:space="preserve">Disclosure of ecosystem area coverage </t>
  </si>
  <si>
    <t xml:space="preserve">41 a </t>
  </si>
  <si>
    <t>E4-5_25</t>
  </si>
  <si>
    <t xml:space="preserve">Disclosure of quality of ecosystems relative to pre-determined reference state </t>
  </si>
  <si>
    <t>41 b i</t>
  </si>
  <si>
    <t>E4-5_26</t>
  </si>
  <si>
    <t xml:space="preserve">Disclosure of multiple species within ecosystem </t>
  </si>
  <si>
    <t>41 b ii</t>
  </si>
  <si>
    <t>E4-5_27</t>
  </si>
  <si>
    <t xml:space="preserve">Disclosure of structural components of ecosystem condition </t>
  </si>
  <si>
    <t>41 b iii</t>
  </si>
  <si>
    <t>E4-6_01</t>
  </si>
  <si>
    <t xml:space="preserve">Disclosure of quantitative information about anticipated financial effects of material risks and opportunities arising from biodiversity- and ecosystem-related impacts and dependencies </t>
  </si>
  <si>
    <t>3 years</t>
  </si>
  <si>
    <t>45 a</t>
  </si>
  <si>
    <t>E4-6_02</t>
  </si>
  <si>
    <t xml:space="preserve">Disclosure of qualitative information about anticipated financial effects of material risks and opportunities arising from biodiversity- and ecosystem-related impacts and dependencies </t>
  </si>
  <si>
    <t>E4-6_03</t>
  </si>
  <si>
    <t xml:space="preserve">Description of effects considered, related impacts and dependencies (biodiversity and ecosystems) </t>
  </si>
  <si>
    <t>45 b</t>
  </si>
  <si>
    <t>E4-6_04</t>
  </si>
  <si>
    <t xml:space="preserve">Disclosure of critical assumptions used in estimates of financial effects of material risks and opportunities arising from biodiversity- and ecosystem-related impacts and dependencies </t>
  </si>
  <si>
    <t>45 c</t>
  </si>
  <si>
    <t>E4-6_05</t>
  </si>
  <si>
    <t>Description of related products and services at risk (biodiversity and ecosystems) over the short-, medium- and long-term</t>
  </si>
  <si>
    <t>AR 39</t>
  </si>
  <si>
    <t>E4-6_06</t>
  </si>
  <si>
    <t xml:space="preserve">Explanation of how financial amounts are estimated and critical assumptions made (biodiversity and ecosystems) </t>
  </si>
  <si>
    <t>S4-1_01</t>
  </si>
  <si>
    <t>Policies to manage material impacts, risks and opportunities related to affected consumers and end-users, including specific groups or all consumers / end-users</t>
  </si>
  <si>
    <t>S4-1_02</t>
  </si>
  <si>
    <t>Description of relevant human rights policy commitments relevant to consumers and/or end-users</t>
  </si>
  <si>
    <t>S4-1_03</t>
  </si>
  <si>
    <t>Disclosure of general approach in relation to respect for human rights of consumers and end-users</t>
  </si>
  <si>
    <t>16 a</t>
  </si>
  <si>
    <t>S4-1_04</t>
  </si>
  <si>
    <t>Disclosure of general approach in relation to engagement with consumers and/or end-users</t>
  </si>
  <si>
    <t>16 b</t>
  </si>
  <si>
    <t>S4-1_05</t>
  </si>
  <si>
    <t>16 c</t>
  </si>
  <si>
    <t>S4-1_06</t>
  </si>
  <si>
    <t xml:space="preserve">Description of whether and how policies are aligned with relevant internationally recognised instruments </t>
  </si>
  <si>
    <t>S4-1_07</t>
  </si>
  <si>
    <t>Disclosure of extent and indication of nature of cases of non-respect of the UN Guiding Principles on Business and Human Rights, ILO Declaration on Fundamental Principles and Rights at Work or OECD Guidelines for Multinational Enterprises that involve consumers and/or end-users</t>
  </si>
  <si>
    <t>S4-1_08</t>
  </si>
  <si>
    <t>AR 9</t>
  </si>
  <si>
    <t>S4-1_09</t>
  </si>
  <si>
    <t>AR 13</t>
  </si>
  <si>
    <t>S4-2_01</t>
  </si>
  <si>
    <t xml:space="preserve">Disclosure of whether and how perspectives of consumers and end-users inform decisions or activities aimed at managing actual and potential impacts </t>
  </si>
  <si>
    <t>S4-2_02</t>
  </si>
  <si>
    <t>Engagement occurs with consumers and end-users  or their legitimate representatives directly, or with credible proxies</t>
  </si>
  <si>
    <t>S4-2_03</t>
  </si>
  <si>
    <t>20 b</t>
  </si>
  <si>
    <t>S4-2_04</t>
  </si>
  <si>
    <t>20 c</t>
  </si>
  <si>
    <t>S4-2_05</t>
  </si>
  <si>
    <t xml:space="preserve">Disclosure of how effectiveness of engagement with  consumers and end-users   is assessed </t>
  </si>
  <si>
    <t>20 d</t>
  </si>
  <si>
    <t>S4-2_06</t>
  </si>
  <si>
    <t xml:space="preserve">Disclosure of steps taken to gain insight into perspectives of  consumers and end-users  / consumers and end-users that may be particularly vulnerable to impacts and (or) marginalised </t>
  </si>
  <si>
    <t>S4-2_07</t>
  </si>
  <si>
    <t>Statement in case the undertaking has not adopted a general process to engage with consumers and/or end-users</t>
  </si>
  <si>
    <t>S4-2_08</t>
  </si>
  <si>
    <t>Disclosure of timeframe for adoption of general process to engage with  consumers and end-users   in case the undertaking has not adopted a general process for engageme</t>
  </si>
  <si>
    <t>S4-2_09</t>
  </si>
  <si>
    <t>Type of role or function handling with engagement</t>
  </si>
  <si>
    <t>S4-3_01</t>
  </si>
  <si>
    <t xml:space="preserve">Disclosure of general approach to and processes for providing or contributing to remedy where undertaking has identified that it connected with a material negative impact on consumers and end-users   </t>
  </si>
  <si>
    <t xml:space="preserve">25 a </t>
  </si>
  <si>
    <t>S4-3_02</t>
  </si>
  <si>
    <t xml:space="preserve">Disclosure of specific channels in place for consumers and end-users to raise concerns or needs directly with undertaking and have them addressed </t>
  </si>
  <si>
    <t xml:space="preserve">25 b </t>
  </si>
  <si>
    <t>S4-3_03</t>
  </si>
  <si>
    <t xml:space="preserve">25 c </t>
  </si>
  <si>
    <t>S4-3_04</t>
  </si>
  <si>
    <t xml:space="preserve">25 d </t>
  </si>
  <si>
    <t>S4-3_05</t>
  </si>
  <si>
    <t xml:space="preserve">Disclosure of whether and how it is assessed that consumers and end-users are aware of and trust structures or processes as way to raise their concerns or needs and have them addressed </t>
  </si>
  <si>
    <t>S4-3_06</t>
  </si>
  <si>
    <t>S4-3_07</t>
  </si>
  <si>
    <t>S4-3_08</t>
  </si>
  <si>
    <t xml:space="preserve">Disclosure of timeframe for channel or processes for raising concerns to be in place </t>
  </si>
  <si>
    <t>S4-3_09</t>
  </si>
  <si>
    <t>Disclosure of whether and how consumers and/or end-users are able to access channels at level of undertaking they are affected by</t>
  </si>
  <si>
    <t>AR 20</t>
  </si>
  <si>
    <t>S4-3_10</t>
  </si>
  <si>
    <t>Third-party mechanisms are accessible to all consumers and/or end-users</t>
  </si>
  <si>
    <t>AR 21</t>
  </si>
  <si>
    <t>S4-3_11</t>
  </si>
  <si>
    <t>S4-3_12</t>
  </si>
  <si>
    <t>consumers and end-users   are allowed to use anonymously channels to raise concerns or needs</t>
  </si>
  <si>
    <t>S4-3_13</t>
  </si>
  <si>
    <t>Number of complaints received from consumers and/or end users during the reporting period</t>
  </si>
  <si>
    <t>S4-4_01</t>
  </si>
  <si>
    <t xml:space="preserve">Description of action planned or underway to prevent, mitigate or remediate material negative impacts on consumers and end-users   </t>
  </si>
  <si>
    <t xml:space="preserve">31 a </t>
  </si>
  <si>
    <t>S4-4_02</t>
  </si>
  <si>
    <t>Description of whether and how action has been taken to provide or enable remedy in relation to an actual material impact</t>
  </si>
  <si>
    <t>31 b</t>
  </si>
  <si>
    <t>S4-4_03</t>
  </si>
  <si>
    <t xml:space="preserve">Description of additional initiatives or processes with primary purpose of delivering positive impacts for consumers and end-users  </t>
  </si>
  <si>
    <t>31 c</t>
  </si>
  <si>
    <t>S4-4_04</t>
  </si>
  <si>
    <t xml:space="preserve">Description of how effectiveness of actions or initiatives in delivering outcomes for consumers and end-users is tracked and assessed </t>
  </si>
  <si>
    <t>31 d</t>
  </si>
  <si>
    <t>S4-4_05</t>
  </si>
  <si>
    <t xml:space="preserve">Description of approach to identifying what action is needed and appropriate in response to particular actual or potential material negative impact on  consumers and end-users   </t>
  </si>
  <si>
    <t>S4-4_06</t>
  </si>
  <si>
    <t xml:space="preserve">Description of approach to taking action in relation to specific material impacts on consumers and end-users   </t>
  </si>
  <si>
    <t>S4-4_07</t>
  </si>
  <si>
    <t xml:space="preserve">Description of approach to ensuring that processes to provide or enable remedy in event of material negative impacts on  consumers and end-users are available and effective in their implementation and outcomes </t>
  </si>
  <si>
    <t>S4-4_08</t>
  </si>
  <si>
    <t xml:space="preserve">Description of what action is planned or underway to mitigate material risks arising from impacts and dependencies on consumers and end-users and how effectiveness is tracked </t>
  </si>
  <si>
    <t>33 a</t>
  </si>
  <si>
    <t>S4-4_09</t>
  </si>
  <si>
    <t xml:space="preserve">Description of what action is planned or underway to pursue material opportunities in relation to consumers and end-users   </t>
  </si>
  <si>
    <t>33 b</t>
  </si>
  <si>
    <t>S4-4_10</t>
  </si>
  <si>
    <t xml:space="preserve">Disclosure of whether and how it is ensured that own practices do not cause or contribute to material negative impacts on consumers and end-users   </t>
  </si>
  <si>
    <t>S4-4_11</t>
  </si>
  <si>
    <t>Disclosure of severe human rights issues and incidents connected to consumers and/or end-users</t>
  </si>
  <si>
    <t>S4-4_12</t>
  </si>
  <si>
    <t xml:space="preserve">Disclosure of resources allocated to management of material impacts </t>
  </si>
  <si>
    <t>S4-4_13</t>
  </si>
  <si>
    <t xml:space="preserve">Disclosure of whether and how undertaking seeks to use leverage with relevant business relationships to manage material negative impacts affecting  consumers and end-users   </t>
  </si>
  <si>
    <t>AR 27</t>
  </si>
  <si>
    <t>S4-4_14</t>
  </si>
  <si>
    <t xml:space="preserve">Disclosure of how participation in industry or multi-stakeholder initiative and undertaking's own involvement is aiming to address material impacts </t>
  </si>
  <si>
    <t>S4-4_15</t>
  </si>
  <si>
    <t xml:space="preserve">Disclosure of how consumers and end-users play role in decisions regarding design and implementation of programmes or processes </t>
  </si>
  <si>
    <t>S4-4_16</t>
  </si>
  <si>
    <t xml:space="preserve">Information about intended or achieved positive outcomes of programmes or processes for consumers and end-users   </t>
  </si>
  <si>
    <t>S4-4_17</t>
  </si>
  <si>
    <t>Initiatives or processes whose primary aim is to deliver positive impacts for consumers and/or end-users are designed also to support achievement of one or more of Sustainable Development Goals</t>
  </si>
  <si>
    <t>S4-4_18</t>
  </si>
  <si>
    <t>S4-5_01</t>
  </si>
  <si>
    <t>Disclosure of whether and how consumers and end-users were engaged directly in setting targets</t>
  </si>
  <si>
    <t>S4-5_02</t>
  </si>
  <si>
    <t>Disclosure of whether and how consumers and end-users were engaged directly in tracking performance against targets</t>
  </si>
  <si>
    <t>41 b</t>
  </si>
  <si>
    <t>S4-5_03</t>
  </si>
  <si>
    <t>Disclosure of whether and how consumers and end-users were engaged directly in identifying lessons or improvements as result of undertaking’s performance</t>
  </si>
  <si>
    <t>41 c</t>
  </si>
  <si>
    <t>S4-5_04</t>
  </si>
  <si>
    <t xml:space="preserve">Disclosure of intended outcomes to be achieved in lives of consumers and end-users   </t>
  </si>
  <si>
    <t>AR 42 a</t>
  </si>
  <si>
    <t>S4-5_05</t>
  </si>
  <si>
    <t xml:space="preserve">Information about stability over time of target in terms of definitions and methodologies to enable comparability </t>
  </si>
  <si>
    <t>AR 42 b</t>
  </si>
  <si>
    <t>S4-5_06</t>
  </si>
  <si>
    <t xml:space="preserve">Disclosure of references to standards or commitments on which target is based </t>
  </si>
  <si>
    <t>Gap</t>
  </si>
  <si>
    <t>— none —</t>
  </si>
  <si>
    <t>No ESRS datapoint (structural gap). KPIs derive from framework criteria, not ESRS.</t>
  </si>
  <si>
    <t>Framework / instrument</t>
  </si>
  <si>
    <t>Functional category</t>
  </si>
  <si>
    <t>Stakeholder source</t>
  </si>
  <si>
    <t>Scope status / reason</t>
  </si>
  <si>
    <t>Framework (finance classification)</t>
  </si>
  <si>
    <t>OUT — not scored  [activity-eligibility null · NACE C10.20]</t>
  </si>
  <si>
    <t>Rating / index</t>
  </si>
  <si>
    <t>OUT — not scored  [rated-not-actor]</t>
  </si>
  <si>
    <t>Dow Jones Sustainability Index</t>
  </si>
  <si>
    <t>Initiative (engagement)</t>
  </si>
  <si>
    <t>OUT — engagement context, no own org-level obligation (retailer may ask FIP sourcing, but no reporting duty); topics already in MSC/ASC/GDST/IUU</t>
  </si>
  <si>
    <t>Initiative (coalition)</t>
  </si>
  <si>
    <t>OUT — not scored  [cannot-join coalition]</t>
  </si>
  <si>
    <t>Concept / goal framework</t>
  </si>
  <si>
    <t>OUT — aspirational goals, no corporate reporting obligation / no datapoint imposed (fails Gate 2); voluntary activity-mapping only</t>
  </si>
  <si>
    <t>Initiative (campaign)</t>
  </si>
  <si>
    <t>OUT — industry decarbonisation campaign (explore -15C), no reporting requirement / no own org-level obligation (fails Gate 2); retained as Tier-4 cold-chain engagement context</t>
  </si>
  <si>
    <t>These 7 instruments are catalogued in the Phase 2 landscape but were removed from the Phase 3 coverage matrix because they impose no own organisation-level obligation (Gate-2 fails) or are firm/membership switch-offs. ISSF (tuna opt-in) and the CSRD/ESRS baseline remain as columns in the matrix and are therefore not listed here.</t>
  </si>
  <si>
    <t>sort idx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</si>
</sst>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charset val="1"/>
    </font>
    <font>
      <sz val="10"/>
      <name val="Arial"/>
      <family val="2"/>
    </font>
    <font>
      <sz val="11"/>
      <name val="Cambria"/>
      <family val="1"/>
    </font>
    <font>
      <b/>
      <sz val="14"/>
      <name val="Cambria"/>
      <family val="1"/>
    </font>
    <font>
      <b/>
      <sz val="12"/>
      <color rgb="FF1F4E79"/>
      <name val="Cambria"/>
      <family val="1"/>
    </font>
    <font>
      <b/>
      <sz val="13"/>
      <color rgb="FF1F4E5F"/>
      <name val="Arial"/>
      <family val="2"/>
      <charset val="1"/>
    </font>
    <font>
      <i/>
      <sz val="8"/>
      <color rgb="FF808080"/>
      <name val="Arial"/>
      <family val="2"/>
      <charset val="1"/>
    </font>
    <font>
      <sz val="8"/>
      <color rgb="FF808080"/>
      <name val="Arial"/>
      <family val="2"/>
      <charset val="1"/>
    </font>
    <font>
      <b/>
      <sz val="11"/>
      <color rgb="FF0000FF"/>
      <name val="Arial"/>
      <family val="2"/>
      <charset val="1"/>
    </font>
    <font>
      <sz val="7"/>
      <color rgb="FF808080"/>
      <name val="Arial"/>
      <family val="2"/>
      <charset val="1"/>
    </font>
    <font>
      <sz val="8"/>
      <name val="Arial"/>
      <family val="2"/>
      <charset val="1"/>
    </font>
    <font>
      <b/>
      <sz val="8"/>
      <name val="Arial"/>
      <family val="2"/>
      <charset val="1"/>
    </font>
    <font>
      <b/>
      <sz val="11"/>
      <color rgb="FFFFFFFF"/>
      <name val="Arial"/>
      <family val="2"/>
      <charset val="1"/>
    </font>
    <font>
      <b/>
      <sz val="8"/>
      <color rgb="FFFFFFFF"/>
      <name val="Arial"/>
      <family val="2"/>
      <charset val="1"/>
    </font>
    <font>
      <b/>
      <sz val="9"/>
      <color rgb="FFFFFFFF"/>
      <name val="Arial"/>
      <family val="2"/>
      <charset val="1"/>
    </font>
    <font>
      <b/>
      <sz val="11"/>
      <name val="Cambria"/>
      <family val="1"/>
      <charset val="1"/>
    </font>
    <font>
      <sz val="9"/>
      <name val="Arial"/>
      <family val="2"/>
      <charset val="1"/>
    </font>
    <font>
      <sz val="9"/>
      <color rgb="FF808080"/>
      <name val="Arial"/>
      <family val="2"/>
      <charset val="1"/>
    </font>
    <font>
      <b/>
      <sz val="9"/>
      <name val="Arial"/>
      <family val="2"/>
      <charset val="1"/>
    </font>
    <font>
      <b/>
      <sz val="8"/>
      <color rgb="FFBF8F00"/>
      <name val="Arial"/>
      <family val="2"/>
      <charset val="1"/>
    </font>
    <font>
      <b/>
      <i/>
      <sz val="9"/>
      <name val="Arial"/>
      <family val="2"/>
      <charset val="1"/>
    </font>
    <font>
      <i/>
      <sz val="9"/>
      <name val="Arial"/>
      <family val="2"/>
      <charset val="1"/>
    </font>
    <font>
      <b/>
      <sz val="11"/>
      <name val="Calibri"/>
      <family val="2"/>
      <charset val="1"/>
    </font>
    <font>
      <b/>
      <sz val="11"/>
      <name val="Cambria"/>
      <family val="1"/>
    </font>
    <font>
      <i/>
      <sz val="9"/>
      <name val="Cambria"/>
      <family val="1"/>
    </font>
    <font>
      <b/>
      <sz val="11"/>
      <color rgb="FFFFFFFF"/>
      <name val="Cambria"/>
      <family val="1"/>
    </font>
    <font>
      <i/>
      <sz val="9"/>
      <color rgb="FF808080"/>
      <name val="Arial"/>
      <family val="2"/>
      <charset val="1"/>
    </font>
    <font>
      <b/>
      <sz val="11"/>
      <color rgb="FFFFFFFF"/>
      <name val="Cambria"/>
      <family val="1"/>
      <charset val="1"/>
    </font>
    <font>
      <i/>
      <sz val="11"/>
      <name val="Cambria"/>
      <family val="1"/>
    </font>
    <font>
      <b/>
      <i/>
      <sz val="8"/>
      <color rgb="FF808080"/>
      <name val="Cambria"/>
      <family val="1"/>
    </font>
  </fonts>
  <fills count="20">
    <fill>
      <patternFill patternType="none"/>
    </fill>
    <fill>
      <patternFill patternType="gray125"/>
    </fill>
    <fill>
      <patternFill patternType="solid">
        <fgColor rgb="FFDCE6F1"/>
        <bgColor rgb="FFE4DFEC"/>
      </patternFill>
    </fill>
    <fill>
      <patternFill patternType="solid">
        <fgColor rgb="FFE4DFEC"/>
        <bgColor rgb="FFDCE6F1"/>
      </patternFill>
    </fill>
    <fill>
      <patternFill patternType="solid">
        <fgColor rgb="FFFDE9D9"/>
        <bgColor rgb="FFFDEADA"/>
      </patternFill>
    </fill>
    <fill>
      <patternFill patternType="solid">
        <fgColor rgb="FFEBF1DE"/>
        <bgColor rgb="FFEDEDED"/>
      </patternFill>
    </fill>
    <fill>
      <patternFill patternType="solid">
        <fgColor rgb="FFF2F2F2"/>
        <bgColor rgb="FFF5F5F5"/>
      </patternFill>
    </fill>
    <fill>
      <patternFill patternType="solid">
        <fgColor theme="0"/>
        <bgColor rgb="FFF5F5F5"/>
      </patternFill>
    </fill>
    <fill>
      <patternFill patternType="solid">
        <fgColor rgb="FFFFFF00"/>
        <bgColor rgb="FFFFEB9C"/>
      </patternFill>
    </fill>
    <fill>
      <patternFill patternType="solid">
        <fgColor rgb="FFFFF2CC"/>
        <bgColor rgb="FFFDEADA"/>
      </patternFill>
    </fill>
    <fill>
      <patternFill patternType="solid">
        <fgColor rgb="FF1F4E5F"/>
        <bgColor rgb="FF1F4E79"/>
      </patternFill>
    </fill>
    <fill>
      <patternFill patternType="solid">
        <fgColor rgb="FF595959"/>
        <bgColor rgb="FF2E5A2E"/>
      </patternFill>
    </fill>
    <fill>
      <patternFill patternType="solid">
        <fgColor rgb="FF2E5A2E"/>
        <bgColor rgb="FF1F4E5F"/>
      </patternFill>
    </fill>
    <fill>
      <patternFill patternType="solid">
        <fgColor rgb="FFEDEDED"/>
        <bgColor rgb="FFF2F2F2"/>
      </patternFill>
    </fill>
    <fill>
      <patternFill patternType="solid">
        <fgColor rgb="FFFFEB9C"/>
        <bgColor rgb="FFFFF2CC"/>
      </patternFill>
    </fill>
    <fill>
      <patternFill patternType="solid">
        <fgColor rgb="FF1F4E79"/>
        <bgColor rgb="FF1F4E5F"/>
      </patternFill>
    </fill>
    <fill>
      <patternFill patternType="solid">
        <fgColor theme="9" tint="0.79979857783745845"/>
        <bgColor rgb="FFFDE9D9"/>
      </patternFill>
    </fill>
    <fill>
      <patternFill patternType="solid">
        <fgColor rgb="FFF2DCDB"/>
        <bgColor rgb="FFE4DFEC"/>
      </patternFill>
    </fill>
    <fill>
      <patternFill patternType="solid">
        <fgColor theme="0"/>
        <bgColor indexed="64"/>
      </patternFill>
    </fill>
    <fill>
      <patternFill patternType="solid">
        <fgColor rgb="FFFFFFFF"/>
        <bgColor indexed="64"/>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D0D0D0"/>
      </left>
      <right style="thin">
        <color rgb="FFD0D0D0"/>
      </right>
      <top style="thin">
        <color rgb="FFD0D0D0"/>
      </top>
      <bottom style="thin">
        <color rgb="FFD0D0D0"/>
      </bottom>
      <diagonal/>
    </border>
    <border>
      <left/>
      <right style="thin">
        <color rgb="FFBFBFBF"/>
      </right>
      <top/>
      <bottom/>
      <diagonal/>
    </border>
    <border>
      <left style="thin">
        <color rgb="FFBFBFBF"/>
      </left>
      <right/>
      <top/>
      <bottom/>
      <diagonal/>
    </border>
  </borders>
  <cellStyleXfs count="1">
    <xf numFmtId="0" fontId="0" fillId="0" borderId="0"/>
  </cellStyleXfs>
  <cellXfs count="73">
    <xf numFmtId="0" fontId="0" fillId="0" borderId="0" xfId="0"/>
    <xf numFmtId="0" fontId="0" fillId="7" borderId="3" xfId="0" applyFill="1" applyBorder="1" applyAlignment="1">
      <alignment horizontal="left" wrapText="1"/>
    </xf>
    <xf numFmtId="0" fontId="5" fillId="0" borderId="0" xfId="0" applyFont="1"/>
    <xf numFmtId="0" fontId="2" fillId="0" borderId="0" xfId="0" applyFont="1"/>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2"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xf numFmtId="0" fontId="2" fillId="6" borderId="0" xfId="0" applyFont="1" applyFill="1" applyAlignment="1">
      <alignment vertical="top" wrapText="1"/>
    </xf>
    <xf numFmtId="0" fontId="0" fillId="0" borderId="0" xfId="0" applyAlignment="1">
      <alignment horizontal="center"/>
    </xf>
    <xf numFmtId="0" fontId="0" fillId="7" borderId="0" xfId="0" applyFill="1"/>
    <xf numFmtId="0" fontId="6" fillId="0" borderId="0" xfId="0" applyFont="1" applyAlignment="1">
      <alignment horizontal="right"/>
    </xf>
    <xf numFmtId="0" fontId="7" fillId="0" borderId="0" xfId="0" applyFont="1"/>
    <xf numFmtId="0" fontId="8" fillId="8" borderId="0" xfId="0" applyFont="1" applyFill="1"/>
    <xf numFmtId="0" fontId="9" fillId="2" borderId="0" xfId="0" applyFont="1" applyFill="1"/>
    <xf numFmtId="0" fontId="9" fillId="3" borderId="0" xfId="0" applyFont="1" applyFill="1"/>
    <xf numFmtId="0" fontId="9" fillId="4" borderId="0" xfId="0" applyFont="1" applyFill="1"/>
    <xf numFmtId="0" fontId="9" fillId="5" borderId="0" xfId="0" applyFont="1" applyFill="1"/>
    <xf numFmtId="0" fontId="9" fillId="6" borderId="0" xfId="0" applyFont="1" applyFill="1"/>
    <xf numFmtId="0" fontId="10" fillId="0" borderId="0" xfId="0" applyFont="1"/>
    <xf numFmtId="0" fontId="11" fillId="9" borderId="0" xfId="0" applyFont="1" applyFill="1" applyAlignment="1">
      <alignment horizontal="center" vertical="center" wrapText="1"/>
    </xf>
    <xf numFmtId="0" fontId="12" fillId="10" borderId="0" xfId="0" applyFont="1" applyFill="1" applyAlignment="1">
      <alignment horizontal="center" vertical="center"/>
    </xf>
    <xf numFmtId="0" fontId="11" fillId="2" borderId="0" xfId="0" applyFont="1" applyFill="1" applyAlignment="1">
      <alignment horizontal="center" textRotation="90" wrapText="1"/>
    </xf>
    <xf numFmtId="0" fontId="11" fillId="3" borderId="0" xfId="0" applyFont="1" applyFill="1" applyAlignment="1">
      <alignment horizontal="center" textRotation="90" wrapText="1"/>
    </xf>
    <xf numFmtId="0" fontId="11" fillId="4" borderId="0" xfId="0" applyFont="1" applyFill="1" applyAlignment="1">
      <alignment horizontal="center" textRotation="90" wrapText="1"/>
    </xf>
    <xf numFmtId="0" fontId="11" fillId="5" borderId="0" xfId="0" applyFont="1" applyFill="1" applyAlignment="1">
      <alignment horizontal="center" textRotation="90" wrapText="1"/>
    </xf>
    <xf numFmtId="0" fontId="11" fillId="6" borderId="0" xfId="0" applyFont="1" applyFill="1" applyAlignment="1">
      <alignment horizontal="center" textRotation="90" wrapText="1"/>
    </xf>
    <xf numFmtId="0" fontId="13" fillId="11" borderId="0" xfId="0" applyFont="1" applyFill="1" applyAlignment="1">
      <alignment horizontal="center" vertical="center" wrapText="1"/>
    </xf>
    <xf numFmtId="0" fontId="14" fillId="12" borderId="1" xfId="0" applyFont="1" applyFill="1" applyBorder="1" applyAlignment="1">
      <alignment horizontal="center" vertical="center" wrapText="1"/>
    </xf>
    <xf numFmtId="0" fontId="15" fillId="0" borderId="0" xfId="0" applyFont="1"/>
    <xf numFmtId="0" fontId="16" fillId="0" borderId="0" xfId="0" applyFont="1"/>
    <xf numFmtId="0" fontId="16" fillId="0" borderId="0" xfId="0" applyFont="1" applyAlignment="1">
      <alignment vertical="center" wrapText="1"/>
    </xf>
    <xf numFmtId="0" fontId="16" fillId="0" borderId="0" xfId="0" applyFont="1" applyAlignment="1">
      <alignment horizontal="center"/>
    </xf>
    <xf numFmtId="0" fontId="17" fillId="0" borderId="0" xfId="0" applyFont="1" applyAlignment="1">
      <alignment horizontal="center"/>
    </xf>
    <xf numFmtId="0" fontId="16" fillId="0" borderId="2" xfId="0" applyFont="1" applyBorder="1" applyAlignment="1">
      <alignment horizontal="center"/>
    </xf>
    <xf numFmtId="0" fontId="16" fillId="8" borderId="2" xfId="0" applyFont="1" applyFill="1" applyBorder="1" applyAlignment="1">
      <alignment horizontal="center"/>
    </xf>
    <xf numFmtId="0" fontId="18" fillId="0" borderId="0" xfId="0" applyFont="1"/>
    <xf numFmtId="0" fontId="10" fillId="13" borderId="1" xfId="0" applyFont="1" applyFill="1" applyBorder="1" applyAlignment="1">
      <alignment horizontal="center" vertical="center" wrapText="1"/>
    </xf>
    <xf numFmtId="0" fontId="16" fillId="9" borderId="0" xfId="0" applyFont="1" applyFill="1"/>
    <xf numFmtId="0" fontId="16" fillId="9" borderId="0" xfId="0" applyFont="1" applyFill="1" applyAlignment="1">
      <alignment vertical="center" wrapText="1"/>
    </xf>
    <xf numFmtId="0" fontId="16" fillId="9" borderId="0" xfId="0" applyFont="1" applyFill="1" applyAlignment="1">
      <alignment horizontal="center"/>
    </xf>
    <xf numFmtId="0" fontId="19" fillId="9" borderId="0" xfId="0" applyFont="1" applyFill="1" applyAlignment="1">
      <alignment horizontal="center"/>
    </xf>
    <xf numFmtId="0" fontId="20" fillId="0" borderId="0" xfId="0" applyFont="1"/>
    <xf numFmtId="0" fontId="11" fillId="0" borderId="0" xfId="0" applyFont="1"/>
    <xf numFmtId="0" fontId="21" fillId="0" borderId="0" xfId="0" applyFont="1"/>
    <xf numFmtId="0" fontId="11" fillId="9" borderId="1" xfId="0" applyFont="1" applyFill="1" applyBorder="1" applyAlignment="1">
      <alignment horizontal="center" vertical="center" wrapText="1"/>
    </xf>
    <xf numFmtId="0" fontId="0" fillId="7" borderId="0" xfId="0" applyFill="1" applyAlignment="1">
      <alignment horizontal="center"/>
    </xf>
    <xf numFmtId="0" fontId="22" fillId="0" borderId="0" xfId="0" applyFont="1"/>
    <xf numFmtId="0" fontId="0" fillId="14" borderId="1" xfId="0" applyFill="1" applyBorder="1" applyAlignment="1">
      <alignment horizontal="center"/>
    </xf>
    <xf numFmtId="0" fontId="3" fillId="0" borderId="0" xfId="0" applyFont="1"/>
    <xf numFmtId="0" fontId="23" fillId="0" borderId="0" xfId="0" applyFont="1"/>
    <xf numFmtId="0" fontId="24" fillId="0" borderId="0" xfId="0" applyFont="1"/>
    <xf numFmtId="0" fontId="25" fillId="15" borderId="1" xfId="0" applyFont="1" applyFill="1" applyBorder="1" applyAlignment="1">
      <alignment horizontal="center"/>
    </xf>
    <xf numFmtId="0" fontId="12" fillId="10" borderId="0" xfId="0" applyFont="1" applyFill="1" applyAlignment="1">
      <alignment horizontal="center" vertical="center" wrapText="1"/>
    </xf>
    <xf numFmtId="0" fontId="26" fillId="0" borderId="0" xfId="0" applyFont="1" applyAlignment="1">
      <alignment vertical="top" wrapText="1"/>
    </xf>
    <xf numFmtId="0" fontId="26" fillId="16" borderId="0" xfId="0" applyFont="1" applyFill="1" applyAlignment="1">
      <alignment vertical="top" wrapText="1"/>
    </xf>
    <xf numFmtId="0" fontId="0" fillId="16" borderId="0" xfId="0" applyFill="1"/>
    <xf numFmtId="0" fontId="26" fillId="7" borderId="0" xfId="0" applyFont="1" applyFill="1" applyAlignment="1">
      <alignment vertical="top" wrapText="1"/>
    </xf>
    <xf numFmtId="0" fontId="27" fillId="10" borderId="0" xfId="0" applyFont="1" applyFill="1" applyAlignment="1">
      <alignment vertical="top" wrapText="1"/>
    </xf>
    <xf numFmtId="0" fontId="0" fillId="0" borderId="0" xfId="0" applyAlignment="1">
      <alignment wrapText="1"/>
    </xf>
    <xf numFmtId="0" fontId="0" fillId="17" borderId="0" xfId="0" applyFill="1"/>
    <xf numFmtId="0" fontId="0" fillId="0" borderId="0" xfId="0" applyAlignment="1">
      <alignment vertical="top" wrapText="1"/>
    </xf>
    <xf numFmtId="0" fontId="28" fillId="0" borderId="0" xfId="0" applyFont="1" applyAlignment="1">
      <alignment vertical="top" wrapText="1"/>
    </xf>
    <xf numFmtId="0" fontId="0" fillId="18" borderId="0" xfId="0" applyFill="1"/>
    <xf numFmtId="0" fontId="28" fillId="18" borderId="0" xfId="0" applyFont="1" applyFill="1"/>
    <xf numFmtId="0" fontId="0" fillId="18" borderId="0" xfId="0" applyFill="1" applyAlignment="1">
      <alignment vertical="top" wrapText="1"/>
    </xf>
    <xf numFmtId="0" fontId="2" fillId="18" borderId="0" xfId="0" applyFont="1" applyFill="1"/>
    <xf numFmtId="0" fontId="29" fillId="15" borderId="4" xfId="0" applyFont="1" applyFill="1" applyBorder="1" applyAlignment="1">
      <alignment horizontal="center"/>
    </xf>
    <xf numFmtId="0" fontId="0" fillId="19" borderId="1" xfId="0" applyFill="1" applyBorder="1" applyAlignment="1">
      <alignment horizontal="center"/>
    </xf>
    <xf numFmtId="0" fontId="0" fillId="19" borderId="1" xfId="0" applyFill="1" applyBorder="1"/>
  </cellXfs>
  <cellStyles count="1">
    <cellStyle name="Normal" xfId="0" builtinId="0"/>
  </cellStyles>
  <dxfs count="5">
    <dxf>
      <fill>
        <patternFill patternType="solid">
          <fgColor indexed="64"/>
          <bgColor rgb="FFD7E4BD"/>
        </patternFill>
      </fill>
    </dxf>
    <dxf>
      <font>
        <color rgb="FFC0C0C0"/>
      </font>
      <fill>
        <patternFill>
          <bgColor rgb="FFF5F5F5"/>
        </patternFill>
      </fill>
    </dxf>
    <dxf>
      <fill>
        <patternFill>
          <bgColor rgb="FFA5D6A7"/>
        </patternFill>
      </fill>
    </dxf>
    <dxf>
      <font>
        <b/>
        <color rgb="FFFFFFFF"/>
      </font>
      <fill>
        <patternFill>
          <bgColor rgb="FF2E7D32"/>
        </patternFill>
      </fill>
    </dxf>
    <dxf>
      <font>
        <strike/>
        <color rgb="FF999999"/>
      </font>
      <fill>
        <patternFill>
          <bgColor rgb="FFD9D9D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E4DFEC"/>
      <rgbColor rgb="FF993366"/>
      <rgbColor rgb="FFFFF2CC"/>
      <rgbColor rgb="FFDCE6F1"/>
      <rgbColor rgb="FF660066"/>
      <rgbColor rgb="FFFDEADA"/>
      <rgbColor rgb="FF0066CC"/>
      <rgbColor rgb="FFD0D0D0"/>
      <rgbColor rgb="FF000080"/>
      <rgbColor rgb="FFFF00FF"/>
      <rgbColor rgb="FFFDE9D9"/>
      <rgbColor rgb="FF00FFFF"/>
      <rgbColor rgb="FF800080"/>
      <rgbColor rgb="FF800000"/>
      <rgbColor rgb="FF008080"/>
      <rgbColor rgb="FF0000FF"/>
      <rgbColor rgb="FF00CCFF"/>
      <rgbColor rgb="FFF2F2F2"/>
      <rgbColor rgb="FFEBF1DE"/>
      <rgbColor rgb="FFFFEB9C"/>
      <rgbColor rgb="FFA5D6A7"/>
      <rgbColor rgb="FFD9D9D9"/>
      <rgbColor rgb="FFBFBFBF"/>
      <rgbColor rgb="FFF2DCDB"/>
      <rgbColor rgb="FF3366FF"/>
      <rgbColor rgb="FFF5F5F5"/>
      <rgbColor rgb="FFEDEDED"/>
      <rgbColor rgb="FFD7E4BD"/>
      <rgbColor rgb="FFBF8F00"/>
      <rgbColor rgb="FFFF6600"/>
      <rgbColor rgb="FF595959"/>
      <rgbColor rgb="FF999999"/>
      <rgbColor rgb="FF1F4E5F"/>
      <rgbColor rgb="FF2E7D32"/>
      <rgbColor rgb="FF003300"/>
      <rgbColor rgb="FF333300"/>
      <rgbColor rgb="FF993300"/>
      <rgbColor rgb="FF993366"/>
      <rgbColor rgb="FF1F4E79"/>
      <rgbColor rgb="FF2E5A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A03E866-6518-B74F-BF30-B395ECB98754}">
  <we:reference id="wa200009404" version="1.0.0.8" store="en-US" storeType="OMEX"/>
  <we:alternateReferences>
    <we:reference id="WA200009404" version="1.0.0.8" store="WA200009404" storeType="OMEX"/>
  </we:alternateReferences>
  <we:properties>
    <we:property name="claude.fileId" value="&quot;eb76d0b6-a357-4f84-9bbc-757ebf693d37&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Q977"/>
  <sheetViews>
    <sheetView zoomScaleNormal="100" workbookViewId="0">
      <selection activeCell="B43" sqref="B43"/>
    </sheetView>
  </sheetViews>
  <sheetFormatPr baseColWidth="10" defaultColWidth="8.6640625" defaultRowHeight="15" x14ac:dyDescent="0.2"/>
  <cols>
    <col min="1" max="1" width="3" customWidth="1"/>
    <col min="2" max="2" width="105" customWidth="1"/>
    <col min="3" max="121" width="8.6640625" style="66"/>
  </cols>
  <sheetData>
    <row r="1" spans="1:3" ht="18.75" customHeight="1" x14ac:dyDescent="0.2">
      <c r="A1" s="3"/>
      <c r="B1" s="4" t="s">
        <v>0</v>
      </c>
      <c r="C1" s="69"/>
    </row>
    <row r="2" spans="1:3" ht="15" customHeight="1" x14ac:dyDescent="0.2">
      <c r="A2" s="3"/>
      <c r="B2" s="5"/>
      <c r="C2" s="69"/>
    </row>
    <row r="3" spans="1:3" ht="15" customHeight="1" x14ac:dyDescent="0.2">
      <c r="A3" s="3"/>
      <c r="B3" s="6" t="s">
        <v>1</v>
      </c>
      <c r="C3" s="69"/>
    </row>
    <row r="4" spans="1:3" ht="42" customHeight="1" x14ac:dyDescent="0.2">
      <c r="A4" s="3"/>
      <c r="B4" s="5" t="s">
        <v>2</v>
      </c>
      <c r="C4" s="69"/>
    </row>
    <row r="5" spans="1:3" ht="42" customHeight="1" x14ac:dyDescent="0.2">
      <c r="A5" s="3"/>
      <c r="B5" s="5"/>
      <c r="C5" s="69"/>
    </row>
    <row r="6" spans="1:3" ht="15" customHeight="1" x14ac:dyDescent="0.2">
      <c r="A6" s="3"/>
      <c r="B6" s="6" t="s">
        <v>3</v>
      </c>
      <c r="C6" s="69"/>
    </row>
    <row r="7" spans="1:3" ht="15" customHeight="1" x14ac:dyDescent="0.2">
      <c r="A7" s="3"/>
      <c r="B7" s="5" t="s">
        <v>4</v>
      </c>
      <c r="C7" s="69"/>
    </row>
    <row r="8" spans="1:3" ht="15" customHeight="1" x14ac:dyDescent="0.2">
      <c r="A8" s="3"/>
      <c r="B8" s="5" t="s">
        <v>5</v>
      </c>
      <c r="C8" s="69"/>
    </row>
    <row r="9" spans="1:3" ht="15" customHeight="1" x14ac:dyDescent="0.2">
      <c r="A9" s="3"/>
      <c r="B9" s="5" t="s">
        <v>6</v>
      </c>
      <c r="C9" s="69"/>
    </row>
    <row r="10" spans="1:3" ht="15" customHeight="1" x14ac:dyDescent="0.2">
      <c r="A10" s="3"/>
      <c r="B10" s="5" t="s">
        <v>7</v>
      </c>
      <c r="C10" s="69"/>
    </row>
    <row r="11" spans="1:3" ht="27.75" customHeight="1" x14ac:dyDescent="0.2">
      <c r="A11" s="3"/>
      <c r="B11" s="5" t="s">
        <v>8</v>
      </c>
      <c r="C11" s="69"/>
    </row>
    <row r="12" spans="1:3" ht="15" customHeight="1" x14ac:dyDescent="0.2">
      <c r="A12" s="3"/>
      <c r="B12" s="5"/>
      <c r="C12" s="69"/>
    </row>
    <row r="13" spans="1:3" ht="15" customHeight="1" x14ac:dyDescent="0.2">
      <c r="A13" s="3"/>
      <c r="B13" s="6" t="s">
        <v>9</v>
      </c>
      <c r="C13" s="69"/>
    </row>
    <row r="14" spans="1:3" ht="27.75" customHeight="1" x14ac:dyDescent="0.2">
      <c r="A14" s="3"/>
      <c r="B14" s="5" t="s">
        <v>10</v>
      </c>
      <c r="C14" s="69"/>
    </row>
    <row r="15" spans="1:3" ht="15" customHeight="1" x14ac:dyDescent="0.2">
      <c r="A15" s="3"/>
      <c r="B15" s="5" t="s">
        <v>11</v>
      </c>
      <c r="C15" s="69"/>
    </row>
    <row r="16" spans="1:3" ht="15" customHeight="1" x14ac:dyDescent="0.2">
      <c r="A16" s="3"/>
      <c r="B16" s="5" t="s">
        <v>12</v>
      </c>
      <c r="C16" s="69"/>
    </row>
    <row r="17" spans="1:3" ht="15" customHeight="1" x14ac:dyDescent="0.2">
      <c r="A17" s="3"/>
      <c r="B17" s="5" t="s">
        <v>13</v>
      </c>
      <c r="C17" s="69"/>
    </row>
    <row r="18" spans="1:3" ht="15" customHeight="1" x14ac:dyDescent="0.2">
      <c r="A18" s="3"/>
      <c r="B18" s="5"/>
      <c r="C18" s="69"/>
    </row>
    <row r="19" spans="1:3" ht="27.75" customHeight="1" x14ac:dyDescent="0.2">
      <c r="A19" s="3"/>
      <c r="B19" s="6" t="s">
        <v>14</v>
      </c>
      <c r="C19" s="69"/>
    </row>
    <row r="20" spans="1:3" ht="27.75" customHeight="1" x14ac:dyDescent="0.2">
      <c r="A20" s="3"/>
      <c r="B20" s="5" t="s">
        <v>15</v>
      </c>
      <c r="C20" s="69"/>
    </row>
    <row r="21" spans="1:3" ht="15" customHeight="1" x14ac:dyDescent="0.2">
      <c r="A21" s="3"/>
      <c r="B21" s="5"/>
      <c r="C21" s="69"/>
    </row>
    <row r="22" spans="1:3" ht="15" customHeight="1" x14ac:dyDescent="0.2">
      <c r="A22" s="3"/>
      <c r="B22" s="6" t="s">
        <v>16</v>
      </c>
      <c r="C22" s="69"/>
    </row>
    <row r="23" spans="1:3" ht="42" customHeight="1" x14ac:dyDescent="0.2">
      <c r="A23" s="3"/>
      <c r="B23" s="5" t="s">
        <v>17</v>
      </c>
      <c r="C23" s="69"/>
    </row>
    <row r="24" spans="1:3" ht="27.75" customHeight="1" x14ac:dyDescent="0.2">
      <c r="A24" s="3"/>
      <c r="B24" s="5"/>
      <c r="C24" s="69"/>
    </row>
    <row r="25" spans="1:3" ht="42" customHeight="1" x14ac:dyDescent="0.2">
      <c r="A25" s="3"/>
      <c r="B25" s="6" t="s">
        <v>18</v>
      </c>
      <c r="C25" s="69"/>
    </row>
    <row r="26" spans="1:3" ht="39" customHeight="1" x14ac:dyDescent="0.2">
      <c r="A26" s="3"/>
      <c r="B26" s="5" t="s">
        <v>19</v>
      </c>
      <c r="C26" s="69"/>
    </row>
    <row r="27" spans="1:3" ht="15" customHeight="1" x14ac:dyDescent="0.2">
      <c r="A27" s="3"/>
      <c r="B27" s="5"/>
      <c r="C27" s="69"/>
    </row>
    <row r="28" spans="1:3" ht="15" customHeight="1" x14ac:dyDescent="0.2">
      <c r="A28" s="3"/>
      <c r="B28" s="6" t="s">
        <v>20</v>
      </c>
      <c r="C28" s="69"/>
    </row>
    <row r="29" spans="1:3" ht="15" customHeight="1" x14ac:dyDescent="0.2">
      <c r="A29" s="3"/>
      <c r="B29" s="5" t="s">
        <v>21</v>
      </c>
      <c r="C29" s="69"/>
    </row>
    <row r="30" spans="1:3" ht="15" customHeight="1" x14ac:dyDescent="0.2">
      <c r="A30" s="3"/>
      <c r="B30" s="7" t="s">
        <v>22</v>
      </c>
      <c r="C30" s="69"/>
    </row>
    <row r="31" spans="1:3" ht="15" customHeight="1" x14ac:dyDescent="0.2">
      <c r="A31" s="3"/>
      <c r="B31" s="8" t="s">
        <v>23</v>
      </c>
      <c r="C31" s="69"/>
    </row>
    <row r="32" spans="1:3" ht="15" customHeight="1" x14ac:dyDescent="0.2">
      <c r="A32" s="3"/>
      <c r="B32" s="9" t="s">
        <v>24</v>
      </c>
      <c r="C32" s="69"/>
    </row>
    <row r="33" spans="1:3" ht="15" customHeight="1" x14ac:dyDescent="0.2">
      <c r="A33" s="3"/>
      <c r="B33" s="10" t="s">
        <v>25</v>
      </c>
      <c r="C33" s="69"/>
    </row>
    <row r="34" spans="1:3" ht="15" customHeight="1" x14ac:dyDescent="0.2">
      <c r="A34" s="3"/>
      <c r="B34" s="11" t="s">
        <v>26</v>
      </c>
      <c r="C34" s="69"/>
    </row>
    <row r="35" spans="1:3" ht="348" customHeight="1" x14ac:dyDescent="0.2">
      <c r="A35" s="3"/>
      <c r="B35" s="5"/>
      <c r="C35" s="69"/>
    </row>
    <row r="36" spans="1:3" ht="147" customHeight="1" x14ac:dyDescent="0.2">
      <c r="A36" s="3"/>
      <c r="B36" s="6" t="s">
        <v>27</v>
      </c>
      <c r="C36" s="69"/>
    </row>
    <row r="37" spans="1:3" ht="191.25" customHeight="1" x14ac:dyDescent="0.2">
      <c r="A37" s="3"/>
      <c r="B37" s="5" t="s">
        <v>28</v>
      </c>
      <c r="C37" s="69"/>
    </row>
    <row r="38" spans="1:3" ht="124.5" customHeight="1" x14ac:dyDescent="0.2">
      <c r="A38" s="3"/>
      <c r="B38" s="5"/>
      <c r="C38" s="69"/>
    </row>
    <row r="39" spans="1:3" ht="113.25" customHeight="1" x14ac:dyDescent="0.2">
      <c r="A39" s="3"/>
      <c r="B39" s="6" t="s">
        <v>29</v>
      </c>
      <c r="C39" s="69"/>
    </row>
    <row r="40" spans="1:3" ht="135.75" customHeight="1" x14ac:dyDescent="0.2">
      <c r="A40" s="3"/>
      <c r="B40" s="5" t="s">
        <v>30</v>
      </c>
      <c r="C40" s="69"/>
    </row>
    <row r="41" spans="1:3" ht="113.25" customHeight="1" x14ac:dyDescent="0.2">
      <c r="A41" s="3"/>
      <c r="B41" s="5" t="s">
        <v>31</v>
      </c>
      <c r="C41" s="69"/>
    </row>
    <row r="42" spans="1:3" ht="102" customHeight="1" x14ac:dyDescent="0.2">
      <c r="A42" s="3"/>
      <c r="B42" s="5" t="s">
        <v>32</v>
      </c>
      <c r="C42" s="69"/>
    </row>
    <row r="43" spans="1:3" ht="124.5" customHeight="1" x14ac:dyDescent="0.2">
      <c r="A43" s="3"/>
      <c r="B43" s="5" t="s">
        <v>33</v>
      </c>
      <c r="C43" s="69"/>
    </row>
    <row r="44" spans="1:3" s="66" customFormat="1" ht="135.75" customHeight="1" x14ac:dyDescent="0.2">
      <c r="A44" s="69"/>
      <c r="B44" s="69"/>
      <c r="C44" s="69"/>
    </row>
    <row r="45" spans="1:3" s="66" customFormat="1" ht="15" customHeight="1" x14ac:dyDescent="0.2">
      <c r="A45" s="69"/>
      <c r="B45" s="69"/>
      <c r="C45" s="69"/>
    </row>
    <row r="46" spans="1:3" s="66" customFormat="1" ht="15" customHeight="1" x14ac:dyDescent="0.2">
      <c r="A46" s="69"/>
      <c r="B46" s="69"/>
      <c r="C46" s="69"/>
    </row>
    <row r="47" spans="1:3" s="66" customFormat="1" ht="15" customHeight="1" x14ac:dyDescent="0.2">
      <c r="A47" s="69"/>
      <c r="B47" s="69"/>
      <c r="C47" s="69"/>
    </row>
    <row r="48" spans="1:3" s="66" customFormat="1" ht="15" customHeight="1" x14ac:dyDescent="0.2">
      <c r="A48" s="69"/>
      <c r="B48" s="69"/>
      <c r="C48" s="69"/>
    </row>
    <row r="49" spans="1:3" s="66" customFormat="1" ht="15" customHeight="1" x14ac:dyDescent="0.2">
      <c r="A49" s="69"/>
      <c r="B49" s="69"/>
      <c r="C49" s="69"/>
    </row>
    <row r="50" spans="1:3" s="66" customFormat="1" ht="15" customHeight="1" x14ac:dyDescent="0.2">
      <c r="A50" s="69"/>
      <c r="B50" s="69"/>
      <c r="C50" s="69"/>
    </row>
    <row r="51" spans="1:3" s="66" customFormat="1" ht="15" customHeight="1" x14ac:dyDescent="0.2">
      <c r="A51" s="69"/>
      <c r="B51" s="69"/>
      <c r="C51" s="69"/>
    </row>
    <row r="52" spans="1:3" s="66" customFormat="1" ht="15" customHeight="1" x14ac:dyDescent="0.2">
      <c r="A52" s="69"/>
      <c r="B52" s="69"/>
      <c r="C52" s="69"/>
    </row>
    <row r="53" spans="1:3" s="66" customFormat="1" ht="15" customHeight="1" x14ac:dyDescent="0.2">
      <c r="A53" s="69"/>
      <c r="B53" s="69"/>
      <c r="C53" s="69"/>
    </row>
    <row r="54" spans="1:3" s="66" customFormat="1" ht="15" customHeight="1" x14ac:dyDescent="0.2">
      <c r="A54" s="69"/>
      <c r="B54" s="69"/>
      <c r="C54" s="69"/>
    </row>
    <row r="55" spans="1:3" s="66" customFormat="1" ht="15" customHeight="1" x14ac:dyDescent="0.2">
      <c r="A55" s="69"/>
      <c r="B55" s="69"/>
      <c r="C55" s="69"/>
    </row>
    <row r="56" spans="1:3" s="66" customFormat="1" ht="15" customHeight="1" x14ac:dyDescent="0.2">
      <c r="A56" s="69"/>
      <c r="B56" s="69"/>
      <c r="C56" s="69"/>
    </row>
    <row r="57" spans="1:3" s="66" customFormat="1" ht="15" customHeight="1" x14ac:dyDescent="0.2">
      <c r="A57" s="69"/>
      <c r="B57" s="69"/>
      <c r="C57" s="69"/>
    </row>
    <row r="58" spans="1:3" s="66" customFormat="1" ht="96" customHeight="1" x14ac:dyDescent="0.2">
      <c r="A58" s="69"/>
      <c r="B58" s="69"/>
      <c r="C58" s="69"/>
    </row>
    <row r="59" spans="1:3" s="66" customFormat="1" ht="15" customHeight="1" x14ac:dyDescent="0.2">
      <c r="A59" s="69"/>
      <c r="B59" s="69"/>
      <c r="C59" s="69"/>
    </row>
    <row r="60" spans="1:3" s="66" customFormat="1" ht="15" customHeight="1" x14ac:dyDescent="0.2">
      <c r="A60" s="69"/>
      <c r="B60" s="69"/>
      <c r="C60" s="69"/>
    </row>
    <row r="61" spans="1:3" s="66" customFormat="1" ht="15" customHeight="1" x14ac:dyDescent="0.2">
      <c r="A61" s="69"/>
      <c r="B61" s="69"/>
      <c r="C61" s="69"/>
    </row>
    <row r="62" spans="1:3" s="66" customFormat="1" ht="15" customHeight="1" x14ac:dyDescent="0.2">
      <c r="A62" s="69"/>
      <c r="B62" s="69"/>
      <c r="C62" s="69"/>
    </row>
    <row r="63" spans="1:3" s="66" customFormat="1" ht="15" customHeight="1" x14ac:dyDescent="0.2">
      <c r="A63" s="69"/>
      <c r="B63" s="69"/>
      <c r="C63" s="69"/>
    </row>
    <row r="64" spans="1:3" s="66" customFormat="1" ht="15" customHeight="1" x14ac:dyDescent="0.2">
      <c r="A64" s="69"/>
      <c r="B64" s="69"/>
      <c r="C64" s="69"/>
    </row>
    <row r="65" spans="1:3" s="66" customFormat="1" ht="15" customHeight="1" x14ac:dyDescent="0.2">
      <c r="A65" s="69"/>
      <c r="B65" s="69"/>
      <c r="C65" s="69"/>
    </row>
    <row r="66" spans="1:3" s="66" customFormat="1" ht="15" customHeight="1" x14ac:dyDescent="0.2">
      <c r="A66" s="69"/>
      <c r="B66" s="69"/>
      <c r="C66" s="69"/>
    </row>
    <row r="67" spans="1:3" s="66" customFormat="1" ht="15" customHeight="1" x14ac:dyDescent="0.2">
      <c r="A67" s="69"/>
      <c r="B67" s="69"/>
      <c r="C67" s="69"/>
    </row>
    <row r="68" spans="1:3" s="66" customFormat="1" ht="15" customHeight="1" x14ac:dyDescent="0.2">
      <c r="A68" s="69"/>
      <c r="B68" s="69"/>
      <c r="C68" s="69"/>
    </row>
    <row r="69" spans="1:3" s="66" customFormat="1" ht="15" customHeight="1" x14ac:dyDescent="0.2">
      <c r="A69" s="69"/>
      <c r="B69" s="69"/>
      <c r="C69" s="69"/>
    </row>
    <row r="70" spans="1:3" s="66" customFormat="1" x14ac:dyDescent="0.2"/>
    <row r="71" spans="1:3" s="66" customFormat="1" x14ac:dyDescent="0.2"/>
    <row r="72" spans="1:3" s="66" customFormat="1" x14ac:dyDescent="0.2"/>
    <row r="73" spans="1:3" s="66" customFormat="1" x14ac:dyDescent="0.2"/>
    <row r="74" spans="1:3" s="66" customFormat="1" x14ac:dyDescent="0.2"/>
    <row r="75" spans="1:3" s="66" customFormat="1" x14ac:dyDescent="0.2"/>
    <row r="76" spans="1:3" s="66" customFormat="1" x14ac:dyDescent="0.2"/>
    <row r="77" spans="1:3" s="66" customFormat="1" x14ac:dyDescent="0.2"/>
    <row r="78" spans="1:3" s="66" customFormat="1" x14ac:dyDescent="0.2"/>
    <row r="79" spans="1:3" s="66" customFormat="1" x14ac:dyDescent="0.2"/>
    <row r="80" spans="1:3" s="66" customFormat="1" x14ac:dyDescent="0.2"/>
    <row r="81" s="66" customFormat="1" x14ac:dyDescent="0.2"/>
    <row r="82" s="66" customFormat="1" x14ac:dyDescent="0.2"/>
    <row r="83" s="66" customFormat="1" x14ac:dyDescent="0.2"/>
    <row r="84" s="66" customFormat="1" x14ac:dyDescent="0.2"/>
    <row r="85" s="66" customFormat="1" x14ac:dyDescent="0.2"/>
    <row r="86" s="66" customFormat="1" x14ac:dyDescent="0.2"/>
    <row r="87" s="66" customFormat="1" x14ac:dyDescent="0.2"/>
    <row r="88" s="66" customFormat="1" x14ac:dyDescent="0.2"/>
    <row r="89" s="66" customFormat="1" x14ac:dyDescent="0.2"/>
    <row r="90" s="66" customFormat="1" x14ac:dyDescent="0.2"/>
    <row r="91" s="66" customFormat="1" x14ac:dyDescent="0.2"/>
    <row r="92" s="66" customFormat="1" x14ac:dyDescent="0.2"/>
    <row r="93" s="66" customFormat="1" x14ac:dyDescent="0.2"/>
    <row r="94" s="66" customFormat="1" x14ac:dyDescent="0.2"/>
    <row r="95" s="66" customFormat="1" x14ac:dyDescent="0.2"/>
    <row r="96" s="66" customFormat="1" x14ac:dyDescent="0.2"/>
    <row r="97" s="66" customFormat="1" x14ac:dyDescent="0.2"/>
    <row r="98" s="66" customFormat="1" x14ac:dyDescent="0.2"/>
    <row r="99" s="66" customFormat="1" x14ac:dyDescent="0.2"/>
    <row r="100" s="66" customFormat="1" x14ac:dyDescent="0.2"/>
    <row r="101" s="66" customFormat="1" x14ac:dyDescent="0.2"/>
    <row r="102" s="66" customFormat="1" x14ac:dyDescent="0.2"/>
    <row r="103" s="66" customFormat="1" x14ac:dyDescent="0.2"/>
    <row r="104" s="66" customFormat="1" x14ac:dyDescent="0.2"/>
    <row r="105" s="66" customFormat="1" x14ac:dyDescent="0.2"/>
    <row r="106" s="66" customFormat="1" x14ac:dyDescent="0.2"/>
    <row r="107" s="66" customFormat="1" x14ac:dyDescent="0.2"/>
    <row r="108" s="66" customFormat="1" x14ac:dyDescent="0.2"/>
    <row r="109" s="66" customFormat="1" x14ac:dyDescent="0.2"/>
    <row r="110" s="66" customFormat="1" x14ac:dyDescent="0.2"/>
    <row r="111" s="66" customFormat="1" x14ac:dyDescent="0.2"/>
    <row r="112" s="66" customFormat="1" x14ac:dyDescent="0.2"/>
    <row r="113" s="66" customFormat="1" x14ac:dyDescent="0.2"/>
    <row r="114" s="66" customFormat="1" x14ac:dyDescent="0.2"/>
    <row r="115" s="66" customFormat="1" x14ac:dyDescent="0.2"/>
    <row r="116" s="66" customFormat="1" x14ac:dyDescent="0.2"/>
    <row r="117" s="66" customFormat="1" x14ac:dyDescent="0.2"/>
    <row r="118" s="66" customFormat="1" x14ac:dyDescent="0.2"/>
    <row r="119" s="66" customFormat="1" x14ac:dyDescent="0.2"/>
    <row r="120" s="66" customFormat="1" x14ac:dyDescent="0.2"/>
    <row r="121" s="66" customFormat="1" x14ac:dyDescent="0.2"/>
    <row r="122" s="66" customFormat="1" x14ac:dyDescent="0.2"/>
    <row r="123" s="66" customFormat="1" x14ac:dyDescent="0.2"/>
    <row r="124" s="66" customFormat="1" x14ac:dyDescent="0.2"/>
    <row r="125" s="66" customFormat="1" x14ac:dyDescent="0.2"/>
    <row r="126" s="66" customFormat="1" x14ac:dyDescent="0.2"/>
    <row r="127" s="66" customFormat="1" x14ac:dyDescent="0.2"/>
    <row r="128" s="66" customFormat="1" x14ac:dyDescent="0.2"/>
    <row r="129" s="66" customFormat="1" x14ac:dyDescent="0.2"/>
    <row r="130" s="66" customFormat="1" x14ac:dyDescent="0.2"/>
    <row r="131" s="66" customFormat="1" x14ac:dyDescent="0.2"/>
    <row r="132" s="66" customFormat="1" x14ac:dyDescent="0.2"/>
    <row r="133" s="66" customFormat="1" x14ac:dyDescent="0.2"/>
    <row r="134" s="66" customFormat="1" x14ac:dyDescent="0.2"/>
    <row r="135" s="66" customFormat="1" x14ac:dyDescent="0.2"/>
    <row r="136" s="66" customFormat="1" x14ac:dyDescent="0.2"/>
    <row r="137" s="66" customFormat="1" x14ac:dyDescent="0.2"/>
    <row r="138" s="66" customFormat="1" x14ac:dyDescent="0.2"/>
    <row r="139" s="66" customFormat="1" x14ac:dyDescent="0.2"/>
    <row r="140" s="66" customFormat="1" x14ac:dyDescent="0.2"/>
    <row r="141" s="66" customFormat="1" x14ac:dyDescent="0.2"/>
    <row r="142" s="66" customFormat="1" x14ac:dyDescent="0.2"/>
    <row r="143" s="66" customFormat="1" x14ac:dyDescent="0.2"/>
    <row r="144" s="66" customFormat="1" x14ac:dyDescent="0.2"/>
    <row r="145" s="66" customFormat="1" x14ac:dyDescent="0.2"/>
    <row r="146" s="66" customFormat="1" x14ac:dyDescent="0.2"/>
    <row r="147" s="66" customFormat="1" x14ac:dyDescent="0.2"/>
    <row r="148" s="66" customFormat="1" x14ac:dyDescent="0.2"/>
    <row r="149" s="66" customFormat="1" x14ac:dyDescent="0.2"/>
    <row r="150" s="66" customFormat="1" x14ac:dyDescent="0.2"/>
    <row r="151" s="66" customFormat="1" x14ac:dyDescent="0.2"/>
    <row r="152" s="66" customFormat="1" x14ac:dyDescent="0.2"/>
    <row r="153" s="66" customFormat="1" x14ac:dyDescent="0.2"/>
    <row r="154" s="66" customFormat="1" x14ac:dyDescent="0.2"/>
    <row r="155" s="66" customFormat="1" x14ac:dyDescent="0.2"/>
    <row r="156" s="66" customFormat="1" x14ac:dyDescent="0.2"/>
    <row r="157" s="66" customFormat="1" x14ac:dyDescent="0.2"/>
    <row r="158" s="66" customFormat="1" x14ac:dyDescent="0.2"/>
    <row r="159" s="66" customFormat="1" x14ac:dyDescent="0.2"/>
    <row r="160" s="66" customFormat="1" x14ac:dyDescent="0.2"/>
    <row r="161" s="66" customFormat="1" x14ac:dyDescent="0.2"/>
    <row r="162" s="66" customFormat="1" x14ac:dyDescent="0.2"/>
    <row r="163" s="66" customFormat="1" x14ac:dyDescent="0.2"/>
    <row r="164" s="66" customFormat="1" x14ac:dyDescent="0.2"/>
    <row r="165" s="66" customFormat="1" x14ac:dyDescent="0.2"/>
    <row r="166" s="66" customFormat="1" x14ac:dyDescent="0.2"/>
    <row r="167" s="66" customFormat="1" x14ac:dyDescent="0.2"/>
    <row r="168" s="66" customFormat="1" x14ac:dyDescent="0.2"/>
    <row r="169" s="66" customFormat="1" x14ac:dyDescent="0.2"/>
    <row r="170" s="66" customFormat="1" x14ac:dyDescent="0.2"/>
    <row r="171" s="66" customFormat="1" x14ac:dyDescent="0.2"/>
    <row r="172" s="66" customFormat="1" x14ac:dyDescent="0.2"/>
    <row r="173" s="66" customFormat="1" x14ac:dyDescent="0.2"/>
    <row r="174" s="66" customFormat="1" x14ac:dyDescent="0.2"/>
    <row r="175" s="66" customFormat="1" x14ac:dyDescent="0.2"/>
    <row r="176" s="66" customFormat="1" x14ac:dyDescent="0.2"/>
    <row r="177" s="66" customFormat="1" x14ac:dyDescent="0.2"/>
    <row r="178" s="66" customFormat="1" x14ac:dyDescent="0.2"/>
    <row r="179" s="66" customFormat="1" x14ac:dyDescent="0.2"/>
    <row r="180" s="66" customFormat="1" x14ac:dyDescent="0.2"/>
    <row r="181" s="66" customFormat="1" x14ac:dyDescent="0.2"/>
    <row r="182" s="66" customFormat="1" x14ac:dyDescent="0.2"/>
    <row r="183" s="66" customFormat="1" x14ac:dyDescent="0.2"/>
    <row r="184" s="66" customFormat="1" x14ac:dyDescent="0.2"/>
    <row r="185" s="66" customFormat="1" x14ac:dyDescent="0.2"/>
    <row r="186" s="66" customFormat="1" x14ac:dyDescent="0.2"/>
    <row r="187" s="66" customFormat="1" x14ac:dyDescent="0.2"/>
    <row r="188" s="66" customFormat="1" x14ac:dyDescent="0.2"/>
    <row r="189" s="66" customFormat="1" x14ac:dyDescent="0.2"/>
    <row r="190" s="66" customFormat="1" x14ac:dyDescent="0.2"/>
    <row r="191" s="66" customFormat="1" x14ac:dyDescent="0.2"/>
    <row r="192" s="66" customFormat="1" x14ac:dyDescent="0.2"/>
    <row r="193" s="66" customFormat="1" x14ac:dyDescent="0.2"/>
    <row r="194" s="66" customFormat="1" x14ac:dyDescent="0.2"/>
    <row r="195" s="66" customFormat="1" x14ac:dyDescent="0.2"/>
    <row r="196" s="66" customFormat="1" x14ac:dyDescent="0.2"/>
    <row r="197" s="66" customFormat="1" x14ac:dyDescent="0.2"/>
    <row r="198" s="66" customFormat="1" x14ac:dyDescent="0.2"/>
    <row r="199" s="66" customFormat="1" x14ac:dyDescent="0.2"/>
    <row r="200" s="66" customFormat="1" x14ac:dyDescent="0.2"/>
    <row r="201" s="66" customFormat="1" x14ac:dyDescent="0.2"/>
    <row r="202" s="66" customFormat="1" x14ac:dyDescent="0.2"/>
    <row r="203" s="66" customFormat="1" x14ac:dyDescent="0.2"/>
    <row r="204" s="66" customFormat="1" x14ac:dyDescent="0.2"/>
    <row r="205" s="66" customFormat="1" x14ac:dyDescent="0.2"/>
    <row r="206" s="66" customFormat="1" x14ac:dyDescent="0.2"/>
    <row r="207" s="66" customFormat="1" x14ac:dyDescent="0.2"/>
    <row r="208" s="66" customFormat="1" x14ac:dyDescent="0.2"/>
    <row r="209" s="66" customFormat="1" x14ac:dyDescent="0.2"/>
    <row r="210" s="66" customFormat="1" x14ac:dyDescent="0.2"/>
    <row r="211" s="66" customFormat="1" x14ac:dyDescent="0.2"/>
    <row r="212" s="66" customFormat="1" x14ac:dyDescent="0.2"/>
    <row r="213" s="66" customFormat="1" x14ac:dyDescent="0.2"/>
    <row r="214" s="66" customFormat="1" x14ac:dyDescent="0.2"/>
    <row r="215" s="66" customFormat="1" x14ac:dyDescent="0.2"/>
    <row r="216" s="66" customFormat="1" x14ac:dyDescent="0.2"/>
    <row r="217" s="66" customFormat="1" x14ac:dyDescent="0.2"/>
    <row r="218" s="66" customFormat="1" x14ac:dyDescent="0.2"/>
    <row r="219" s="66" customFormat="1" x14ac:dyDescent="0.2"/>
    <row r="220" s="66" customFormat="1" x14ac:dyDescent="0.2"/>
    <row r="221" s="66" customFormat="1" x14ac:dyDescent="0.2"/>
    <row r="222" s="66" customFormat="1" x14ac:dyDescent="0.2"/>
    <row r="223" s="66" customFormat="1" x14ac:dyDescent="0.2"/>
    <row r="224" s="66" customFormat="1" x14ac:dyDescent="0.2"/>
    <row r="225" s="66" customFormat="1" x14ac:dyDescent="0.2"/>
    <row r="226" s="66" customFormat="1" x14ac:dyDescent="0.2"/>
    <row r="227" s="66" customFormat="1" x14ac:dyDescent="0.2"/>
    <row r="228" s="66" customFormat="1" x14ac:dyDescent="0.2"/>
    <row r="229" s="66" customFormat="1" x14ac:dyDescent="0.2"/>
    <row r="230" s="66" customFormat="1" x14ac:dyDescent="0.2"/>
    <row r="231" s="66" customFormat="1" x14ac:dyDescent="0.2"/>
    <row r="232" s="66" customFormat="1" x14ac:dyDescent="0.2"/>
    <row r="233" s="66" customFormat="1" x14ac:dyDescent="0.2"/>
    <row r="234" s="66" customFormat="1" x14ac:dyDescent="0.2"/>
    <row r="235" s="66" customFormat="1" x14ac:dyDescent="0.2"/>
    <row r="236" s="66" customFormat="1" x14ac:dyDescent="0.2"/>
    <row r="237" s="66" customFormat="1" x14ac:dyDescent="0.2"/>
    <row r="238" s="66" customFormat="1" x14ac:dyDescent="0.2"/>
    <row r="239" s="66" customFormat="1" x14ac:dyDescent="0.2"/>
    <row r="240" s="66" customFormat="1" x14ac:dyDescent="0.2"/>
    <row r="241" s="66" customFormat="1" x14ac:dyDescent="0.2"/>
    <row r="242" s="66" customFormat="1" x14ac:dyDescent="0.2"/>
    <row r="243" s="66" customFormat="1" x14ac:dyDescent="0.2"/>
    <row r="244" s="66" customFormat="1" x14ac:dyDescent="0.2"/>
    <row r="245" s="66" customFormat="1" x14ac:dyDescent="0.2"/>
    <row r="246" s="66" customFormat="1" x14ac:dyDescent="0.2"/>
    <row r="247" s="66" customFormat="1" x14ac:dyDescent="0.2"/>
    <row r="248" s="66" customFormat="1" x14ac:dyDescent="0.2"/>
    <row r="249" s="66" customFormat="1" x14ac:dyDescent="0.2"/>
    <row r="250" s="66" customFormat="1" x14ac:dyDescent="0.2"/>
    <row r="251" s="66" customFormat="1" x14ac:dyDescent="0.2"/>
    <row r="252" s="66" customFormat="1" x14ac:dyDescent="0.2"/>
    <row r="253" s="66" customFormat="1" x14ac:dyDescent="0.2"/>
    <row r="254" s="66" customFormat="1" x14ac:dyDescent="0.2"/>
    <row r="255" s="66" customFormat="1" x14ac:dyDescent="0.2"/>
    <row r="256" s="66" customFormat="1" x14ac:dyDescent="0.2"/>
    <row r="257" s="66" customFormat="1" x14ac:dyDescent="0.2"/>
    <row r="258" s="66" customFormat="1" x14ac:dyDescent="0.2"/>
    <row r="259" s="66" customFormat="1" x14ac:dyDescent="0.2"/>
    <row r="260" s="66" customFormat="1" x14ac:dyDescent="0.2"/>
    <row r="261" s="66" customFormat="1" x14ac:dyDescent="0.2"/>
    <row r="262" s="66" customFormat="1" x14ac:dyDescent="0.2"/>
    <row r="263" s="66" customFormat="1" x14ac:dyDescent="0.2"/>
    <row r="264" s="66" customFormat="1" x14ac:dyDescent="0.2"/>
    <row r="265" s="66" customFormat="1" x14ac:dyDescent="0.2"/>
    <row r="266" s="66" customFormat="1" x14ac:dyDescent="0.2"/>
    <row r="267" s="66" customFormat="1" x14ac:dyDescent="0.2"/>
    <row r="268" s="66" customFormat="1" x14ac:dyDescent="0.2"/>
    <row r="269" s="66" customFormat="1" x14ac:dyDescent="0.2"/>
    <row r="270" s="66" customFormat="1" x14ac:dyDescent="0.2"/>
    <row r="271" s="66" customFormat="1" x14ac:dyDescent="0.2"/>
    <row r="272" s="66" customFormat="1" x14ac:dyDescent="0.2"/>
    <row r="273" s="66" customFormat="1" x14ac:dyDescent="0.2"/>
    <row r="274" s="66" customFormat="1" x14ac:dyDescent="0.2"/>
    <row r="275" s="66" customFormat="1" x14ac:dyDescent="0.2"/>
    <row r="276" s="66" customFormat="1" x14ac:dyDescent="0.2"/>
    <row r="277" s="66" customFormat="1" x14ac:dyDescent="0.2"/>
    <row r="278" s="66" customFormat="1" x14ac:dyDescent="0.2"/>
    <row r="279" s="66" customFormat="1" x14ac:dyDescent="0.2"/>
    <row r="280" s="66" customFormat="1" x14ac:dyDescent="0.2"/>
    <row r="281" s="66" customFormat="1" x14ac:dyDescent="0.2"/>
    <row r="282" s="66" customFormat="1" x14ac:dyDescent="0.2"/>
    <row r="283" s="66" customFormat="1" x14ac:dyDescent="0.2"/>
    <row r="284" s="66" customFormat="1" x14ac:dyDescent="0.2"/>
    <row r="285" s="66" customFormat="1" x14ac:dyDescent="0.2"/>
    <row r="286" s="66" customFormat="1" x14ac:dyDescent="0.2"/>
    <row r="287" s="66" customFormat="1" x14ac:dyDescent="0.2"/>
    <row r="288" s="66" customFormat="1" x14ac:dyDescent="0.2"/>
    <row r="289" s="66" customFormat="1" x14ac:dyDescent="0.2"/>
    <row r="290" s="66" customFormat="1" x14ac:dyDescent="0.2"/>
    <row r="291" s="66" customFormat="1" x14ac:dyDescent="0.2"/>
    <row r="292" s="66" customFormat="1" x14ac:dyDescent="0.2"/>
    <row r="293" s="66" customFormat="1" x14ac:dyDescent="0.2"/>
    <row r="294" s="66" customFormat="1" x14ac:dyDescent="0.2"/>
    <row r="295" s="66" customFormat="1" x14ac:dyDescent="0.2"/>
    <row r="296" s="66" customFormat="1" x14ac:dyDescent="0.2"/>
    <row r="297" s="66" customFormat="1" x14ac:dyDescent="0.2"/>
    <row r="298" s="66" customFormat="1" x14ac:dyDescent="0.2"/>
    <row r="299" s="66" customFormat="1" x14ac:dyDescent="0.2"/>
    <row r="300" s="66" customFormat="1" x14ac:dyDescent="0.2"/>
    <row r="301" s="66" customFormat="1" x14ac:dyDescent="0.2"/>
    <row r="302" s="66" customFormat="1" x14ac:dyDescent="0.2"/>
    <row r="303" s="66" customFormat="1" x14ac:dyDescent="0.2"/>
    <row r="304" s="66" customFormat="1" x14ac:dyDescent="0.2"/>
    <row r="305" s="66" customFormat="1" x14ac:dyDescent="0.2"/>
    <row r="306" s="66" customFormat="1" x14ac:dyDescent="0.2"/>
    <row r="307" s="66" customFormat="1" x14ac:dyDescent="0.2"/>
    <row r="308" s="66" customFormat="1" x14ac:dyDescent="0.2"/>
    <row r="309" s="66" customFormat="1" x14ac:dyDescent="0.2"/>
    <row r="310" s="66" customFormat="1" x14ac:dyDescent="0.2"/>
    <row r="311" s="66" customFormat="1" x14ac:dyDescent="0.2"/>
    <row r="312" s="66" customFormat="1" x14ac:dyDescent="0.2"/>
    <row r="313" s="66" customFormat="1" x14ac:dyDescent="0.2"/>
    <row r="314" s="66" customFormat="1" x14ac:dyDescent="0.2"/>
    <row r="315" s="66" customFormat="1" x14ac:dyDescent="0.2"/>
    <row r="316" s="66" customFormat="1" x14ac:dyDescent="0.2"/>
    <row r="317" s="66" customFormat="1" x14ac:dyDescent="0.2"/>
    <row r="318" s="66" customFormat="1" x14ac:dyDescent="0.2"/>
    <row r="319" s="66" customFormat="1" x14ac:dyDescent="0.2"/>
    <row r="320" s="66" customFormat="1" x14ac:dyDescent="0.2"/>
    <row r="321" s="66" customFormat="1" x14ac:dyDescent="0.2"/>
    <row r="322" s="66" customFormat="1" x14ac:dyDescent="0.2"/>
    <row r="323" s="66" customFormat="1" x14ac:dyDescent="0.2"/>
    <row r="324" s="66" customFormat="1" x14ac:dyDescent="0.2"/>
    <row r="325" s="66" customFormat="1" x14ac:dyDescent="0.2"/>
    <row r="326" s="66" customFormat="1" x14ac:dyDescent="0.2"/>
    <row r="327" s="66" customFormat="1" x14ac:dyDescent="0.2"/>
    <row r="328" s="66" customFormat="1" x14ac:dyDescent="0.2"/>
    <row r="329" s="66" customFormat="1" x14ac:dyDescent="0.2"/>
    <row r="330" s="66" customFormat="1" x14ac:dyDescent="0.2"/>
    <row r="331" s="66" customFormat="1" x14ac:dyDescent="0.2"/>
    <row r="332" s="66" customFormat="1" x14ac:dyDescent="0.2"/>
    <row r="333" s="66" customFormat="1" x14ac:dyDescent="0.2"/>
    <row r="334" s="66" customFormat="1" x14ac:dyDescent="0.2"/>
    <row r="335" s="66" customFormat="1" x14ac:dyDescent="0.2"/>
    <row r="336" s="66" customFormat="1" x14ac:dyDescent="0.2"/>
    <row r="337" s="66" customFormat="1" x14ac:dyDescent="0.2"/>
    <row r="338" s="66" customFormat="1" x14ac:dyDescent="0.2"/>
    <row r="339" s="66" customFormat="1" x14ac:dyDescent="0.2"/>
    <row r="340" s="66" customFormat="1" x14ac:dyDescent="0.2"/>
    <row r="341" s="66" customFormat="1" x14ac:dyDescent="0.2"/>
    <row r="342" s="66" customFormat="1" x14ac:dyDescent="0.2"/>
    <row r="343" s="66" customFormat="1" x14ac:dyDescent="0.2"/>
    <row r="344" s="66" customFormat="1" x14ac:dyDescent="0.2"/>
    <row r="345" s="66" customFormat="1" x14ac:dyDescent="0.2"/>
    <row r="346" s="66" customFormat="1" x14ac:dyDescent="0.2"/>
    <row r="347" s="66" customFormat="1" x14ac:dyDescent="0.2"/>
    <row r="348" s="66" customFormat="1" x14ac:dyDescent="0.2"/>
    <row r="349" s="66" customFormat="1" x14ac:dyDescent="0.2"/>
    <row r="350" s="66" customFormat="1" x14ac:dyDescent="0.2"/>
    <row r="351" s="66" customFormat="1" x14ac:dyDescent="0.2"/>
    <row r="352" s="66" customFormat="1" x14ac:dyDescent="0.2"/>
    <row r="353" s="66" customFormat="1" x14ac:dyDescent="0.2"/>
    <row r="354" s="66" customFormat="1" x14ac:dyDescent="0.2"/>
    <row r="355" s="66" customFormat="1" x14ac:dyDescent="0.2"/>
    <row r="356" s="66" customFormat="1" x14ac:dyDescent="0.2"/>
    <row r="357" s="66" customFormat="1" x14ac:dyDescent="0.2"/>
    <row r="358" s="66" customFormat="1" x14ac:dyDescent="0.2"/>
    <row r="359" s="66" customFormat="1" x14ac:dyDescent="0.2"/>
    <row r="360" s="66" customFormat="1" x14ac:dyDescent="0.2"/>
    <row r="361" s="66" customFormat="1" x14ac:dyDescent="0.2"/>
    <row r="362" s="66" customFormat="1" x14ac:dyDescent="0.2"/>
    <row r="363" s="66" customFormat="1" x14ac:dyDescent="0.2"/>
    <row r="364" s="66" customFormat="1" x14ac:dyDescent="0.2"/>
    <row r="365" s="66" customFormat="1" x14ac:dyDescent="0.2"/>
    <row r="366" s="66" customFormat="1" x14ac:dyDescent="0.2"/>
    <row r="367" s="66" customFormat="1" x14ac:dyDescent="0.2"/>
    <row r="368" s="66" customFormat="1" x14ac:dyDescent="0.2"/>
    <row r="369" s="66" customFormat="1" x14ac:dyDescent="0.2"/>
    <row r="370" s="66" customFormat="1" x14ac:dyDescent="0.2"/>
    <row r="371" s="66" customFormat="1" x14ac:dyDescent="0.2"/>
    <row r="372" s="66" customFormat="1" x14ac:dyDescent="0.2"/>
    <row r="373" s="66" customFormat="1" x14ac:dyDescent="0.2"/>
    <row r="374" s="66" customFormat="1" x14ac:dyDescent="0.2"/>
    <row r="375" s="66" customFormat="1" x14ac:dyDescent="0.2"/>
    <row r="376" s="66" customFormat="1" x14ac:dyDescent="0.2"/>
    <row r="377" s="66" customFormat="1" x14ac:dyDescent="0.2"/>
    <row r="378" s="66" customFormat="1" x14ac:dyDescent="0.2"/>
    <row r="379" s="66" customFormat="1" x14ac:dyDescent="0.2"/>
    <row r="380" s="66" customFormat="1" x14ac:dyDescent="0.2"/>
    <row r="381" s="66" customFormat="1" x14ac:dyDescent="0.2"/>
    <row r="382" s="66" customFormat="1" x14ac:dyDescent="0.2"/>
    <row r="383" s="66" customFormat="1" x14ac:dyDescent="0.2"/>
    <row r="384" s="66" customFormat="1" x14ac:dyDescent="0.2"/>
    <row r="385" s="66" customFormat="1" x14ac:dyDescent="0.2"/>
    <row r="386" s="66" customFormat="1" x14ac:dyDescent="0.2"/>
    <row r="387" s="66" customFormat="1" x14ac:dyDescent="0.2"/>
    <row r="388" s="66" customFormat="1" x14ac:dyDescent="0.2"/>
    <row r="389" s="66" customFormat="1" x14ac:dyDescent="0.2"/>
    <row r="390" s="66" customFormat="1" x14ac:dyDescent="0.2"/>
    <row r="391" s="66" customFormat="1" x14ac:dyDescent="0.2"/>
    <row r="392" s="66" customFormat="1" x14ac:dyDescent="0.2"/>
    <row r="393" s="66" customFormat="1" x14ac:dyDescent="0.2"/>
    <row r="394" s="66" customFormat="1" x14ac:dyDescent="0.2"/>
    <row r="395" s="66" customFormat="1" x14ac:dyDescent="0.2"/>
    <row r="396" s="66" customFormat="1" x14ac:dyDescent="0.2"/>
    <row r="397" s="66" customFormat="1" x14ac:dyDescent="0.2"/>
    <row r="398" s="66" customFormat="1" x14ac:dyDescent="0.2"/>
    <row r="399" s="66" customFormat="1" x14ac:dyDescent="0.2"/>
    <row r="400" s="66" customFormat="1" x14ac:dyDescent="0.2"/>
    <row r="401" s="66" customFormat="1" x14ac:dyDescent="0.2"/>
    <row r="402" s="66" customFormat="1" x14ac:dyDescent="0.2"/>
    <row r="403" s="66" customFormat="1" x14ac:dyDescent="0.2"/>
    <row r="404" s="66" customFormat="1" x14ac:dyDescent="0.2"/>
    <row r="405" s="66" customFormat="1" x14ac:dyDescent="0.2"/>
    <row r="406" s="66" customFormat="1" x14ac:dyDescent="0.2"/>
    <row r="407" s="66" customFormat="1" x14ac:dyDescent="0.2"/>
    <row r="408" s="66" customFormat="1" x14ac:dyDescent="0.2"/>
    <row r="409" s="66" customFormat="1" x14ac:dyDescent="0.2"/>
    <row r="410" s="66" customFormat="1" x14ac:dyDescent="0.2"/>
    <row r="411" s="66" customFormat="1" x14ac:dyDescent="0.2"/>
    <row r="412" s="66" customFormat="1" x14ac:dyDescent="0.2"/>
    <row r="413" s="66" customFormat="1" x14ac:dyDescent="0.2"/>
    <row r="414" s="66" customFormat="1" x14ac:dyDescent="0.2"/>
    <row r="415" s="66" customFormat="1" x14ac:dyDescent="0.2"/>
    <row r="416" s="66" customFormat="1" x14ac:dyDescent="0.2"/>
    <row r="417" s="66" customFormat="1" x14ac:dyDescent="0.2"/>
    <row r="418" s="66" customFormat="1" x14ac:dyDescent="0.2"/>
    <row r="419" s="66" customFormat="1" x14ac:dyDescent="0.2"/>
    <row r="420" s="66" customFormat="1" x14ac:dyDescent="0.2"/>
    <row r="421" s="66" customFormat="1" x14ac:dyDescent="0.2"/>
    <row r="422" s="66" customFormat="1" x14ac:dyDescent="0.2"/>
    <row r="423" s="66" customFormat="1" x14ac:dyDescent="0.2"/>
    <row r="424" s="66" customFormat="1" x14ac:dyDescent="0.2"/>
    <row r="425" s="66" customFormat="1" x14ac:dyDescent="0.2"/>
    <row r="426" s="66" customFormat="1" x14ac:dyDescent="0.2"/>
    <row r="427" s="66" customFormat="1" x14ac:dyDescent="0.2"/>
    <row r="428" s="66" customFormat="1" x14ac:dyDescent="0.2"/>
    <row r="429" s="66" customFormat="1" x14ac:dyDescent="0.2"/>
    <row r="430" s="66" customFormat="1" x14ac:dyDescent="0.2"/>
    <row r="431" s="66" customFormat="1" x14ac:dyDescent="0.2"/>
    <row r="432" s="66" customFormat="1" x14ac:dyDescent="0.2"/>
    <row r="433" s="66" customFormat="1" x14ac:dyDescent="0.2"/>
    <row r="434" s="66" customFormat="1" x14ac:dyDescent="0.2"/>
    <row r="435" s="66" customFormat="1" x14ac:dyDescent="0.2"/>
    <row r="436" s="66" customFormat="1" x14ac:dyDescent="0.2"/>
    <row r="437" s="66" customFormat="1" x14ac:dyDescent="0.2"/>
    <row r="438" s="66" customFormat="1" x14ac:dyDescent="0.2"/>
    <row r="439" s="66" customFormat="1" x14ac:dyDescent="0.2"/>
    <row r="440" s="66" customFormat="1" x14ac:dyDescent="0.2"/>
    <row r="441" s="66" customFormat="1" x14ac:dyDescent="0.2"/>
    <row r="442" s="66" customFormat="1" x14ac:dyDescent="0.2"/>
    <row r="443" s="66" customFormat="1" x14ac:dyDescent="0.2"/>
    <row r="444" s="66" customFormat="1" x14ac:dyDescent="0.2"/>
    <row r="445" s="66" customFormat="1" x14ac:dyDescent="0.2"/>
    <row r="446" s="66" customFormat="1" x14ac:dyDescent="0.2"/>
    <row r="447" s="66" customFormat="1" x14ac:dyDescent="0.2"/>
    <row r="448" s="66" customFormat="1" x14ac:dyDescent="0.2"/>
    <row r="449" s="66" customFormat="1" x14ac:dyDescent="0.2"/>
    <row r="450" s="66" customFormat="1" x14ac:dyDescent="0.2"/>
    <row r="451" s="66" customFormat="1" x14ac:dyDescent="0.2"/>
    <row r="452" s="66" customFormat="1" x14ac:dyDescent="0.2"/>
    <row r="453" s="66" customFormat="1" x14ac:dyDescent="0.2"/>
    <row r="454" s="66" customFormat="1" x14ac:dyDescent="0.2"/>
    <row r="455" s="66" customFormat="1" x14ac:dyDescent="0.2"/>
    <row r="456" s="66" customFormat="1" x14ac:dyDescent="0.2"/>
    <row r="457" s="66" customFormat="1" x14ac:dyDescent="0.2"/>
    <row r="458" s="66" customFormat="1" x14ac:dyDescent="0.2"/>
    <row r="459" s="66" customFormat="1" x14ac:dyDescent="0.2"/>
    <row r="460" s="66" customFormat="1" x14ac:dyDescent="0.2"/>
    <row r="461" s="66" customFormat="1" x14ac:dyDescent="0.2"/>
    <row r="462" s="66" customFormat="1" x14ac:dyDescent="0.2"/>
    <row r="463" s="66" customFormat="1" x14ac:dyDescent="0.2"/>
    <row r="464" s="66" customFormat="1" x14ac:dyDescent="0.2"/>
    <row r="465" s="66" customFormat="1" x14ac:dyDescent="0.2"/>
    <row r="466" s="66" customFormat="1" x14ac:dyDescent="0.2"/>
    <row r="467" s="66" customFormat="1" x14ac:dyDescent="0.2"/>
    <row r="468" s="66" customFormat="1" x14ac:dyDescent="0.2"/>
    <row r="469" s="66" customFormat="1" x14ac:dyDescent="0.2"/>
    <row r="470" s="66" customFormat="1" x14ac:dyDescent="0.2"/>
    <row r="471" s="66" customFormat="1" x14ac:dyDescent="0.2"/>
    <row r="472" s="66" customFormat="1" x14ac:dyDescent="0.2"/>
    <row r="473" s="66" customFormat="1" x14ac:dyDescent="0.2"/>
    <row r="474" s="66" customFormat="1" x14ac:dyDescent="0.2"/>
    <row r="475" s="66" customFormat="1" x14ac:dyDescent="0.2"/>
    <row r="476" s="66" customFormat="1" x14ac:dyDescent="0.2"/>
    <row r="477" s="66" customFormat="1" x14ac:dyDescent="0.2"/>
    <row r="478" s="66" customFormat="1" x14ac:dyDescent="0.2"/>
    <row r="479" s="66" customFormat="1" x14ac:dyDescent="0.2"/>
    <row r="480" s="66" customFormat="1" x14ac:dyDescent="0.2"/>
    <row r="481" s="66" customFormat="1" x14ac:dyDescent="0.2"/>
    <row r="482" s="66" customFormat="1" x14ac:dyDescent="0.2"/>
    <row r="483" s="66" customFormat="1" x14ac:dyDescent="0.2"/>
    <row r="484" s="66" customFormat="1" x14ac:dyDescent="0.2"/>
    <row r="485" s="66" customFormat="1" x14ac:dyDescent="0.2"/>
    <row r="486" s="66" customFormat="1" x14ac:dyDescent="0.2"/>
    <row r="487" s="66" customFormat="1" x14ac:dyDescent="0.2"/>
    <row r="488" s="66" customFormat="1" x14ac:dyDescent="0.2"/>
    <row r="489" s="66" customFormat="1" x14ac:dyDescent="0.2"/>
    <row r="490" s="66" customFormat="1" x14ac:dyDescent="0.2"/>
    <row r="491" s="66" customFormat="1" x14ac:dyDescent="0.2"/>
    <row r="492" s="66" customFormat="1" x14ac:dyDescent="0.2"/>
    <row r="493" s="66" customFormat="1" x14ac:dyDescent="0.2"/>
    <row r="494" s="66" customFormat="1" x14ac:dyDescent="0.2"/>
    <row r="495" s="66" customFormat="1" x14ac:dyDescent="0.2"/>
    <row r="496" s="66" customFormat="1" x14ac:dyDescent="0.2"/>
    <row r="497" s="66" customFormat="1" x14ac:dyDescent="0.2"/>
    <row r="498" s="66" customFormat="1" x14ac:dyDescent="0.2"/>
    <row r="499" s="66" customFormat="1" x14ac:dyDescent="0.2"/>
    <row r="500" s="66" customFormat="1" x14ac:dyDescent="0.2"/>
    <row r="501" s="66" customFormat="1" x14ac:dyDescent="0.2"/>
    <row r="502" s="66" customFormat="1" x14ac:dyDescent="0.2"/>
    <row r="503" s="66" customFormat="1" x14ac:dyDescent="0.2"/>
    <row r="504" s="66" customFormat="1" x14ac:dyDescent="0.2"/>
    <row r="505" s="66" customFormat="1" x14ac:dyDescent="0.2"/>
    <row r="506" s="66" customFormat="1" x14ac:dyDescent="0.2"/>
    <row r="507" s="66" customFormat="1" x14ac:dyDescent="0.2"/>
    <row r="508" s="66" customFormat="1" x14ac:dyDescent="0.2"/>
    <row r="509" s="66" customFormat="1" x14ac:dyDescent="0.2"/>
    <row r="510" s="66" customFormat="1" x14ac:dyDescent="0.2"/>
    <row r="511" s="66" customFormat="1" x14ac:dyDescent="0.2"/>
    <row r="512" s="66" customFormat="1" x14ac:dyDescent="0.2"/>
    <row r="513" s="66" customFormat="1" x14ac:dyDescent="0.2"/>
    <row r="514" s="66" customFormat="1" x14ac:dyDescent="0.2"/>
    <row r="515" s="66" customFormat="1" x14ac:dyDescent="0.2"/>
    <row r="516" s="66" customFormat="1" x14ac:dyDescent="0.2"/>
    <row r="517" s="66" customFormat="1" x14ac:dyDescent="0.2"/>
    <row r="518" s="66" customFormat="1" x14ac:dyDescent="0.2"/>
    <row r="519" s="66" customFormat="1" x14ac:dyDescent="0.2"/>
    <row r="520" s="66" customFormat="1" x14ac:dyDescent="0.2"/>
    <row r="521" s="66" customFormat="1" x14ac:dyDescent="0.2"/>
    <row r="522" s="66" customFormat="1" x14ac:dyDescent="0.2"/>
    <row r="523" s="66" customFormat="1" x14ac:dyDescent="0.2"/>
    <row r="524" s="66" customFormat="1" x14ac:dyDescent="0.2"/>
    <row r="525" s="66" customFormat="1" x14ac:dyDescent="0.2"/>
    <row r="526" s="66" customFormat="1" x14ac:dyDescent="0.2"/>
    <row r="527" s="66" customFormat="1" x14ac:dyDescent="0.2"/>
    <row r="528" s="66" customFormat="1" x14ac:dyDescent="0.2"/>
    <row r="529" s="66" customFormat="1" x14ac:dyDescent="0.2"/>
    <row r="530" s="66" customFormat="1" x14ac:dyDescent="0.2"/>
    <row r="531" s="66" customFormat="1" x14ac:dyDescent="0.2"/>
    <row r="532" s="66" customFormat="1" x14ac:dyDescent="0.2"/>
    <row r="533" s="66" customFormat="1" x14ac:dyDescent="0.2"/>
    <row r="534" s="66" customFormat="1" x14ac:dyDescent="0.2"/>
    <row r="535" s="66" customFormat="1" x14ac:dyDescent="0.2"/>
    <row r="536" s="66" customFormat="1" x14ac:dyDescent="0.2"/>
    <row r="537" s="66" customFormat="1" x14ac:dyDescent="0.2"/>
    <row r="538" s="66" customFormat="1" x14ac:dyDescent="0.2"/>
    <row r="539" s="66" customFormat="1" x14ac:dyDescent="0.2"/>
    <row r="540" s="66" customFormat="1" x14ac:dyDescent="0.2"/>
    <row r="541" s="66" customFormat="1" x14ac:dyDescent="0.2"/>
    <row r="542" s="66" customFormat="1" x14ac:dyDescent="0.2"/>
    <row r="543" s="66" customFormat="1" x14ac:dyDescent="0.2"/>
    <row r="544" s="66" customFormat="1" x14ac:dyDescent="0.2"/>
    <row r="545" s="66" customFormat="1" x14ac:dyDescent="0.2"/>
    <row r="546" s="66" customFormat="1" x14ac:dyDescent="0.2"/>
    <row r="547" s="66" customFormat="1" x14ac:dyDescent="0.2"/>
    <row r="548" s="66" customFormat="1" x14ac:dyDescent="0.2"/>
    <row r="549" s="66" customFormat="1" x14ac:dyDescent="0.2"/>
    <row r="550" s="66" customFormat="1" x14ac:dyDescent="0.2"/>
    <row r="551" s="66" customFormat="1" x14ac:dyDescent="0.2"/>
    <row r="552" s="66" customFormat="1" x14ac:dyDescent="0.2"/>
    <row r="553" s="66" customFormat="1" x14ac:dyDescent="0.2"/>
    <row r="554" s="66" customFormat="1" x14ac:dyDescent="0.2"/>
    <row r="555" s="66" customFormat="1" x14ac:dyDescent="0.2"/>
    <row r="556" s="66" customFormat="1" x14ac:dyDescent="0.2"/>
    <row r="557" s="66" customFormat="1" x14ac:dyDescent="0.2"/>
    <row r="558" s="66" customFormat="1" x14ac:dyDescent="0.2"/>
    <row r="559" s="66" customFormat="1" x14ac:dyDescent="0.2"/>
    <row r="560" s="66" customFormat="1" x14ac:dyDescent="0.2"/>
    <row r="561" s="66" customFormat="1" x14ac:dyDescent="0.2"/>
    <row r="562" s="66" customFormat="1" x14ac:dyDescent="0.2"/>
    <row r="563" s="66" customFormat="1" x14ac:dyDescent="0.2"/>
    <row r="564" s="66" customFormat="1" x14ac:dyDescent="0.2"/>
    <row r="565" s="66" customFormat="1" x14ac:dyDescent="0.2"/>
    <row r="566" s="66" customFormat="1" x14ac:dyDescent="0.2"/>
    <row r="567" s="66" customFormat="1" x14ac:dyDescent="0.2"/>
    <row r="568" s="66" customFormat="1" x14ac:dyDescent="0.2"/>
    <row r="569" s="66" customFormat="1" x14ac:dyDescent="0.2"/>
    <row r="570" s="66" customFormat="1" x14ac:dyDescent="0.2"/>
    <row r="571" s="66" customFormat="1" x14ac:dyDescent="0.2"/>
    <row r="572" s="66" customFormat="1" x14ac:dyDescent="0.2"/>
    <row r="573" s="66" customFormat="1" x14ac:dyDescent="0.2"/>
    <row r="574" s="66" customFormat="1" x14ac:dyDescent="0.2"/>
    <row r="575" s="66" customFormat="1" x14ac:dyDescent="0.2"/>
    <row r="576" s="66" customFormat="1" x14ac:dyDescent="0.2"/>
    <row r="577" s="66" customFormat="1" x14ac:dyDescent="0.2"/>
    <row r="578" s="66" customFormat="1" x14ac:dyDescent="0.2"/>
    <row r="579" s="66" customFormat="1" x14ac:dyDescent="0.2"/>
    <row r="580" s="66" customFormat="1" x14ac:dyDescent="0.2"/>
    <row r="581" s="66" customFormat="1" x14ac:dyDescent="0.2"/>
    <row r="582" s="66" customFormat="1" x14ac:dyDescent="0.2"/>
    <row r="583" s="66" customFormat="1" x14ac:dyDescent="0.2"/>
    <row r="584" s="66" customFormat="1" x14ac:dyDescent="0.2"/>
    <row r="585" s="66" customFormat="1" x14ac:dyDescent="0.2"/>
    <row r="586" s="66" customFormat="1" x14ac:dyDescent="0.2"/>
    <row r="587" s="66" customFormat="1" x14ac:dyDescent="0.2"/>
    <row r="588" s="66" customFormat="1" x14ac:dyDescent="0.2"/>
    <row r="589" s="66" customFormat="1" x14ac:dyDescent="0.2"/>
    <row r="590" s="66" customFormat="1" x14ac:dyDescent="0.2"/>
    <row r="591" s="66" customFormat="1" x14ac:dyDescent="0.2"/>
    <row r="592" s="66" customFormat="1" x14ac:dyDescent="0.2"/>
    <row r="593" s="66" customFormat="1" x14ac:dyDescent="0.2"/>
    <row r="594" s="66" customFormat="1" x14ac:dyDescent="0.2"/>
    <row r="595" s="66" customFormat="1" x14ac:dyDescent="0.2"/>
    <row r="596" s="66" customFormat="1" x14ac:dyDescent="0.2"/>
    <row r="597" s="66" customFormat="1" x14ac:dyDescent="0.2"/>
    <row r="598" s="66" customFormat="1" x14ac:dyDescent="0.2"/>
    <row r="599" s="66" customFormat="1" x14ac:dyDescent="0.2"/>
    <row r="600" s="66" customFormat="1" x14ac:dyDescent="0.2"/>
    <row r="601" s="66" customFormat="1" x14ac:dyDescent="0.2"/>
    <row r="602" s="66" customFormat="1" x14ac:dyDescent="0.2"/>
    <row r="603" s="66" customFormat="1" x14ac:dyDescent="0.2"/>
    <row r="604" s="66" customFormat="1" x14ac:dyDescent="0.2"/>
    <row r="605" s="66" customFormat="1" x14ac:dyDescent="0.2"/>
    <row r="606" s="66" customFormat="1" x14ac:dyDescent="0.2"/>
    <row r="607" s="66" customFormat="1" x14ac:dyDescent="0.2"/>
    <row r="608" s="66" customFormat="1" x14ac:dyDescent="0.2"/>
    <row r="609" s="66" customFormat="1" x14ac:dyDescent="0.2"/>
    <row r="610" s="66" customFormat="1" x14ac:dyDescent="0.2"/>
    <row r="611" s="66" customFormat="1" x14ac:dyDescent="0.2"/>
    <row r="612" s="66" customFormat="1" x14ac:dyDescent="0.2"/>
    <row r="613" s="66" customFormat="1" x14ac:dyDescent="0.2"/>
    <row r="614" s="66" customFormat="1" x14ac:dyDescent="0.2"/>
    <row r="615" s="66" customFormat="1" x14ac:dyDescent="0.2"/>
    <row r="616" s="66" customFormat="1" x14ac:dyDescent="0.2"/>
    <row r="617" s="66" customFormat="1" x14ac:dyDescent="0.2"/>
    <row r="618" s="66" customFormat="1" x14ac:dyDescent="0.2"/>
    <row r="619" s="66" customFormat="1" x14ac:dyDescent="0.2"/>
    <row r="620" s="66" customFormat="1" x14ac:dyDescent="0.2"/>
    <row r="621" s="66" customFormat="1" x14ac:dyDescent="0.2"/>
    <row r="622" s="66" customFormat="1" x14ac:dyDescent="0.2"/>
    <row r="623" s="66" customFormat="1" x14ac:dyDescent="0.2"/>
    <row r="624" s="66" customFormat="1" x14ac:dyDescent="0.2"/>
    <row r="625" s="66" customFormat="1" x14ac:dyDescent="0.2"/>
    <row r="626" s="66" customFormat="1" x14ac:dyDescent="0.2"/>
    <row r="627" s="66" customFormat="1" x14ac:dyDescent="0.2"/>
    <row r="628" s="66" customFormat="1" x14ac:dyDescent="0.2"/>
    <row r="629" s="66" customFormat="1" x14ac:dyDescent="0.2"/>
    <row r="630" s="66" customFormat="1" x14ac:dyDescent="0.2"/>
    <row r="631" s="66" customFormat="1" x14ac:dyDescent="0.2"/>
    <row r="632" s="66" customFormat="1" x14ac:dyDescent="0.2"/>
    <row r="633" s="66" customFormat="1" x14ac:dyDescent="0.2"/>
    <row r="634" s="66" customFormat="1" x14ac:dyDescent="0.2"/>
    <row r="635" s="66" customFormat="1" x14ac:dyDescent="0.2"/>
    <row r="636" s="66" customFormat="1" x14ac:dyDescent="0.2"/>
    <row r="637" s="66" customFormat="1" x14ac:dyDescent="0.2"/>
    <row r="638" s="66" customFormat="1" x14ac:dyDescent="0.2"/>
    <row r="639" s="66" customFormat="1" x14ac:dyDescent="0.2"/>
    <row r="640" s="66" customFormat="1" x14ac:dyDescent="0.2"/>
    <row r="641" s="66" customFormat="1" x14ac:dyDescent="0.2"/>
    <row r="642" s="66" customFormat="1" x14ac:dyDescent="0.2"/>
    <row r="643" s="66" customFormat="1" x14ac:dyDescent="0.2"/>
    <row r="644" s="66" customFormat="1" x14ac:dyDescent="0.2"/>
    <row r="645" s="66" customFormat="1" x14ac:dyDescent="0.2"/>
    <row r="646" s="66" customFormat="1" x14ac:dyDescent="0.2"/>
    <row r="647" s="66" customFormat="1" x14ac:dyDescent="0.2"/>
    <row r="648" s="66" customFormat="1" x14ac:dyDescent="0.2"/>
    <row r="649" s="66" customFormat="1" x14ac:dyDescent="0.2"/>
    <row r="650" s="66" customFormat="1" x14ac:dyDescent="0.2"/>
    <row r="651" s="66" customFormat="1" x14ac:dyDescent="0.2"/>
    <row r="652" s="66" customFormat="1" x14ac:dyDescent="0.2"/>
    <row r="653" s="66" customFormat="1" x14ac:dyDescent="0.2"/>
    <row r="654" s="66" customFormat="1" x14ac:dyDescent="0.2"/>
    <row r="655" s="66" customFormat="1" x14ac:dyDescent="0.2"/>
    <row r="656" s="66" customFormat="1" x14ac:dyDescent="0.2"/>
    <row r="657" s="66" customFormat="1" x14ac:dyDescent="0.2"/>
    <row r="658" s="66" customFormat="1" x14ac:dyDescent="0.2"/>
    <row r="659" s="66" customFormat="1" x14ac:dyDescent="0.2"/>
    <row r="660" s="66" customFormat="1" x14ac:dyDescent="0.2"/>
    <row r="661" s="66" customFormat="1" x14ac:dyDescent="0.2"/>
    <row r="662" s="66" customFormat="1" x14ac:dyDescent="0.2"/>
    <row r="663" s="66" customFormat="1" x14ac:dyDescent="0.2"/>
    <row r="664" s="66" customFormat="1" x14ac:dyDescent="0.2"/>
    <row r="665" s="66" customFormat="1" x14ac:dyDescent="0.2"/>
    <row r="666" s="66" customFormat="1" x14ac:dyDescent="0.2"/>
    <row r="667" s="66" customFormat="1" x14ac:dyDescent="0.2"/>
    <row r="668" s="66" customFormat="1" x14ac:dyDescent="0.2"/>
    <row r="669" s="66" customFormat="1" x14ac:dyDescent="0.2"/>
    <row r="670" s="66" customFormat="1" x14ac:dyDescent="0.2"/>
    <row r="671" s="66" customFormat="1" x14ac:dyDescent="0.2"/>
    <row r="672" s="66" customFormat="1" x14ac:dyDescent="0.2"/>
    <row r="673" s="66" customFormat="1" x14ac:dyDescent="0.2"/>
    <row r="674" s="66" customFormat="1" x14ac:dyDescent="0.2"/>
    <row r="675" s="66" customFormat="1" x14ac:dyDescent="0.2"/>
    <row r="676" s="66" customFormat="1" x14ac:dyDescent="0.2"/>
    <row r="677" s="66" customFormat="1" x14ac:dyDescent="0.2"/>
    <row r="678" s="66" customFormat="1" x14ac:dyDescent="0.2"/>
    <row r="679" s="66" customFormat="1" x14ac:dyDescent="0.2"/>
    <row r="680" s="66" customFormat="1" x14ac:dyDescent="0.2"/>
    <row r="681" s="66" customFormat="1" x14ac:dyDescent="0.2"/>
    <row r="682" s="66" customFormat="1" x14ac:dyDescent="0.2"/>
    <row r="683" s="66" customFormat="1" x14ac:dyDescent="0.2"/>
    <row r="684" s="66" customFormat="1" x14ac:dyDescent="0.2"/>
    <row r="685" s="66" customFormat="1" x14ac:dyDescent="0.2"/>
    <row r="686" s="66" customFormat="1" x14ac:dyDescent="0.2"/>
    <row r="687" s="66" customFormat="1" x14ac:dyDescent="0.2"/>
    <row r="688" s="66" customFormat="1" x14ac:dyDescent="0.2"/>
    <row r="689" s="66" customFormat="1" x14ac:dyDescent="0.2"/>
    <row r="690" s="66" customFormat="1" x14ac:dyDescent="0.2"/>
    <row r="691" s="66" customFormat="1" x14ac:dyDescent="0.2"/>
    <row r="692" s="66" customFormat="1" x14ac:dyDescent="0.2"/>
    <row r="693" s="66" customFormat="1" x14ac:dyDescent="0.2"/>
    <row r="694" s="66" customFormat="1" x14ac:dyDescent="0.2"/>
    <row r="695" s="66" customFormat="1" x14ac:dyDescent="0.2"/>
    <row r="696" s="66" customFormat="1" x14ac:dyDescent="0.2"/>
    <row r="697" s="66" customFormat="1" x14ac:dyDescent="0.2"/>
    <row r="698" s="66" customFormat="1" x14ac:dyDescent="0.2"/>
    <row r="699" s="66" customFormat="1" x14ac:dyDescent="0.2"/>
    <row r="700" s="66" customFormat="1" x14ac:dyDescent="0.2"/>
    <row r="701" s="66" customFormat="1" x14ac:dyDescent="0.2"/>
    <row r="702" s="66" customFormat="1" x14ac:dyDescent="0.2"/>
    <row r="703" s="66" customFormat="1" x14ac:dyDescent="0.2"/>
    <row r="704" s="66" customFormat="1" x14ac:dyDescent="0.2"/>
    <row r="705" s="66" customFormat="1" x14ac:dyDescent="0.2"/>
    <row r="706" s="66" customFormat="1" x14ac:dyDescent="0.2"/>
    <row r="707" s="66" customFormat="1" x14ac:dyDescent="0.2"/>
    <row r="708" s="66" customFormat="1" x14ac:dyDescent="0.2"/>
    <row r="709" s="66" customFormat="1" x14ac:dyDescent="0.2"/>
    <row r="710" s="66" customFormat="1" x14ac:dyDescent="0.2"/>
    <row r="711" s="66" customFormat="1" x14ac:dyDescent="0.2"/>
    <row r="712" s="66" customFormat="1" x14ac:dyDescent="0.2"/>
    <row r="713" s="66" customFormat="1" x14ac:dyDescent="0.2"/>
    <row r="714" s="66" customFormat="1" x14ac:dyDescent="0.2"/>
    <row r="715" s="66" customFormat="1" x14ac:dyDescent="0.2"/>
    <row r="716" s="66" customFormat="1" x14ac:dyDescent="0.2"/>
    <row r="717" s="66" customFormat="1" x14ac:dyDescent="0.2"/>
    <row r="718" s="66" customFormat="1" x14ac:dyDescent="0.2"/>
    <row r="719" s="66" customFormat="1" x14ac:dyDescent="0.2"/>
    <row r="720" s="66" customFormat="1" x14ac:dyDescent="0.2"/>
    <row r="721" s="66" customFormat="1" x14ac:dyDescent="0.2"/>
    <row r="722" s="66" customFormat="1" x14ac:dyDescent="0.2"/>
    <row r="723" s="66" customFormat="1" x14ac:dyDescent="0.2"/>
    <row r="724" s="66" customFormat="1" x14ac:dyDescent="0.2"/>
    <row r="725" s="66" customFormat="1" x14ac:dyDescent="0.2"/>
    <row r="726" s="66" customFormat="1" x14ac:dyDescent="0.2"/>
    <row r="727" s="66" customFormat="1" x14ac:dyDescent="0.2"/>
    <row r="728" s="66" customFormat="1" x14ac:dyDescent="0.2"/>
    <row r="729" s="66" customFormat="1" x14ac:dyDescent="0.2"/>
    <row r="730" s="66" customFormat="1" x14ac:dyDescent="0.2"/>
    <row r="731" s="66" customFormat="1" x14ac:dyDescent="0.2"/>
    <row r="732" s="66" customFormat="1" x14ac:dyDescent="0.2"/>
    <row r="733" s="66" customFormat="1" x14ac:dyDescent="0.2"/>
    <row r="734" s="66" customFormat="1" x14ac:dyDescent="0.2"/>
    <row r="735" s="66" customFormat="1" x14ac:dyDescent="0.2"/>
    <row r="736" s="66" customFormat="1" x14ac:dyDescent="0.2"/>
    <row r="737" s="66" customFormat="1" x14ac:dyDescent="0.2"/>
    <row r="738" s="66" customFormat="1" x14ac:dyDescent="0.2"/>
    <row r="739" s="66" customFormat="1" x14ac:dyDescent="0.2"/>
    <row r="740" s="66" customFormat="1" x14ac:dyDescent="0.2"/>
    <row r="741" s="66" customFormat="1" x14ac:dyDescent="0.2"/>
    <row r="742" s="66" customFormat="1" x14ac:dyDescent="0.2"/>
    <row r="743" s="66" customFormat="1" x14ac:dyDescent="0.2"/>
    <row r="744" s="66" customFormat="1" x14ac:dyDescent="0.2"/>
    <row r="745" s="66" customFormat="1" x14ac:dyDescent="0.2"/>
    <row r="746" s="66" customFormat="1" x14ac:dyDescent="0.2"/>
    <row r="747" s="66" customFormat="1" x14ac:dyDescent="0.2"/>
    <row r="748" s="66" customFormat="1" x14ac:dyDescent="0.2"/>
    <row r="749" s="66" customFormat="1" x14ac:dyDescent="0.2"/>
    <row r="750" s="66" customFormat="1" x14ac:dyDescent="0.2"/>
    <row r="751" s="66" customFormat="1" x14ac:dyDescent="0.2"/>
    <row r="752" s="66" customFormat="1" x14ac:dyDescent="0.2"/>
    <row r="753" s="66" customFormat="1" x14ac:dyDescent="0.2"/>
    <row r="754" s="66" customFormat="1" x14ac:dyDescent="0.2"/>
    <row r="755" s="66" customFormat="1" x14ac:dyDescent="0.2"/>
    <row r="756" s="66" customFormat="1" x14ac:dyDescent="0.2"/>
    <row r="757" s="66" customFormat="1" x14ac:dyDescent="0.2"/>
    <row r="758" s="66" customFormat="1" x14ac:dyDescent="0.2"/>
    <row r="759" s="66" customFormat="1" x14ac:dyDescent="0.2"/>
    <row r="760" s="66" customFormat="1" x14ac:dyDescent="0.2"/>
    <row r="761" s="66" customFormat="1" x14ac:dyDescent="0.2"/>
    <row r="762" s="66" customFormat="1" x14ac:dyDescent="0.2"/>
    <row r="763" s="66" customFormat="1" x14ac:dyDescent="0.2"/>
    <row r="764" s="66" customFormat="1" x14ac:dyDescent="0.2"/>
    <row r="765" s="66" customFormat="1" x14ac:dyDescent="0.2"/>
    <row r="766" s="66" customFormat="1" x14ac:dyDescent="0.2"/>
    <row r="767" s="66" customFormat="1" x14ac:dyDescent="0.2"/>
    <row r="768" s="66" customFormat="1" x14ac:dyDescent="0.2"/>
    <row r="769" s="66" customFormat="1" x14ac:dyDescent="0.2"/>
    <row r="770" s="66" customFormat="1" x14ac:dyDescent="0.2"/>
    <row r="771" s="66" customFormat="1" x14ac:dyDescent="0.2"/>
    <row r="772" s="66" customFormat="1" x14ac:dyDescent="0.2"/>
    <row r="773" s="66" customFormat="1" x14ac:dyDescent="0.2"/>
    <row r="774" s="66" customFormat="1" x14ac:dyDescent="0.2"/>
    <row r="775" s="66" customFormat="1" x14ac:dyDescent="0.2"/>
    <row r="776" s="66" customFormat="1" x14ac:dyDescent="0.2"/>
    <row r="777" s="66" customFormat="1" x14ac:dyDescent="0.2"/>
    <row r="778" s="66" customFormat="1" x14ac:dyDescent="0.2"/>
    <row r="779" s="66" customFormat="1" x14ac:dyDescent="0.2"/>
    <row r="780" s="66" customFormat="1" x14ac:dyDescent="0.2"/>
    <row r="781" s="66" customFormat="1" x14ac:dyDescent="0.2"/>
    <row r="782" s="66" customFormat="1" x14ac:dyDescent="0.2"/>
    <row r="783" s="66" customFormat="1" x14ac:dyDescent="0.2"/>
    <row r="784" s="66" customFormat="1" x14ac:dyDescent="0.2"/>
    <row r="785" s="66" customFormat="1" x14ac:dyDescent="0.2"/>
    <row r="786" s="66" customFormat="1" x14ac:dyDescent="0.2"/>
    <row r="787" s="66" customFormat="1" x14ac:dyDescent="0.2"/>
    <row r="788" s="66" customFormat="1" x14ac:dyDescent="0.2"/>
    <row r="789" s="66" customFormat="1" x14ac:dyDescent="0.2"/>
    <row r="790" s="66" customFormat="1" x14ac:dyDescent="0.2"/>
    <row r="791" s="66" customFormat="1" x14ac:dyDescent="0.2"/>
    <row r="792" s="66" customFormat="1" x14ac:dyDescent="0.2"/>
    <row r="793" s="66" customFormat="1" x14ac:dyDescent="0.2"/>
    <row r="794" s="66" customFormat="1" x14ac:dyDescent="0.2"/>
    <row r="795" s="66" customFormat="1" x14ac:dyDescent="0.2"/>
    <row r="796" s="66" customFormat="1" x14ac:dyDescent="0.2"/>
    <row r="797" s="66" customFormat="1" x14ac:dyDescent="0.2"/>
    <row r="798" s="66" customFormat="1" x14ac:dyDescent="0.2"/>
    <row r="799" s="66" customFormat="1" x14ac:dyDescent="0.2"/>
    <row r="800" s="66" customFormat="1" x14ac:dyDescent="0.2"/>
    <row r="801" s="66" customFormat="1" x14ac:dyDescent="0.2"/>
    <row r="802" s="66" customFormat="1" x14ac:dyDescent="0.2"/>
    <row r="803" s="66" customFormat="1" x14ac:dyDescent="0.2"/>
    <row r="804" s="66" customFormat="1" x14ac:dyDescent="0.2"/>
    <row r="805" s="66" customFormat="1" x14ac:dyDescent="0.2"/>
    <row r="806" s="66" customFormat="1" x14ac:dyDescent="0.2"/>
    <row r="807" s="66" customFormat="1" x14ac:dyDescent="0.2"/>
    <row r="808" s="66" customFormat="1" x14ac:dyDescent="0.2"/>
    <row r="809" s="66" customFormat="1" x14ac:dyDescent="0.2"/>
    <row r="810" s="66" customFormat="1" x14ac:dyDescent="0.2"/>
    <row r="811" s="66" customFormat="1" x14ac:dyDescent="0.2"/>
    <row r="812" s="66" customFormat="1" x14ac:dyDescent="0.2"/>
    <row r="813" s="66" customFormat="1" x14ac:dyDescent="0.2"/>
    <row r="814" s="66" customFormat="1" x14ac:dyDescent="0.2"/>
    <row r="815" s="66" customFormat="1" x14ac:dyDescent="0.2"/>
    <row r="816" s="66" customFormat="1" x14ac:dyDescent="0.2"/>
    <row r="817" s="66" customFormat="1" x14ac:dyDescent="0.2"/>
    <row r="818" s="66" customFormat="1" x14ac:dyDescent="0.2"/>
    <row r="819" s="66" customFormat="1" x14ac:dyDescent="0.2"/>
    <row r="820" s="66" customFormat="1" x14ac:dyDescent="0.2"/>
    <row r="821" s="66" customFormat="1" x14ac:dyDescent="0.2"/>
    <row r="822" s="66" customFormat="1" x14ac:dyDescent="0.2"/>
    <row r="823" s="66" customFormat="1" x14ac:dyDescent="0.2"/>
    <row r="824" s="66" customFormat="1" x14ac:dyDescent="0.2"/>
    <row r="825" s="66" customFormat="1" x14ac:dyDescent="0.2"/>
    <row r="826" s="66" customFormat="1" x14ac:dyDescent="0.2"/>
    <row r="827" s="66" customFormat="1" x14ac:dyDescent="0.2"/>
    <row r="828" s="66" customFormat="1" x14ac:dyDescent="0.2"/>
    <row r="829" s="66" customFormat="1" x14ac:dyDescent="0.2"/>
    <row r="830" s="66" customFormat="1" x14ac:dyDescent="0.2"/>
    <row r="831" s="66" customFormat="1" x14ac:dyDescent="0.2"/>
    <row r="832" s="66" customFormat="1" x14ac:dyDescent="0.2"/>
    <row r="833" s="66" customFormat="1" x14ac:dyDescent="0.2"/>
    <row r="834" s="66" customFormat="1" x14ac:dyDescent="0.2"/>
    <row r="835" s="66" customFormat="1" x14ac:dyDescent="0.2"/>
    <row r="836" s="66" customFormat="1" x14ac:dyDescent="0.2"/>
    <row r="837" s="66" customFormat="1" x14ac:dyDescent="0.2"/>
    <row r="838" s="66" customFormat="1" x14ac:dyDescent="0.2"/>
    <row r="839" s="66" customFormat="1" x14ac:dyDescent="0.2"/>
    <row r="840" s="66" customFormat="1" x14ac:dyDescent="0.2"/>
    <row r="841" s="66" customFormat="1" x14ac:dyDescent="0.2"/>
    <row r="842" s="66" customFormat="1" x14ac:dyDescent="0.2"/>
    <row r="843" s="66" customFormat="1" x14ac:dyDescent="0.2"/>
    <row r="844" s="66" customFormat="1" x14ac:dyDescent="0.2"/>
    <row r="845" s="66" customFormat="1" x14ac:dyDescent="0.2"/>
    <row r="846" s="66" customFormat="1" x14ac:dyDescent="0.2"/>
    <row r="847" s="66" customFormat="1" x14ac:dyDescent="0.2"/>
    <row r="848" s="66" customFormat="1" x14ac:dyDescent="0.2"/>
    <row r="849" s="66" customFormat="1" x14ac:dyDescent="0.2"/>
    <row r="850" s="66" customFormat="1" x14ac:dyDescent="0.2"/>
    <row r="851" s="66" customFormat="1" x14ac:dyDescent="0.2"/>
    <row r="852" s="66" customFormat="1" x14ac:dyDescent="0.2"/>
    <row r="853" s="66" customFormat="1" x14ac:dyDescent="0.2"/>
    <row r="854" s="66" customFormat="1" x14ac:dyDescent="0.2"/>
    <row r="855" s="66" customFormat="1" x14ac:dyDescent="0.2"/>
    <row r="856" s="66" customFormat="1" x14ac:dyDescent="0.2"/>
    <row r="857" s="66" customFormat="1" x14ac:dyDescent="0.2"/>
    <row r="858" s="66" customFormat="1" x14ac:dyDescent="0.2"/>
    <row r="859" s="66" customFormat="1" x14ac:dyDescent="0.2"/>
    <row r="860" s="66" customFormat="1" x14ac:dyDescent="0.2"/>
    <row r="861" s="66" customFormat="1" x14ac:dyDescent="0.2"/>
    <row r="862" s="66" customFormat="1" x14ac:dyDescent="0.2"/>
    <row r="863" s="66" customFormat="1" x14ac:dyDescent="0.2"/>
    <row r="864" s="66" customFormat="1" x14ac:dyDescent="0.2"/>
    <row r="865" s="66" customFormat="1" x14ac:dyDescent="0.2"/>
    <row r="866" s="66" customFormat="1" x14ac:dyDescent="0.2"/>
    <row r="867" s="66" customFormat="1" x14ac:dyDescent="0.2"/>
    <row r="868" s="66" customFormat="1" x14ac:dyDescent="0.2"/>
    <row r="869" s="66" customFormat="1" x14ac:dyDescent="0.2"/>
    <row r="870" s="66" customFormat="1" x14ac:dyDescent="0.2"/>
    <row r="871" s="66" customFormat="1" x14ac:dyDescent="0.2"/>
    <row r="872" s="66" customFormat="1" x14ac:dyDescent="0.2"/>
    <row r="873" s="66" customFormat="1" x14ac:dyDescent="0.2"/>
    <row r="874" s="66" customFormat="1" x14ac:dyDescent="0.2"/>
    <row r="875" s="66" customFormat="1" x14ac:dyDescent="0.2"/>
    <row r="876" s="66" customFormat="1" x14ac:dyDescent="0.2"/>
    <row r="877" s="66" customFormat="1" x14ac:dyDescent="0.2"/>
    <row r="878" s="66" customFormat="1" x14ac:dyDescent="0.2"/>
    <row r="879" s="66" customFormat="1" x14ac:dyDescent="0.2"/>
    <row r="880" s="66" customFormat="1" x14ac:dyDescent="0.2"/>
    <row r="881" s="66" customFormat="1" x14ac:dyDescent="0.2"/>
    <row r="882" s="66" customFormat="1" x14ac:dyDescent="0.2"/>
    <row r="883" s="66" customFormat="1" x14ac:dyDescent="0.2"/>
    <row r="884" s="66" customFormat="1" x14ac:dyDescent="0.2"/>
    <row r="885" s="66" customFormat="1" x14ac:dyDescent="0.2"/>
    <row r="886" s="66" customFormat="1" x14ac:dyDescent="0.2"/>
    <row r="887" s="66" customFormat="1" x14ac:dyDescent="0.2"/>
    <row r="888" s="66" customFormat="1" x14ac:dyDescent="0.2"/>
    <row r="889" s="66" customFormat="1" x14ac:dyDescent="0.2"/>
    <row r="890" s="66" customFormat="1" x14ac:dyDescent="0.2"/>
    <row r="891" s="66" customFormat="1" x14ac:dyDescent="0.2"/>
    <row r="892" s="66" customFormat="1" x14ac:dyDescent="0.2"/>
    <row r="893" s="66" customFormat="1" x14ac:dyDescent="0.2"/>
    <row r="894" s="66" customFormat="1" x14ac:dyDescent="0.2"/>
    <row r="895" s="66" customFormat="1" x14ac:dyDescent="0.2"/>
    <row r="896" s="66" customFormat="1" x14ac:dyDescent="0.2"/>
    <row r="897" s="66" customFormat="1" x14ac:dyDescent="0.2"/>
    <row r="898" s="66" customFormat="1" x14ac:dyDescent="0.2"/>
    <row r="899" s="66" customFormat="1" x14ac:dyDescent="0.2"/>
    <row r="900" s="66" customFormat="1" x14ac:dyDescent="0.2"/>
    <row r="901" s="66" customFormat="1" x14ac:dyDescent="0.2"/>
    <row r="902" s="66" customFormat="1" x14ac:dyDescent="0.2"/>
    <row r="903" s="66" customFormat="1" x14ac:dyDescent="0.2"/>
    <row r="904" s="66" customFormat="1" x14ac:dyDescent="0.2"/>
    <row r="905" s="66" customFormat="1" x14ac:dyDescent="0.2"/>
    <row r="906" s="66" customFormat="1" x14ac:dyDescent="0.2"/>
    <row r="907" s="66" customFormat="1" x14ac:dyDescent="0.2"/>
    <row r="908" s="66" customFormat="1" x14ac:dyDescent="0.2"/>
    <row r="909" s="66" customFormat="1" x14ac:dyDescent="0.2"/>
    <row r="910" s="66" customFormat="1" x14ac:dyDescent="0.2"/>
    <row r="911" s="66" customFormat="1" x14ac:dyDescent="0.2"/>
    <row r="912" s="66" customFormat="1" x14ac:dyDescent="0.2"/>
    <row r="913" s="66" customFormat="1" x14ac:dyDescent="0.2"/>
    <row r="914" s="66" customFormat="1" x14ac:dyDescent="0.2"/>
    <row r="915" s="66" customFormat="1" x14ac:dyDescent="0.2"/>
    <row r="916" s="66" customFormat="1" x14ac:dyDescent="0.2"/>
    <row r="917" s="66" customFormat="1" x14ac:dyDescent="0.2"/>
    <row r="918" s="66" customFormat="1" x14ac:dyDescent="0.2"/>
    <row r="919" s="66" customFormat="1" x14ac:dyDescent="0.2"/>
    <row r="920" s="66" customFormat="1" x14ac:dyDescent="0.2"/>
    <row r="921" s="66" customFormat="1" x14ac:dyDescent="0.2"/>
    <row r="922" s="66" customFormat="1" x14ac:dyDescent="0.2"/>
    <row r="923" s="66" customFormat="1" x14ac:dyDescent="0.2"/>
    <row r="924" s="66" customFormat="1" x14ac:dyDescent="0.2"/>
    <row r="925" s="66" customFormat="1" x14ac:dyDescent="0.2"/>
    <row r="926" s="66" customFormat="1" x14ac:dyDescent="0.2"/>
    <row r="927" s="66" customFormat="1" x14ac:dyDescent="0.2"/>
    <row r="928" s="66" customFormat="1" x14ac:dyDescent="0.2"/>
    <row r="929" s="66" customFormat="1" x14ac:dyDescent="0.2"/>
    <row r="930" s="66" customFormat="1" x14ac:dyDescent="0.2"/>
    <row r="931" s="66" customFormat="1" x14ac:dyDescent="0.2"/>
    <row r="932" s="66" customFormat="1" x14ac:dyDescent="0.2"/>
    <row r="933" s="66" customFormat="1" x14ac:dyDescent="0.2"/>
    <row r="934" s="66" customFormat="1" x14ac:dyDescent="0.2"/>
    <row r="935" s="66" customFormat="1" x14ac:dyDescent="0.2"/>
    <row r="936" s="66" customFormat="1" x14ac:dyDescent="0.2"/>
    <row r="937" s="66" customFormat="1" x14ac:dyDescent="0.2"/>
    <row r="938" s="66" customFormat="1" x14ac:dyDescent="0.2"/>
    <row r="939" s="66" customFormat="1" x14ac:dyDescent="0.2"/>
    <row r="940" s="66" customFormat="1" x14ac:dyDescent="0.2"/>
    <row r="941" s="66" customFormat="1" x14ac:dyDescent="0.2"/>
    <row r="942" s="66" customFormat="1" x14ac:dyDescent="0.2"/>
    <row r="943" s="66" customFormat="1" x14ac:dyDescent="0.2"/>
    <row r="944" s="66" customFormat="1" x14ac:dyDescent="0.2"/>
    <row r="945" s="66" customFormat="1" x14ac:dyDescent="0.2"/>
    <row r="946" s="66" customFormat="1" x14ac:dyDescent="0.2"/>
    <row r="947" s="66" customFormat="1" x14ac:dyDescent="0.2"/>
    <row r="948" s="66" customFormat="1" x14ac:dyDescent="0.2"/>
    <row r="949" s="66" customFormat="1" x14ac:dyDescent="0.2"/>
    <row r="950" s="66" customFormat="1" x14ac:dyDescent="0.2"/>
    <row r="951" s="66" customFormat="1" x14ac:dyDescent="0.2"/>
    <row r="952" s="66" customFormat="1" x14ac:dyDescent="0.2"/>
    <row r="953" s="66" customFormat="1" x14ac:dyDescent="0.2"/>
    <row r="954" s="66" customFormat="1" x14ac:dyDescent="0.2"/>
    <row r="955" s="66" customFormat="1" x14ac:dyDescent="0.2"/>
    <row r="956" s="66" customFormat="1" x14ac:dyDescent="0.2"/>
    <row r="957" s="66" customFormat="1" x14ac:dyDescent="0.2"/>
    <row r="958" s="66" customFormat="1" x14ac:dyDescent="0.2"/>
    <row r="959" s="66" customFormat="1" x14ac:dyDescent="0.2"/>
    <row r="960" s="66" customFormat="1" x14ac:dyDescent="0.2"/>
    <row r="961" s="66" customFormat="1" x14ac:dyDescent="0.2"/>
    <row r="962" s="66" customFormat="1" x14ac:dyDescent="0.2"/>
    <row r="963" s="66" customFormat="1" x14ac:dyDescent="0.2"/>
    <row r="964" s="66" customFormat="1" x14ac:dyDescent="0.2"/>
    <row r="965" s="66" customFormat="1" x14ac:dyDescent="0.2"/>
    <row r="966" s="66" customFormat="1" x14ac:dyDescent="0.2"/>
    <row r="967" s="66" customFormat="1" x14ac:dyDescent="0.2"/>
    <row r="968" s="66" customFormat="1" x14ac:dyDescent="0.2"/>
    <row r="969" s="66" customFormat="1" x14ac:dyDescent="0.2"/>
    <row r="970" s="66" customFormat="1" x14ac:dyDescent="0.2"/>
    <row r="971" s="66" customFormat="1" x14ac:dyDescent="0.2"/>
    <row r="972" s="66" customFormat="1" x14ac:dyDescent="0.2"/>
    <row r="973" s="66" customFormat="1" x14ac:dyDescent="0.2"/>
    <row r="974" s="66" customFormat="1" x14ac:dyDescent="0.2"/>
    <row r="975" s="66" customFormat="1" x14ac:dyDescent="0.2"/>
    <row r="976" s="66" customFormat="1" x14ac:dyDescent="0.2"/>
    <row r="977" s="66" customFormat="1" x14ac:dyDescent="0.2"/>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S311"/>
  <sheetViews>
    <sheetView zoomScale="62" zoomScaleNormal="25" workbookViewId="0">
      <pane ySplit="5" topLeftCell="A22" activePane="bottomLeft" state="frozen"/>
      <selection pane="bottomLeft" activeCell="C51" sqref="C51"/>
    </sheetView>
  </sheetViews>
  <sheetFormatPr baseColWidth="10" defaultColWidth="8.6640625" defaultRowHeight="15" x14ac:dyDescent="0.2"/>
  <cols>
    <col min="1" max="1" width="3" customWidth="1"/>
    <col min="2" max="2" width="34.33203125" customWidth="1"/>
    <col min="3" max="3" width="8" customWidth="1"/>
    <col min="4" max="4" width="58.33203125" style="12" customWidth="1"/>
    <col min="5" max="5" width="0.1640625" customWidth="1"/>
    <col min="6" max="6" width="12" customWidth="1"/>
    <col min="7" max="39" width="13" customWidth="1"/>
    <col min="40" max="41" width="4.6640625" customWidth="1"/>
    <col min="42" max="42" width="9" customWidth="1"/>
    <col min="43" max="46" width="4.5" customWidth="1"/>
    <col min="47" max="47" width="7" customWidth="1"/>
    <col min="48" max="48" width="16" customWidth="1"/>
    <col min="49" max="49" width="9" customWidth="1"/>
    <col min="50" max="53" width="6" customWidth="1"/>
    <col min="54" max="54" width="8" customWidth="1"/>
    <col min="55" max="55" width="14" customWidth="1"/>
    <col min="56" max="56" width="11" customWidth="1"/>
    <col min="57" max="71" width="8.6640625" style="13"/>
  </cols>
  <sheetData>
    <row r="1" spans="1:46" ht="16.5" customHeight="1" x14ac:dyDescent="0.2">
      <c r="A1" s="2" t="s">
        <v>34</v>
      </c>
      <c r="B1" s="2"/>
      <c r="C1" s="2"/>
      <c r="D1" s="2"/>
      <c r="E1" s="2"/>
      <c r="AL1" s="14" t="s">
        <v>35</v>
      </c>
      <c r="AQ1" s="15" t="s">
        <v>36</v>
      </c>
      <c r="AR1" s="16">
        <v>12</v>
      </c>
    </row>
    <row r="2" spans="1:46" ht="15" customHeight="1" x14ac:dyDescent="0.2">
      <c r="E2" s="14" t="s">
        <v>37</v>
      </c>
      <c r="F2" s="17" t="s">
        <v>38</v>
      </c>
      <c r="G2" s="17" t="s">
        <v>38</v>
      </c>
      <c r="H2" s="17" t="s">
        <v>38</v>
      </c>
      <c r="I2" s="17" t="s">
        <v>38</v>
      </c>
      <c r="J2" s="17" t="s">
        <v>38</v>
      </c>
      <c r="K2" s="17" t="s">
        <v>38</v>
      </c>
      <c r="L2" s="17" t="s">
        <v>38</v>
      </c>
      <c r="M2" s="17" t="s">
        <v>38</v>
      </c>
      <c r="N2" s="17" t="s">
        <v>38</v>
      </c>
      <c r="O2" s="17" t="s">
        <v>38</v>
      </c>
      <c r="P2" s="17" t="s">
        <v>38</v>
      </c>
      <c r="Q2" s="17" t="s">
        <v>38</v>
      </c>
      <c r="R2" s="18" t="s">
        <v>39</v>
      </c>
      <c r="S2" s="18" t="s">
        <v>39</v>
      </c>
      <c r="T2" s="18" t="s">
        <v>39</v>
      </c>
      <c r="U2" s="18" t="s">
        <v>39</v>
      </c>
      <c r="V2" s="18" t="s">
        <v>39</v>
      </c>
      <c r="W2" s="18" t="s">
        <v>39</v>
      </c>
      <c r="X2" s="18" t="s">
        <v>39</v>
      </c>
      <c r="Y2" s="18" t="s">
        <v>40</v>
      </c>
      <c r="Z2" s="18" t="s">
        <v>40</v>
      </c>
      <c r="AA2" s="19" t="s">
        <v>40</v>
      </c>
      <c r="AB2" s="19" t="s">
        <v>40</v>
      </c>
      <c r="AC2" s="19" t="s">
        <v>40</v>
      </c>
      <c r="AD2" s="19" t="s">
        <v>40</v>
      </c>
      <c r="AE2" s="19" t="s">
        <v>41</v>
      </c>
      <c r="AF2" s="20" t="s">
        <v>40</v>
      </c>
      <c r="AG2" s="20" t="s">
        <v>40</v>
      </c>
      <c r="AH2" s="20" t="s">
        <v>41</v>
      </c>
      <c r="AI2" s="20" t="s">
        <v>41</v>
      </c>
      <c r="AJ2" s="20" t="s">
        <v>41</v>
      </c>
      <c r="AK2" s="21" t="s">
        <v>40</v>
      </c>
      <c r="AQ2" s="15" t="s">
        <v>42</v>
      </c>
      <c r="AR2" s="16">
        <v>3</v>
      </c>
    </row>
    <row r="3" spans="1:46" ht="15" customHeight="1" x14ac:dyDescent="0.2">
      <c r="E3" s="14" t="s">
        <v>43</v>
      </c>
      <c r="F3" s="17" t="s">
        <v>44</v>
      </c>
      <c r="G3" s="17" t="s">
        <v>44</v>
      </c>
      <c r="H3" s="17" t="s">
        <v>44</v>
      </c>
      <c r="I3" s="17" t="s">
        <v>44</v>
      </c>
      <c r="J3" s="17" t="s">
        <v>44</v>
      </c>
      <c r="K3" s="17" t="s">
        <v>44</v>
      </c>
      <c r="L3" s="17" t="s">
        <v>44</v>
      </c>
      <c r="M3" s="17" t="s">
        <v>44</v>
      </c>
      <c r="N3" s="17" t="s">
        <v>44</v>
      </c>
      <c r="O3" s="17" t="s">
        <v>44</v>
      </c>
      <c r="P3" s="17" t="s">
        <v>44</v>
      </c>
      <c r="Q3" s="17" t="s">
        <v>44</v>
      </c>
      <c r="R3" s="18" t="s">
        <v>45</v>
      </c>
      <c r="S3" s="18" t="s">
        <v>45</v>
      </c>
      <c r="T3" s="18" t="s">
        <v>45</v>
      </c>
      <c r="U3" s="18" t="s">
        <v>45</v>
      </c>
      <c r="V3" s="18" t="s">
        <v>45</v>
      </c>
      <c r="W3" s="18" t="s">
        <v>45</v>
      </c>
      <c r="X3" s="18" t="s">
        <v>45</v>
      </c>
      <c r="Y3" s="18" t="s">
        <v>45</v>
      </c>
      <c r="Z3" s="18" t="s">
        <v>45</v>
      </c>
      <c r="AA3" s="19" t="s">
        <v>45</v>
      </c>
      <c r="AB3" s="19" t="s">
        <v>45</v>
      </c>
      <c r="AC3" s="19" t="s">
        <v>46</v>
      </c>
      <c r="AD3" s="19" t="s">
        <v>46</v>
      </c>
      <c r="AE3" s="19" t="s">
        <v>46</v>
      </c>
      <c r="AF3" s="20" t="s">
        <v>47</v>
      </c>
      <c r="AG3" s="20" t="s">
        <v>47</v>
      </c>
      <c r="AH3" s="20" t="s">
        <v>47</v>
      </c>
      <c r="AI3" s="20" t="s">
        <v>47</v>
      </c>
      <c r="AJ3" s="20" t="s">
        <v>47</v>
      </c>
      <c r="AK3" s="21" t="s">
        <v>45</v>
      </c>
      <c r="AQ3" s="22" t="s">
        <v>48</v>
      </c>
      <c r="AR3" s="23">
        <v>0.5</v>
      </c>
    </row>
    <row r="4" spans="1:46" ht="15" customHeight="1" x14ac:dyDescent="0.2">
      <c r="E4" s="14" t="s">
        <v>49</v>
      </c>
      <c r="F4" s="17" t="s">
        <v>50</v>
      </c>
      <c r="G4" s="17" t="s">
        <v>50</v>
      </c>
      <c r="H4" s="17" t="s">
        <v>50</v>
      </c>
      <c r="I4" s="17" t="s">
        <v>50</v>
      </c>
      <c r="J4" s="17" t="s">
        <v>50</v>
      </c>
      <c r="K4" s="17" t="s">
        <v>50</v>
      </c>
      <c r="L4" s="17" t="s">
        <v>50</v>
      </c>
      <c r="M4" s="17" t="s">
        <v>50</v>
      </c>
      <c r="N4" s="17" t="s">
        <v>50</v>
      </c>
      <c r="O4" s="17" t="s">
        <v>50</v>
      </c>
      <c r="P4" s="17" t="s">
        <v>50</v>
      </c>
      <c r="Q4" s="17" t="s">
        <v>50</v>
      </c>
      <c r="R4" s="18" t="s">
        <v>50</v>
      </c>
      <c r="S4" s="18" t="s">
        <v>50</v>
      </c>
      <c r="T4" s="18" t="s">
        <v>50</v>
      </c>
      <c r="U4" s="18" t="s">
        <v>50</v>
      </c>
      <c r="V4" s="18" t="s">
        <v>50</v>
      </c>
      <c r="W4" s="18" t="s">
        <v>50</v>
      </c>
      <c r="X4" s="18" t="s">
        <v>50</v>
      </c>
      <c r="Y4" s="18" t="s">
        <v>51</v>
      </c>
      <c r="Z4" s="18" t="s">
        <v>51</v>
      </c>
      <c r="AA4" s="19" t="s">
        <v>50</v>
      </c>
      <c r="AB4" s="19" t="s">
        <v>50</v>
      </c>
      <c r="AC4" s="19" t="s">
        <v>51</v>
      </c>
      <c r="AD4" s="19" t="s">
        <v>51</v>
      </c>
      <c r="AE4" s="19" t="s">
        <v>50</v>
      </c>
      <c r="AF4" s="20" t="s">
        <v>50</v>
      </c>
      <c r="AG4" s="20" t="s">
        <v>50</v>
      </c>
      <c r="AH4" s="20" t="s">
        <v>50</v>
      </c>
      <c r="AI4" s="20" t="s">
        <v>50</v>
      </c>
      <c r="AJ4" s="20" t="s">
        <v>50</v>
      </c>
      <c r="AK4" s="21" t="s">
        <v>51</v>
      </c>
    </row>
    <row r="5" spans="1:46" ht="150" customHeight="1" x14ac:dyDescent="0.2">
      <c r="A5" s="24" t="s">
        <v>52</v>
      </c>
      <c r="B5" s="24" t="s">
        <v>53</v>
      </c>
      <c r="C5" s="24" t="s">
        <v>54</v>
      </c>
      <c r="D5" s="24"/>
      <c r="E5" s="24" t="s">
        <v>55</v>
      </c>
      <c r="F5" s="25" t="s">
        <v>56</v>
      </c>
      <c r="G5" s="25" t="s">
        <v>57</v>
      </c>
      <c r="H5" s="25" t="s">
        <v>58</v>
      </c>
      <c r="I5" s="25" t="s">
        <v>59</v>
      </c>
      <c r="J5" s="25" t="s">
        <v>60</v>
      </c>
      <c r="K5" s="25" t="s">
        <v>61</v>
      </c>
      <c r="L5" s="25" t="s">
        <v>62</v>
      </c>
      <c r="M5" s="25" t="s">
        <v>63</v>
      </c>
      <c r="N5" s="25" t="s">
        <v>64</v>
      </c>
      <c r="O5" s="25" t="s">
        <v>65</v>
      </c>
      <c r="P5" s="25" t="s">
        <v>66</v>
      </c>
      <c r="Q5" s="25" t="s">
        <v>67</v>
      </c>
      <c r="R5" s="26" t="s">
        <v>68</v>
      </c>
      <c r="S5" s="26" t="s">
        <v>69</v>
      </c>
      <c r="T5" s="26" t="s">
        <v>70</v>
      </c>
      <c r="U5" s="26" t="s">
        <v>71</v>
      </c>
      <c r="V5" s="26" t="s">
        <v>72</v>
      </c>
      <c r="W5" s="26" t="s">
        <v>73</v>
      </c>
      <c r="X5" s="26" t="s">
        <v>74</v>
      </c>
      <c r="Y5" s="26" t="s">
        <v>75</v>
      </c>
      <c r="Z5" s="26" t="s">
        <v>76</v>
      </c>
      <c r="AA5" s="27" t="s">
        <v>77</v>
      </c>
      <c r="AB5" s="27" t="s">
        <v>78</v>
      </c>
      <c r="AC5" s="27" t="s">
        <v>79</v>
      </c>
      <c r="AD5" s="27" t="s">
        <v>80</v>
      </c>
      <c r="AE5" s="27" t="s">
        <v>81</v>
      </c>
      <c r="AF5" s="28" t="s">
        <v>82</v>
      </c>
      <c r="AG5" s="28" t="s">
        <v>83</v>
      </c>
      <c r="AH5" s="28" t="s">
        <v>84</v>
      </c>
      <c r="AI5" s="28" t="s">
        <v>85</v>
      </c>
      <c r="AJ5" s="28" t="s">
        <v>86</v>
      </c>
      <c r="AK5" s="29" t="s">
        <v>87</v>
      </c>
      <c r="AL5" s="30" t="s">
        <v>88</v>
      </c>
      <c r="AM5" s="30" t="s">
        <v>89</v>
      </c>
      <c r="AN5" s="30" t="s">
        <v>90</v>
      </c>
      <c r="AO5" s="30" t="s">
        <v>91</v>
      </c>
      <c r="AP5" s="30" t="s">
        <v>92</v>
      </c>
      <c r="AQ5" s="30" t="s">
        <v>93</v>
      </c>
      <c r="AR5" s="30" t="s">
        <v>94</v>
      </c>
      <c r="AS5" s="31" t="s">
        <v>95</v>
      </c>
      <c r="AT5" s="32" t="s">
        <v>96</v>
      </c>
    </row>
    <row r="6" spans="1:46" ht="25.5" customHeight="1" x14ac:dyDescent="0.2">
      <c r="A6" s="33">
        <v>1</v>
      </c>
      <c r="B6" s="34" t="s">
        <v>97</v>
      </c>
      <c r="C6" s="35" t="s">
        <v>98</v>
      </c>
      <c r="D6" s="35" t="s">
        <v>99</v>
      </c>
      <c r="E6" s="36" t="s">
        <v>100</v>
      </c>
      <c r="F6" s="37">
        <v>0</v>
      </c>
      <c r="G6" s="37">
        <v>0</v>
      </c>
      <c r="H6" s="37">
        <v>0</v>
      </c>
      <c r="I6" s="37">
        <v>0</v>
      </c>
      <c r="J6" s="37">
        <v>0</v>
      </c>
      <c r="K6" s="37">
        <v>0</v>
      </c>
      <c r="L6" s="37">
        <v>0</v>
      </c>
      <c r="M6" s="37">
        <v>0</v>
      </c>
      <c r="N6" s="37">
        <v>0</v>
      </c>
      <c r="O6">
        <v>1</v>
      </c>
      <c r="P6" s="37">
        <v>0</v>
      </c>
      <c r="Q6" s="37">
        <v>0</v>
      </c>
      <c r="R6" s="37">
        <v>0</v>
      </c>
      <c r="S6" s="37">
        <v>0</v>
      </c>
      <c r="T6" s="37">
        <v>0</v>
      </c>
      <c r="U6" s="37">
        <v>0</v>
      </c>
      <c r="V6" s="37">
        <v>0</v>
      </c>
      <c r="W6" s="37">
        <v>0</v>
      </c>
      <c r="X6" s="37">
        <v>0</v>
      </c>
      <c r="Y6" s="37">
        <v>0</v>
      </c>
      <c r="Z6" s="37">
        <v>1</v>
      </c>
      <c r="AA6" s="37">
        <v>0</v>
      </c>
      <c r="AB6" s="37">
        <v>1</v>
      </c>
      <c r="AC6" s="37">
        <v>0</v>
      </c>
      <c r="AD6" s="37">
        <v>2</v>
      </c>
      <c r="AE6" s="37">
        <v>0</v>
      </c>
      <c r="AF6" s="37">
        <v>0</v>
      </c>
      <c r="AG6" s="37">
        <v>1</v>
      </c>
      <c r="AH6" s="37">
        <v>0</v>
      </c>
      <c r="AI6" s="38">
        <v>1</v>
      </c>
      <c r="AJ6" s="37">
        <v>0</v>
      </c>
      <c r="AK6" s="37"/>
      <c r="AL6" s="39">
        <f t="shared" ref="AL6:AL37" si="0">SUMPRODUCT(F6:AJ6,$F$45:$AJ$45)</f>
        <v>7</v>
      </c>
      <c r="AM6" s="15">
        <f t="shared" ref="AM6:AM37" si="1">IF(SUMPRODUCT(--(F6:AJ6&gt;0),--($F$45:$AJ$45=1),--($F$3:$AJ$3="Regulator"))&gt;0,1,0)</f>
        <v>1</v>
      </c>
      <c r="AN6" s="15">
        <f t="shared" ref="AN6:AN37" si="2">IF(SUMPRODUCT(--(F6:AJ6&gt;0),--($F$45:$AJ$45=1),--($F$3:$AJ$3="Customer"))&gt;0,1,0)</f>
        <v>1</v>
      </c>
      <c r="AO6" s="15">
        <f t="shared" ref="AO6:AO37" si="3">IF(SUMPRODUCT(--(F6:AJ6&gt;0),--($F$45:$AJ$45=1),--($F$3:$AJ$3="Investor"))&gt;0,1,0)</f>
        <v>1</v>
      </c>
      <c r="AP6" s="15">
        <f t="shared" ref="AP6:AP37" si="4">IF(SUMPRODUCT(--(F6:AJ6&gt;0),--($F$45:$AJ$45=1),--($F$3:$AJ$3="Industry / NGO"))&gt;0,1,0)</f>
        <v>1</v>
      </c>
      <c r="AQ6" s="39">
        <f t="shared" ref="AQ6:AQ37" si="5">SUM(AM6:AP6)</f>
        <v>4</v>
      </c>
      <c r="AR6" s="39" t="str">
        <f t="shared" ref="AR6:AR37" si="6">IF(AND(OR(AS6="Wild",AS6="Aqua"),NOT(OR($C$51="both",$C$51=LOWER(AS6)))),"n/a — system",IF(AQ6=0,"—",IF(AND(AQ6&gt;=$AR$2,AL6&gt;=$AR$1),"1 — Build first",IF(AQ6&gt;=3,"2 — Next","3 — Monitor"))))</f>
        <v>2 — Next</v>
      </c>
      <c r="AS6" s="40"/>
    </row>
    <row r="7" spans="1:46" ht="25.5" customHeight="1" x14ac:dyDescent="0.2">
      <c r="A7" s="33">
        <v>2</v>
      </c>
      <c r="B7" s="34" t="s">
        <v>101</v>
      </c>
      <c r="C7" s="35" t="s">
        <v>98</v>
      </c>
      <c r="D7" s="35" t="s">
        <v>102</v>
      </c>
      <c r="E7" s="36" t="s">
        <v>100</v>
      </c>
      <c r="F7" s="37">
        <v>0</v>
      </c>
      <c r="G7" s="37">
        <v>0</v>
      </c>
      <c r="H7" s="37">
        <v>0</v>
      </c>
      <c r="I7" s="37">
        <v>0</v>
      </c>
      <c r="J7" s="37">
        <v>0</v>
      </c>
      <c r="K7" s="37">
        <v>0</v>
      </c>
      <c r="L7" s="37">
        <v>0</v>
      </c>
      <c r="M7" s="37">
        <v>0</v>
      </c>
      <c r="N7" s="37">
        <v>0</v>
      </c>
      <c r="O7" s="37">
        <v>0</v>
      </c>
      <c r="P7" s="37">
        <v>0</v>
      </c>
      <c r="Q7" s="37">
        <v>0</v>
      </c>
      <c r="R7" s="37">
        <v>0</v>
      </c>
      <c r="S7" s="37">
        <v>0</v>
      </c>
      <c r="T7" s="37">
        <v>0</v>
      </c>
      <c r="U7" s="37">
        <v>0</v>
      </c>
      <c r="V7" s="37">
        <v>0</v>
      </c>
      <c r="W7" s="37">
        <v>0</v>
      </c>
      <c r="X7" s="37">
        <v>0</v>
      </c>
      <c r="Y7" s="37">
        <v>0</v>
      </c>
      <c r="Z7" s="37">
        <v>1</v>
      </c>
      <c r="AA7" s="37">
        <v>0</v>
      </c>
      <c r="AB7" s="37">
        <v>2</v>
      </c>
      <c r="AC7" s="37">
        <v>0</v>
      </c>
      <c r="AD7" s="37">
        <v>2</v>
      </c>
      <c r="AE7" s="37">
        <v>0</v>
      </c>
      <c r="AF7" s="37">
        <v>0</v>
      </c>
      <c r="AG7" s="38">
        <v>1</v>
      </c>
      <c r="AH7" s="37">
        <v>0</v>
      </c>
      <c r="AI7" s="37">
        <v>2</v>
      </c>
      <c r="AJ7" s="37">
        <v>0</v>
      </c>
      <c r="AK7" s="37"/>
      <c r="AL7" s="39">
        <f t="shared" si="0"/>
        <v>8</v>
      </c>
      <c r="AM7" s="15">
        <f t="shared" si="1"/>
        <v>0</v>
      </c>
      <c r="AN7" s="15">
        <f t="shared" si="2"/>
        <v>1</v>
      </c>
      <c r="AO7" s="15">
        <f t="shared" si="3"/>
        <v>1</v>
      </c>
      <c r="AP7" s="15">
        <f t="shared" si="4"/>
        <v>1</v>
      </c>
      <c r="AQ7" s="39">
        <f t="shared" si="5"/>
        <v>3</v>
      </c>
      <c r="AR7" s="39" t="str">
        <f t="shared" si="6"/>
        <v>2 — Next</v>
      </c>
      <c r="AS7" s="40"/>
    </row>
    <row r="8" spans="1:46" ht="25.5" customHeight="1" x14ac:dyDescent="0.2">
      <c r="A8" s="33">
        <v>3</v>
      </c>
      <c r="B8" s="34" t="s">
        <v>103</v>
      </c>
      <c r="C8" s="35" t="s">
        <v>98</v>
      </c>
      <c r="D8" s="35" t="s">
        <v>104</v>
      </c>
      <c r="E8" s="36" t="s">
        <v>100</v>
      </c>
      <c r="F8" s="37">
        <v>0</v>
      </c>
      <c r="G8" s="37">
        <v>0</v>
      </c>
      <c r="H8" s="37">
        <v>0</v>
      </c>
      <c r="I8" s="37">
        <v>0</v>
      </c>
      <c r="J8" s="37">
        <v>0</v>
      </c>
      <c r="K8" s="37">
        <v>0</v>
      </c>
      <c r="L8" s="37">
        <v>0</v>
      </c>
      <c r="M8" s="37">
        <v>0</v>
      </c>
      <c r="N8" s="37">
        <v>0</v>
      </c>
      <c r="O8" s="37">
        <v>0</v>
      </c>
      <c r="P8" s="37">
        <v>0</v>
      </c>
      <c r="Q8" s="37">
        <v>0</v>
      </c>
      <c r="R8" s="37">
        <v>0</v>
      </c>
      <c r="S8" s="37">
        <v>0</v>
      </c>
      <c r="T8" s="37">
        <v>0</v>
      </c>
      <c r="U8" s="37">
        <v>0</v>
      </c>
      <c r="V8" s="37">
        <v>0</v>
      </c>
      <c r="W8" s="37">
        <v>1</v>
      </c>
      <c r="X8" s="38">
        <v>1</v>
      </c>
      <c r="Y8" s="37">
        <v>0</v>
      </c>
      <c r="Z8" s="37">
        <v>2</v>
      </c>
      <c r="AA8" s="37">
        <v>2</v>
      </c>
      <c r="AB8" s="37">
        <v>0</v>
      </c>
      <c r="AC8" s="38">
        <v>2</v>
      </c>
      <c r="AD8" s="38">
        <v>1</v>
      </c>
      <c r="AE8" s="37">
        <v>0</v>
      </c>
      <c r="AF8" s="37">
        <v>0</v>
      </c>
      <c r="AG8" s="37">
        <v>2</v>
      </c>
      <c r="AH8" s="37">
        <v>0</v>
      </c>
      <c r="AI8" s="37">
        <v>0</v>
      </c>
      <c r="AJ8" s="38">
        <v>1</v>
      </c>
      <c r="AK8" s="37"/>
      <c r="AL8" s="39">
        <f t="shared" si="0"/>
        <v>12</v>
      </c>
      <c r="AM8" s="15">
        <f t="shared" si="1"/>
        <v>0</v>
      </c>
      <c r="AN8" s="15">
        <f t="shared" si="2"/>
        <v>1</v>
      </c>
      <c r="AO8" s="15">
        <f t="shared" si="3"/>
        <v>1</v>
      </c>
      <c r="AP8" s="15">
        <f t="shared" si="4"/>
        <v>1</v>
      </c>
      <c r="AQ8" s="39">
        <f t="shared" si="5"/>
        <v>3</v>
      </c>
      <c r="AR8" s="39" t="str">
        <f t="shared" si="6"/>
        <v>1 — Build first</v>
      </c>
      <c r="AS8" s="40"/>
    </row>
    <row r="9" spans="1:46" ht="25.5" customHeight="1" x14ac:dyDescent="0.2">
      <c r="A9" s="33">
        <v>4</v>
      </c>
      <c r="B9" s="34" t="s">
        <v>105</v>
      </c>
      <c r="C9" s="35" t="s">
        <v>98</v>
      </c>
      <c r="D9" s="35" t="s">
        <v>106</v>
      </c>
      <c r="E9" s="36" t="s">
        <v>100</v>
      </c>
      <c r="F9" s="37">
        <v>0</v>
      </c>
      <c r="G9" s="37">
        <v>0</v>
      </c>
      <c r="H9" s="37">
        <v>0</v>
      </c>
      <c r="I9" s="37">
        <v>0</v>
      </c>
      <c r="J9" s="37">
        <v>0</v>
      </c>
      <c r="K9" s="37">
        <v>0</v>
      </c>
      <c r="L9" s="37">
        <v>0</v>
      </c>
      <c r="M9" s="37">
        <v>0</v>
      </c>
      <c r="N9" s="37">
        <v>0</v>
      </c>
      <c r="O9">
        <v>2</v>
      </c>
      <c r="P9" s="37">
        <v>0</v>
      </c>
      <c r="Q9" s="37">
        <v>0</v>
      </c>
      <c r="R9" s="37">
        <v>0</v>
      </c>
      <c r="S9" s="37">
        <v>0</v>
      </c>
      <c r="T9" s="37">
        <v>0</v>
      </c>
      <c r="U9" s="37">
        <v>0</v>
      </c>
      <c r="V9" s="37">
        <v>0</v>
      </c>
      <c r="W9" s="37">
        <v>1</v>
      </c>
      <c r="X9" s="37">
        <v>1</v>
      </c>
      <c r="Y9" s="37">
        <v>0</v>
      </c>
      <c r="Z9" s="37">
        <v>2</v>
      </c>
      <c r="AA9" s="37">
        <v>2</v>
      </c>
      <c r="AB9" s="37">
        <v>0</v>
      </c>
      <c r="AC9" s="38">
        <v>2</v>
      </c>
      <c r="AD9" s="37">
        <v>2</v>
      </c>
      <c r="AE9" s="37">
        <v>0</v>
      </c>
      <c r="AF9" s="37">
        <v>0</v>
      </c>
      <c r="AG9" s="37">
        <v>2</v>
      </c>
      <c r="AH9" s="37">
        <v>0</v>
      </c>
      <c r="AI9" s="37">
        <v>1</v>
      </c>
      <c r="AJ9" s="37">
        <v>0</v>
      </c>
      <c r="AK9" s="37"/>
      <c r="AL9" s="39">
        <f t="shared" si="0"/>
        <v>15</v>
      </c>
      <c r="AM9" s="15">
        <f t="shared" si="1"/>
        <v>1</v>
      </c>
      <c r="AN9" s="15">
        <f t="shared" si="2"/>
        <v>1</v>
      </c>
      <c r="AO9" s="15">
        <f t="shared" si="3"/>
        <v>1</v>
      </c>
      <c r="AP9" s="15">
        <f t="shared" si="4"/>
        <v>1</v>
      </c>
      <c r="AQ9" s="39">
        <f t="shared" si="5"/>
        <v>4</v>
      </c>
      <c r="AR9" s="39" t="str">
        <f t="shared" si="6"/>
        <v>1 — Build first</v>
      </c>
      <c r="AS9" s="40"/>
    </row>
    <row r="10" spans="1:46" ht="25.5" customHeight="1" x14ac:dyDescent="0.2">
      <c r="A10" s="33">
        <v>5</v>
      </c>
      <c r="B10" s="34" t="s">
        <v>107</v>
      </c>
      <c r="C10" s="35" t="s">
        <v>98</v>
      </c>
      <c r="D10" s="35" t="s">
        <v>108</v>
      </c>
      <c r="E10" s="36" t="s">
        <v>100</v>
      </c>
      <c r="F10" s="37">
        <v>0</v>
      </c>
      <c r="G10" s="37">
        <v>0</v>
      </c>
      <c r="H10" s="37">
        <v>0</v>
      </c>
      <c r="I10" s="37">
        <v>0</v>
      </c>
      <c r="J10" s="37">
        <v>0</v>
      </c>
      <c r="K10" s="37">
        <v>0</v>
      </c>
      <c r="L10" s="37">
        <v>0</v>
      </c>
      <c r="M10" s="37">
        <v>0</v>
      </c>
      <c r="N10" s="37">
        <v>0</v>
      </c>
      <c r="O10" s="37">
        <v>0</v>
      </c>
      <c r="P10" s="37">
        <v>0</v>
      </c>
      <c r="Q10" s="37">
        <v>0</v>
      </c>
      <c r="R10" s="37">
        <v>0</v>
      </c>
      <c r="S10" s="37">
        <v>2</v>
      </c>
      <c r="T10" s="37">
        <v>1</v>
      </c>
      <c r="U10" s="37">
        <v>0</v>
      </c>
      <c r="V10" s="37">
        <v>0</v>
      </c>
      <c r="W10" s="37"/>
      <c r="X10" s="37">
        <v>0</v>
      </c>
      <c r="Y10" s="37">
        <v>1</v>
      </c>
      <c r="Z10" s="38">
        <v>1</v>
      </c>
      <c r="AA10" s="37">
        <v>0</v>
      </c>
      <c r="AB10" s="37">
        <v>0</v>
      </c>
      <c r="AC10" s="37">
        <v>0</v>
      </c>
      <c r="AD10" s="37">
        <v>0</v>
      </c>
      <c r="AE10" s="37">
        <v>0</v>
      </c>
      <c r="AF10" s="37">
        <v>0</v>
      </c>
      <c r="AG10" s="37">
        <v>1</v>
      </c>
      <c r="AH10" s="37">
        <v>0</v>
      </c>
      <c r="AI10" s="37">
        <v>0</v>
      </c>
      <c r="AJ10" s="37">
        <v>0</v>
      </c>
      <c r="AK10" s="37"/>
      <c r="AL10" s="39">
        <f t="shared" si="0"/>
        <v>6</v>
      </c>
      <c r="AM10" s="15">
        <f t="shared" si="1"/>
        <v>0</v>
      </c>
      <c r="AN10" s="15">
        <f t="shared" si="2"/>
        <v>1</v>
      </c>
      <c r="AO10" s="15">
        <f t="shared" si="3"/>
        <v>0</v>
      </c>
      <c r="AP10" s="15">
        <f t="shared" si="4"/>
        <v>1</v>
      </c>
      <c r="AQ10" s="39">
        <f t="shared" si="5"/>
        <v>2</v>
      </c>
      <c r="AR10" s="39" t="str">
        <f t="shared" si="6"/>
        <v>3 — Monitor</v>
      </c>
      <c r="AS10" s="40"/>
    </row>
    <row r="11" spans="1:46" ht="25.5" customHeight="1" x14ac:dyDescent="0.2">
      <c r="A11" s="33">
        <v>6</v>
      </c>
      <c r="B11" s="34" t="s">
        <v>109</v>
      </c>
      <c r="C11" s="35" t="s">
        <v>98</v>
      </c>
      <c r="D11" s="35" t="s">
        <v>110</v>
      </c>
      <c r="E11" s="36" t="s">
        <v>100</v>
      </c>
      <c r="F11" s="37">
        <v>0</v>
      </c>
      <c r="G11" s="37">
        <v>0</v>
      </c>
      <c r="H11" s="37">
        <v>0</v>
      </c>
      <c r="I11" s="37">
        <v>0</v>
      </c>
      <c r="J11" s="37">
        <v>0</v>
      </c>
      <c r="K11" s="37">
        <v>0</v>
      </c>
      <c r="L11" s="37">
        <v>0</v>
      </c>
      <c r="M11" s="37">
        <v>0</v>
      </c>
      <c r="N11" s="37">
        <v>0</v>
      </c>
      <c r="O11" s="37">
        <v>0</v>
      </c>
      <c r="P11" s="37">
        <v>0</v>
      </c>
      <c r="Q11" s="37">
        <v>0</v>
      </c>
      <c r="R11" s="37">
        <v>0</v>
      </c>
      <c r="S11" s="37">
        <v>0</v>
      </c>
      <c r="T11" s="37">
        <v>0</v>
      </c>
      <c r="U11" s="37">
        <v>0</v>
      </c>
      <c r="V11" s="37">
        <v>0</v>
      </c>
      <c r="W11" s="37">
        <v>0</v>
      </c>
      <c r="X11" s="37">
        <v>0</v>
      </c>
      <c r="Y11" s="37">
        <v>1</v>
      </c>
      <c r="Z11" s="37">
        <v>0</v>
      </c>
      <c r="AA11" s="37">
        <v>0</v>
      </c>
      <c r="AB11" s="37">
        <v>0</v>
      </c>
      <c r="AC11" s="37">
        <v>0</v>
      </c>
      <c r="AD11" s="37">
        <v>0</v>
      </c>
      <c r="AE11" s="37">
        <v>0</v>
      </c>
      <c r="AF11" s="37">
        <v>0</v>
      </c>
      <c r="AG11" s="37">
        <v>0</v>
      </c>
      <c r="AH11" s="37">
        <v>0</v>
      </c>
      <c r="AI11" s="37">
        <v>0</v>
      </c>
      <c r="AJ11" s="37">
        <v>0</v>
      </c>
      <c r="AK11" s="37"/>
      <c r="AL11" s="39">
        <f t="shared" si="0"/>
        <v>1</v>
      </c>
      <c r="AM11" s="15">
        <f t="shared" si="1"/>
        <v>0</v>
      </c>
      <c r="AN11" s="15">
        <f t="shared" si="2"/>
        <v>1</v>
      </c>
      <c r="AO11" s="15">
        <f t="shared" si="3"/>
        <v>0</v>
      </c>
      <c r="AP11" s="15">
        <f t="shared" si="4"/>
        <v>0</v>
      </c>
      <c r="AQ11" s="39">
        <f t="shared" si="5"/>
        <v>1</v>
      </c>
      <c r="AR11" s="39" t="str">
        <f t="shared" si="6"/>
        <v>3 — Monitor</v>
      </c>
      <c r="AS11" s="40"/>
    </row>
    <row r="12" spans="1:46" ht="25.5" customHeight="1" x14ac:dyDescent="0.2">
      <c r="A12" s="33">
        <v>7</v>
      </c>
      <c r="B12" s="34" t="s">
        <v>111</v>
      </c>
      <c r="C12" s="35" t="s">
        <v>98</v>
      </c>
      <c r="D12" s="35" t="s">
        <v>112</v>
      </c>
      <c r="E12" s="36" t="s">
        <v>100</v>
      </c>
      <c r="F12" s="37">
        <v>0</v>
      </c>
      <c r="G12" s="37">
        <v>0</v>
      </c>
      <c r="H12" s="37">
        <v>0</v>
      </c>
      <c r="I12" s="37">
        <v>0</v>
      </c>
      <c r="J12" s="37">
        <v>0</v>
      </c>
      <c r="K12" s="37">
        <v>0</v>
      </c>
      <c r="L12" s="37">
        <v>0</v>
      </c>
      <c r="M12" s="37">
        <v>0</v>
      </c>
      <c r="N12" s="37">
        <v>0</v>
      </c>
      <c r="O12" s="37">
        <v>0</v>
      </c>
      <c r="P12" s="37">
        <v>0</v>
      </c>
      <c r="Q12" s="37">
        <v>0</v>
      </c>
      <c r="R12" s="37">
        <v>0</v>
      </c>
      <c r="S12" s="37">
        <v>0</v>
      </c>
      <c r="T12" s="37">
        <v>0</v>
      </c>
      <c r="U12" s="37">
        <v>0</v>
      </c>
      <c r="V12" s="37">
        <v>0</v>
      </c>
      <c r="W12" s="37">
        <v>0</v>
      </c>
      <c r="X12" s="37">
        <v>0</v>
      </c>
      <c r="Y12" s="37">
        <v>1</v>
      </c>
      <c r="Z12" s="38">
        <v>2</v>
      </c>
      <c r="AA12" s="37">
        <v>0</v>
      </c>
      <c r="AB12" s="37">
        <v>0</v>
      </c>
      <c r="AC12" s="37">
        <v>0</v>
      </c>
      <c r="AD12" s="37">
        <v>0</v>
      </c>
      <c r="AE12" s="37">
        <v>0</v>
      </c>
      <c r="AF12" s="37">
        <v>0</v>
      </c>
      <c r="AG12" s="37">
        <v>0</v>
      </c>
      <c r="AH12" s="37">
        <v>0</v>
      </c>
      <c r="AI12" s="37">
        <v>0</v>
      </c>
      <c r="AJ12" s="37">
        <v>0</v>
      </c>
      <c r="AK12" s="37"/>
      <c r="AL12" s="39">
        <f t="shared" si="0"/>
        <v>3</v>
      </c>
      <c r="AM12" s="15">
        <f t="shared" si="1"/>
        <v>0</v>
      </c>
      <c r="AN12" s="15">
        <f t="shared" si="2"/>
        <v>1</v>
      </c>
      <c r="AO12" s="15">
        <f t="shared" si="3"/>
        <v>0</v>
      </c>
      <c r="AP12" s="15">
        <f t="shared" si="4"/>
        <v>0</v>
      </c>
      <c r="AQ12" s="39">
        <f t="shared" si="5"/>
        <v>1</v>
      </c>
      <c r="AR12" s="39" t="str">
        <f t="shared" si="6"/>
        <v>3 — Monitor</v>
      </c>
      <c r="AS12" s="40"/>
    </row>
    <row r="13" spans="1:46" ht="25.5" customHeight="1" x14ac:dyDescent="0.2">
      <c r="A13" s="33">
        <v>8</v>
      </c>
      <c r="B13" s="34" t="s">
        <v>113</v>
      </c>
      <c r="C13" s="35" t="s">
        <v>98</v>
      </c>
      <c r="D13" s="35" t="s">
        <v>114</v>
      </c>
      <c r="E13" s="36" t="s">
        <v>100</v>
      </c>
      <c r="F13" s="37">
        <v>0</v>
      </c>
      <c r="G13" s="37">
        <v>0</v>
      </c>
      <c r="H13" s="37">
        <v>0</v>
      </c>
      <c r="I13" s="37">
        <v>0</v>
      </c>
      <c r="J13" s="37">
        <v>0</v>
      </c>
      <c r="K13" s="37">
        <v>0</v>
      </c>
      <c r="L13" s="37">
        <v>0</v>
      </c>
      <c r="M13" s="37">
        <v>0</v>
      </c>
      <c r="N13" s="37">
        <v>0</v>
      </c>
      <c r="O13" s="37">
        <v>0</v>
      </c>
      <c r="P13" s="37">
        <v>0</v>
      </c>
      <c r="Q13" s="37">
        <v>0</v>
      </c>
      <c r="R13" s="37">
        <v>0</v>
      </c>
      <c r="S13" s="37">
        <v>2</v>
      </c>
      <c r="T13" s="37">
        <v>2</v>
      </c>
      <c r="U13" s="37">
        <v>1</v>
      </c>
      <c r="V13" s="37">
        <v>0</v>
      </c>
      <c r="W13" s="37">
        <v>1</v>
      </c>
      <c r="X13" s="38">
        <v>1</v>
      </c>
      <c r="Y13" s="37">
        <v>1</v>
      </c>
      <c r="Z13" s="37">
        <v>2</v>
      </c>
      <c r="AA13" s="38">
        <v>2</v>
      </c>
      <c r="AB13" s="37">
        <v>0</v>
      </c>
      <c r="AC13" s="37">
        <v>0</v>
      </c>
      <c r="AD13" s="37">
        <v>0</v>
      </c>
      <c r="AE13" s="38">
        <v>2</v>
      </c>
      <c r="AF13" s="37">
        <v>0</v>
      </c>
      <c r="AG13" s="37">
        <v>2</v>
      </c>
      <c r="AH13" s="37">
        <v>0</v>
      </c>
      <c r="AI13" s="37">
        <v>0</v>
      </c>
      <c r="AJ13" s="37">
        <v>0</v>
      </c>
      <c r="AK13" s="37"/>
      <c r="AL13" s="39">
        <f t="shared" si="0"/>
        <v>16</v>
      </c>
      <c r="AM13" s="15">
        <f t="shared" si="1"/>
        <v>0</v>
      </c>
      <c r="AN13" s="15">
        <f t="shared" si="2"/>
        <v>1</v>
      </c>
      <c r="AO13" s="15">
        <f t="shared" si="3"/>
        <v>1</v>
      </c>
      <c r="AP13" s="15">
        <f t="shared" si="4"/>
        <v>1</v>
      </c>
      <c r="AQ13" s="39">
        <f t="shared" si="5"/>
        <v>3</v>
      </c>
      <c r="AR13" s="39" t="str">
        <f t="shared" si="6"/>
        <v>1 — Build first</v>
      </c>
      <c r="AS13" s="40"/>
    </row>
    <row r="14" spans="1:46" ht="25.5" customHeight="1" x14ac:dyDescent="0.2">
      <c r="A14" s="33">
        <v>9</v>
      </c>
      <c r="B14" s="34" t="s">
        <v>115</v>
      </c>
      <c r="C14" s="35" t="s">
        <v>98</v>
      </c>
      <c r="D14" s="35" t="s">
        <v>116</v>
      </c>
      <c r="E14" s="36" t="s">
        <v>100</v>
      </c>
      <c r="F14" s="37">
        <v>0</v>
      </c>
      <c r="G14" s="37">
        <v>0</v>
      </c>
      <c r="H14" s="37">
        <v>0</v>
      </c>
      <c r="I14" s="37">
        <v>2</v>
      </c>
      <c r="J14" s="37">
        <v>0</v>
      </c>
      <c r="K14" s="37">
        <v>0</v>
      </c>
      <c r="L14" s="37">
        <v>0</v>
      </c>
      <c r="M14" s="37">
        <v>0</v>
      </c>
      <c r="N14" s="37">
        <v>0</v>
      </c>
      <c r="O14" s="37">
        <v>0</v>
      </c>
      <c r="P14" s="37">
        <v>0</v>
      </c>
      <c r="Q14" s="37">
        <v>0</v>
      </c>
      <c r="R14" s="37">
        <v>0</v>
      </c>
      <c r="S14" s="37">
        <v>0</v>
      </c>
      <c r="T14" s="37">
        <v>0</v>
      </c>
      <c r="U14" s="37">
        <v>0</v>
      </c>
      <c r="V14" s="37">
        <v>0</v>
      </c>
      <c r="W14" s="37">
        <v>0</v>
      </c>
      <c r="X14" s="37">
        <v>0</v>
      </c>
      <c r="Y14" s="37">
        <v>0</v>
      </c>
      <c r="Z14" s="37">
        <v>0</v>
      </c>
      <c r="AA14" s="38">
        <v>1</v>
      </c>
      <c r="AB14" s="37">
        <v>0</v>
      </c>
      <c r="AC14" s="37">
        <v>0</v>
      </c>
      <c r="AD14" s="37">
        <v>0</v>
      </c>
      <c r="AE14" s="37">
        <v>0</v>
      </c>
      <c r="AF14" s="37">
        <v>0</v>
      </c>
      <c r="AG14" s="38">
        <v>1</v>
      </c>
      <c r="AH14" s="37">
        <v>0</v>
      </c>
      <c r="AI14" s="37">
        <v>0</v>
      </c>
      <c r="AJ14" s="37">
        <v>0</v>
      </c>
      <c r="AK14" s="37"/>
      <c r="AL14" s="39">
        <f t="shared" si="0"/>
        <v>4</v>
      </c>
      <c r="AM14" s="15">
        <f t="shared" si="1"/>
        <v>1</v>
      </c>
      <c r="AN14" s="15">
        <f t="shared" si="2"/>
        <v>1</v>
      </c>
      <c r="AO14" s="15">
        <f t="shared" si="3"/>
        <v>0</v>
      </c>
      <c r="AP14" s="15">
        <f t="shared" si="4"/>
        <v>1</v>
      </c>
      <c r="AQ14" s="39">
        <f t="shared" si="5"/>
        <v>3</v>
      </c>
      <c r="AR14" s="39" t="str">
        <f t="shared" si="6"/>
        <v>2 — Next</v>
      </c>
      <c r="AS14" s="40"/>
    </row>
    <row r="15" spans="1:46" ht="25.5" customHeight="1" x14ac:dyDescent="0.2">
      <c r="A15" s="33">
        <v>10</v>
      </c>
      <c r="B15" s="34" t="s">
        <v>117</v>
      </c>
      <c r="C15" s="35" t="s">
        <v>98</v>
      </c>
      <c r="D15" s="35" t="s">
        <v>118</v>
      </c>
      <c r="E15" s="36" t="s">
        <v>100</v>
      </c>
      <c r="F15" s="37">
        <v>0</v>
      </c>
      <c r="G15" s="37">
        <v>0</v>
      </c>
      <c r="H15" s="37">
        <v>0</v>
      </c>
      <c r="I15" s="37">
        <v>2</v>
      </c>
      <c r="J15" s="37">
        <v>0</v>
      </c>
      <c r="K15" s="37">
        <v>0</v>
      </c>
      <c r="L15" s="37">
        <v>0</v>
      </c>
      <c r="M15" s="37">
        <v>0</v>
      </c>
      <c r="N15" s="37">
        <v>0</v>
      </c>
      <c r="O15" s="37">
        <v>0</v>
      </c>
      <c r="P15" s="37">
        <v>0</v>
      </c>
      <c r="Q15" s="37">
        <v>0</v>
      </c>
      <c r="R15" s="37">
        <v>0</v>
      </c>
      <c r="S15" s="37">
        <v>0</v>
      </c>
      <c r="T15" s="37">
        <v>0</v>
      </c>
      <c r="U15" s="37">
        <v>0</v>
      </c>
      <c r="V15" s="37">
        <v>0</v>
      </c>
      <c r="W15" s="37">
        <v>0</v>
      </c>
      <c r="X15" s="37">
        <v>0</v>
      </c>
      <c r="Y15" s="37">
        <v>0</v>
      </c>
      <c r="Z15" s="37">
        <v>0</v>
      </c>
      <c r="AA15" s="37">
        <v>1</v>
      </c>
      <c r="AB15" s="37">
        <v>0</v>
      </c>
      <c r="AC15" s="37">
        <v>0</v>
      </c>
      <c r="AD15" s="37">
        <v>0</v>
      </c>
      <c r="AE15" s="37">
        <v>0</v>
      </c>
      <c r="AF15" s="37">
        <v>0</v>
      </c>
      <c r="AG15" s="38">
        <v>1</v>
      </c>
      <c r="AH15" s="37">
        <v>0</v>
      </c>
      <c r="AI15" s="37">
        <v>0</v>
      </c>
      <c r="AJ15" s="37">
        <v>0</v>
      </c>
      <c r="AK15" s="37"/>
      <c r="AL15" s="39">
        <f t="shared" si="0"/>
        <v>4</v>
      </c>
      <c r="AM15" s="15">
        <f t="shared" si="1"/>
        <v>1</v>
      </c>
      <c r="AN15" s="15">
        <f t="shared" si="2"/>
        <v>1</v>
      </c>
      <c r="AO15" s="15">
        <f t="shared" si="3"/>
        <v>0</v>
      </c>
      <c r="AP15" s="15">
        <f t="shared" si="4"/>
        <v>1</v>
      </c>
      <c r="AQ15" s="39">
        <f t="shared" si="5"/>
        <v>3</v>
      </c>
      <c r="AR15" s="39" t="str">
        <f t="shared" si="6"/>
        <v>2 — Next</v>
      </c>
      <c r="AS15" s="40"/>
    </row>
    <row r="16" spans="1:46" ht="25.5" customHeight="1" x14ac:dyDescent="0.2">
      <c r="A16" s="33">
        <v>11</v>
      </c>
      <c r="B16" s="34" t="s">
        <v>119</v>
      </c>
      <c r="C16" s="35" t="s">
        <v>98</v>
      </c>
      <c r="D16" s="35" t="s">
        <v>120</v>
      </c>
      <c r="E16" s="36" t="s">
        <v>100</v>
      </c>
      <c r="F16" s="37">
        <v>0</v>
      </c>
      <c r="G16" s="37">
        <v>0</v>
      </c>
      <c r="H16" s="37">
        <v>0</v>
      </c>
      <c r="I16" s="37">
        <v>2</v>
      </c>
      <c r="J16" s="37">
        <v>0</v>
      </c>
      <c r="K16" s="37">
        <v>0</v>
      </c>
      <c r="L16" s="37">
        <v>0</v>
      </c>
      <c r="M16" s="37">
        <v>0</v>
      </c>
      <c r="N16" s="37">
        <v>0</v>
      </c>
      <c r="O16" s="37">
        <v>0</v>
      </c>
      <c r="P16" s="37">
        <v>0</v>
      </c>
      <c r="Q16" s="37">
        <v>0</v>
      </c>
      <c r="R16" s="37">
        <v>0</v>
      </c>
      <c r="S16" s="37">
        <v>1</v>
      </c>
      <c r="T16" s="37">
        <v>0</v>
      </c>
      <c r="U16" s="37">
        <v>0</v>
      </c>
      <c r="V16" s="37">
        <v>0</v>
      </c>
      <c r="W16" s="38">
        <v>1</v>
      </c>
      <c r="X16" s="38">
        <v>1</v>
      </c>
      <c r="Y16" s="37">
        <v>0</v>
      </c>
      <c r="Z16" s="37">
        <v>0</v>
      </c>
      <c r="AA16" s="38">
        <v>2</v>
      </c>
      <c r="AB16" s="37">
        <v>0</v>
      </c>
      <c r="AC16" s="38">
        <v>2</v>
      </c>
      <c r="AD16" s="37">
        <v>0</v>
      </c>
      <c r="AE16" s="37">
        <v>1</v>
      </c>
      <c r="AF16" s="37">
        <v>0</v>
      </c>
      <c r="AG16" s="37">
        <v>2</v>
      </c>
      <c r="AH16" s="37">
        <v>0</v>
      </c>
      <c r="AI16" s="37">
        <v>0</v>
      </c>
      <c r="AJ16" s="37">
        <v>0</v>
      </c>
      <c r="AK16" s="37"/>
      <c r="AL16" s="39">
        <f t="shared" si="0"/>
        <v>12</v>
      </c>
      <c r="AM16" s="15">
        <f t="shared" si="1"/>
        <v>1</v>
      </c>
      <c r="AN16" s="15">
        <f t="shared" si="2"/>
        <v>1</v>
      </c>
      <c r="AO16" s="15">
        <f t="shared" si="3"/>
        <v>1</v>
      </c>
      <c r="AP16" s="15">
        <f t="shared" si="4"/>
        <v>1</v>
      </c>
      <c r="AQ16" s="39">
        <f t="shared" si="5"/>
        <v>4</v>
      </c>
      <c r="AR16" s="39" t="str">
        <f t="shared" si="6"/>
        <v>1 — Build first</v>
      </c>
      <c r="AS16" s="40"/>
    </row>
    <row r="17" spans="1:45" ht="25.5" customHeight="1" x14ac:dyDescent="0.2">
      <c r="A17" s="33">
        <v>12</v>
      </c>
      <c r="B17" s="34" t="s">
        <v>121</v>
      </c>
      <c r="C17" s="35" t="s">
        <v>122</v>
      </c>
      <c r="D17" s="35" t="s">
        <v>123</v>
      </c>
      <c r="E17" s="36" t="s">
        <v>100</v>
      </c>
      <c r="F17" s="37">
        <v>0</v>
      </c>
      <c r="G17" s="37">
        <v>0</v>
      </c>
      <c r="H17" s="37">
        <v>0</v>
      </c>
      <c r="I17" s="37">
        <v>0</v>
      </c>
      <c r="J17" s="37">
        <v>0</v>
      </c>
      <c r="K17" s="37">
        <v>0</v>
      </c>
      <c r="L17" s="37">
        <v>0</v>
      </c>
      <c r="M17" s="37">
        <v>0</v>
      </c>
      <c r="N17" s="37">
        <v>0</v>
      </c>
      <c r="O17" s="37">
        <v>0</v>
      </c>
      <c r="P17">
        <v>2</v>
      </c>
      <c r="Q17" s="37">
        <v>0</v>
      </c>
      <c r="R17" s="37">
        <v>0</v>
      </c>
      <c r="S17" s="37">
        <v>0</v>
      </c>
      <c r="T17" s="37">
        <v>0</v>
      </c>
      <c r="U17" s="37">
        <v>0</v>
      </c>
      <c r="V17" s="37">
        <v>0</v>
      </c>
      <c r="W17" s="37">
        <v>1</v>
      </c>
      <c r="X17" s="37">
        <v>1</v>
      </c>
      <c r="Y17" s="37">
        <v>1</v>
      </c>
      <c r="Z17" s="37">
        <v>0</v>
      </c>
      <c r="AA17" s="37">
        <v>0</v>
      </c>
      <c r="AB17" s="37">
        <v>0</v>
      </c>
      <c r="AC17" s="38">
        <v>2</v>
      </c>
      <c r="AD17" s="37">
        <v>0</v>
      </c>
      <c r="AE17" s="37">
        <v>0</v>
      </c>
      <c r="AF17" s="37">
        <v>0</v>
      </c>
      <c r="AG17" s="37">
        <v>1</v>
      </c>
      <c r="AH17" s="37">
        <v>0</v>
      </c>
      <c r="AI17" s="37">
        <v>0</v>
      </c>
      <c r="AJ17" s="38">
        <v>1</v>
      </c>
      <c r="AK17" s="37"/>
      <c r="AL17" s="39">
        <f t="shared" si="0"/>
        <v>9</v>
      </c>
      <c r="AM17" s="15">
        <f t="shared" si="1"/>
        <v>1</v>
      </c>
      <c r="AN17" s="15">
        <f t="shared" si="2"/>
        <v>1</v>
      </c>
      <c r="AO17" s="15">
        <f t="shared" si="3"/>
        <v>1</v>
      </c>
      <c r="AP17" s="15">
        <f t="shared" si="4"/>
        <v>1</v>
      </c>
      <c r="AQ17" s="39">
        <f t="shared" si="5"/>
        <v>4</v>
      </c>
      <c r="AR17" s="39" t="str">
        <f t="shared" si="6"/>
        <v>2 — Next</v>
      </c>
      <c r="AS17" s="40"/>
    </row>
    <row r="18" spans="1:45" ht="25.5" customHeight="1" x14ac:dyDescent="0.2">
      <c r="A18" s="33">
        <v>13</v>
      </c>
      <c r="B18" s="34" t="s">
        <v>124</v>
      </c>
      <c r="C18" s="35" t="s">
        <v>122</v>
      </c>
      <c r="D18" s="35" t="s">
        <v>125</v>
      </c>
      <c r="E18" s="36" t="s">
        <v>100</v>
      </c>
      <c r="F18" s="37">
        <v>0</v>
      </c>
      <c r="G18" s="37">
        <v>0</v>
      </c>
      <c r="H18" s="37">
        <v>0</v>
      </c>
      <c r="I18" s="37">
        <v>0</v>
      </c>
      <c r="J18" s="37">
        <v>0</v>
      </c>
      <c r="K18" s="37">
        <v>0</v>
      </c>
      <c r="L18" s="37">
        <v>0</v>
      </c>
      <c r="M18" s="37">
        <v>0</v>
      </c>
      <c r="N18" s="37">
        <v>0</v>
      </c>
      <c r="O18" s="37">
        <v>0</v>
      </c>
      <c r="P18" s="37">
        <v>0</v>
      </c>
      <c r="Q18" s="37">
        <v>0</v>
      </c>
      <c r="R18" s="37">
        <v>0</v>
      </c>
      <c r="S18" s="37">
        <v>0</v>
      </c>
      <c r="T18" s="37">
        <v>0</v>
      </c>
      <c r="U18" s="37">
        <v>0</v>
      </c>
      <c r="V18" s="37">
        <v>0</v>
      </c>
      <c r="W18" s="38">
        <v>1</v>
      </c>
      <c r="X18" s="38">
        <v>1</v>
      </c>
      <c r="Y18" s="37">
        <v>0</v>
      </c>
      <c r="Z18" s="37">
        <v>0</v>
      </c>
      <c r="AA18" s="37">
        <v>0</v>
      </c>
      <c r="AB18" s="37">
        <v>0</v>
      </c>
      <c r="AC18" s="37">
        <v>0</v>
      </c>
      <c r="AD18" s="37">
        <v>0</v>
      </c>
      <c r="AE18" s="37">
        <v>0</v>
      </c>
      <c r="AF18" s="37">
        <v>0</v>
      </c>
      <c r="AG18" s="37">
        <v>2</v>
      </c>
      <c r="AH18" s="37">
        <v>0</v>
      </c>
      <c r="AI18" s="37">
        <v>0</v>
      </c>
      <c r="AJ18" s="38">
        <v>1</v>
      </c>
      <c r="AK18" s="37"/>
      <c r="AL18" s="39">
        <f t="shared" si="0"/>
        <v>5</v>
      </c>
      <c r="AM18" s="15">
        <f t="shared" si="1"/>
        <v>0</v>
      </c>
      <c r="AN18" s="15">
        <f t="shared" si="2"/>
        <v>1</v>
      </c>
      <c r="AO18" s="15">
        <f t="shared" si="3"/>
        <v>0</v>
      </c>
      <c r="AP18" s="15">
        <f t="shared" si="4"/>
        <v>1</v>
      </c>
      <c r="AQ18" s="39">
        <f t="shared" si="5"/>
        <v>2</v>
      </c>
      <c r="AR18" s="39" t="str">
        <f t="shared" si="6"/>
        <v>3 — Monitor</v>
      </c>
      <c r="AS18" s="40"/>
    </row>
    <row r="19" spans="1:45" ht="25.5" customHeight="1" x14ac:dyDescent="0.2">
      <c r="A19" s="33">
        <v>14</v>
      </c>
      <c r="B19" s="34" t="s">
        <v>126</v>
      </c>
      <c r="C19" s="35" t="s">
        <v>122</v>
      </c>
      <c r="D19" s="35" t="s">
        <v>127</v>
      </c>
      <c r="E19" s="36" t="s">
        <v>100</v>
      </c>
      <c r="F19" s="37">
        <v>0</v>
      </c>
      <c r="G19" s="37">
        <v>0</v>
      </c>
      <c r="H19" s="37">
        <v>0</v>
      </c>
      <c r="I19" s="37">
        <v>0</v>
      </c>
      <c r="J19" s="37">
        <v>0</v>
      </c>
      <c r="K19" s="37">
        <v>0</v>
      </c>
      <c r="L19" s="37">
        <v>0</v>
      </c>
      <c r="M19" s="37">
        <v>0</v>
      </c>
      <c r="N19" s="37">
        <v>0</v>
      </c>
      <c r="O19" s="37">
        <v>0</v>
      </c>
      <c r="P19" s="37">
        <v>0</v>
      </c>
      <c r="Q19" s="37">
        <v>0</v>
      </c>
      <c r="R19" s="37">
        <v>0</v>
      </c>
      <c r="S19" s="37">
        <v>0</v>
      </c>
      <c r="T19" s="37">
        <v>0</v>
      </c>
      <c r="U19" s="37">
        <v>0</v>
      </c>
      <c r="V19" s="37">
        <v>0</v>
      </c>
      <c r="W19" s="37">
        <v>0</v>
      </c>
      <c r="X19" s="37">
        <v>0</v>
      </c>
      <c r="Y19" s="37">
        <v>0</v>
      </c>
      <c r="Z19" s="37">
        <v>0</v>
      </c>
      <c r="AA19" s="38">
        <v>2</v>
      </c>
      <c r="AB19" s="37">
        <v>0</v>
      </c>
      <c r="AC19" s="37">
        <v>0</v>
      </c>
      <c r="AD19" s="37">
        <v>0</v>
      </c>
      <c r="AE19" s="37">
        <v>0</v>
      </c>
      <c r="AF19" s="37">
        <v>0</v>
      </c>
      <c r="AG19" s="37">
        <v>2</v>
      </c>
      <c r="AH19" s="37">
        <v>0</v>
      </c>
      <c r="AI19" s="37">
        <v>0</v>
      </c>
      <c r="AJ19" s="37">
        <v>0</v>
      </c>
      <c r="AK19" s="37"/>
      <c r="AL19" s="39">
        <f t="shared" si="0"/>
        <v>4</v>
      </c>
      <c r="AM19" s="15">
        <f t="shared" si="1"/>
        <v>0</v>
      </c>
      <c r="AN19" s="15">
        <f t="shared" si="2"/>
        <v>1</v>
      </c>
      <c r="AO19" s="15">
        <f t="shared" si="3"/>
        <v>0</v>
      </c>
      <c r="AP19" s="15">
        <f t="shared" si="4"/>
        <v>1</v>
      </c>
      <c r="AQ19" s="39">
        <f t="shared" si="5"/>
        <v>2</v>
      </c>
      <c r="AR19" s="39" t="str">
        <f t="shared" si="6"/>
        <v>3 — Monitor</v>
      </c>
      <c r="AS19" s="40"/>
    </row>
    <row r="20" spans="1:45" ht="25.5" customHeight="1" x14ac:dyDescent="0.2">
      <c r="A20" s="33">
        <v>15</v>
      </c>
      <c r="B20" s="34" t="s">
        <v>128</v>
      </c>
      <c r="C20" s="35" t="s">
        <v>122</v>
      </c>
      <c r="D20" s="35" t="s">
        <v>129</v>
      </c>
      <c r="E20" s="36" t="s">
        <v>100</v>
      </c>
      <c r="F20" s="37">
        <v>0</v>
      </c>
      <c r="G20" s="37">
        <v>0</v>
      </c>
      <c r="H20" s="37">
        <v>0</v>
      </c>
      <c r="I20" s="37">
        <v>0</v>
      </c>
      <c r="J20" s="37">
        <v>0</v>
      </c>
      <c r="K20" s="37">
        <v>0</v>
      </c>
      <c r="L20" s="37">
        <v>0</v>
      </c>
      <c r="M20" s="37">
        <v>0</v>
      </c>
      <c r="N20" s="37">
        <v>0</v>
      </c>
      <c r="O20" s="37">
        <v>0</v>
      </c>
      <c r="P20" s="37">
        <v>0</v>
      </c>
      <c r="Q20" s="37">
        <v>0</v>
      </c>
      <c r="R20" s="37">
        <v>0</v>
      </c>
      <c r="S20" s="37">
        <v>0</v>
      </c>
      <c r="T20" s="37">
        <v>0</v>
      </c>
      <c r="U20" s="37">
        <v>0</v>
      </c>
      <c r="V20" s="37">
        <v>0</v>
      </c>
      <c r="W20" s="37">
        <v>0</v>
      </c>
      <c r="X20" s="37">
        <v>0</v>
      </c>
      <c r="Y20" s="37">
        <v>0</v>
      </c>
      <c r="Z20" s="37">
        <v>0</v>
      </c>
      <c r="AA20" s="37">
        <v>0</v>
      </c>
      <c r="AB20" s="37">
        <v>0</v>
      </c>
      <c r="AC20" s="37">
        <v>0</v>
      </c>
      <c r="AD20" s="37">
        <v>0</v>
      </c>
      <c r="AE20" s="37">
        <v>0</v>
      </c>
      <c r="AF20" s="37">
        <v>0</v>
      </c>
      <c r="AG20" s="37">
        <v>2</v>
      </c>
      <c r="AH20" s="37">
        <v>0</v>
      </c>
      <c r="AI20" s="37">
        <v>0</v>
      </c>
      <c r="AJ20" s="37">
        <v>0</v>
      </c>
      <c r="AK20" s="37"/>
      <c r="AL20" s="39">
        <f t="shared" si="0"/>
        <v>2</v>
      </c>
      <c r="AM20" s="15">
        <f t="shared" si="1"/>
        <v>0</v>
      </c>
      <c r="AN20" s="15">
        <f t="shared" si="2"/>
        <v>0</v>
      </c>
      <c r="AO20" s="15">
        <f t="shared" si="3"/>
        <v>0</v>
      </c>
      <c r="AP20" s="15">
        <f t="shared" si="4"/>
        <v>1</v>
      </c>
      <c r="AQ20" s="39">
        <f t="shared" si="5"/>
        <v>1</v>
      </c>
      <c r="AR20" s="39" t="str">
        <f t="shared" si="6"/>
        <v>3 — Monitor</v>
      </c>
      <c r="AS20" s="40"/>
    </row>
    <row r="21" spans="1:45" ht="25.5" customHeight="1" x14ac:dyDescent="0.2">
      <c r="A21" s="33">
        <v>16</v>
      </c>
      <c r="B21" s="34" t="s">
        <v>130</v>
      </c>
      <c r="C21" s="35" t="s">
        <v>131</v>
      </c>
      <c r="D21" s="35" t="s">
        <v>132</v>
      </c>
      <c r="E21" s="36" t="s">
        <v>100</v>
      </c>
      <c r="F21" s="37">
        <v>0</v>
      </c>
      <c r="G21" s="37">
        <v>0</v>
      </c>
      <c r="H21" s="37">
        <v>0</v>
      </c>
      <c r="I21" s="37">
        <v>0</v>
      </c>
      <c r="J21" s="37">
        <v>0</v>
      </c>
      <c r="K21" s="37">
        <v>0</v>
      </c>
      <c r="L21" s="37">
        <v>0</v>
      </c>
      <c r="M21" s="37">
        <v>0</v>
      </c>
      <c r="N21" s="37">
        <v>0</v>
      </c>
      <c r="O21" s="37">
        <v>0</v>
      </c>
      <c r="P21" s="37">
        <v>0</v>
      </c>
      <c r="Q21" s="37">
        <v>0</v>
      </c>
      <c r="R21" s="37">
        <v>0</v>
      </c>
      <c r="S21" s="37">
        <v>0</v>
      </c>
      <c r="T21" s="37">
        <v>0</v>
      </c>
      <c r="U21" s="37">
        <v>0</v>
      </c>
      <c r="V21" s="37">
        <v>0</v>
      </c>
      <c r="W21" s="37">
        <v>2</v>
      </c>
      <c r="X21" s="38">
        <v>1</v>
      </c>
      <c r="Y21" s="37">
        <v>2</v>
      </c>
      <c r="Z21" s="37">
        <v>0</v>
      </c>
      <c r="AA21" s="38">
        <v>0</v>
      </c>
      <c r="AB21" s="38">
        <v>2</v>
      </c>
      <c r="AC21" s="37">
        <v>0</v>
      </c>
      <c r="AD21" s="37">
        <v>0</v>
      </c>
      <c r="AE21" s="37">
        <v>0</v>
      </c>
      <c r="AF21" s="37">
        <v>0</v>
      </c>
      <c r="AG21" s="37">
        <v>1</v>
      </c>
      <c r="AH21" s="37">
        <v>0</v>
      </c>
      <c r="AI21" s="37">
        <v>0</v>
      </c>
      <c r="AJ21" s="38">
        <v>1</v>
      </c>
      <c r="AK21" s="37"/>
      <c r="AL21" s="39">
        <f t="shared" si="0"/>
        <v>9</v>
      </c>
      <c r="AM21" s="15">
        <f t="shared" si="1"/>
        <v>0</v>
      </c>
      <c r="AN21" s="15">
        <f t="shared" si="2"/>
        <v>1</v>
      </c>
      <c r="AO21" s="15">
        <f t="shared" si="3"/>
        <v>0</v>
      </c>
      <c r="AP21" s="15">
        <f t="shared" si="4"/>
        <v>1</v>
      </c>
      <c r="AQ21" s="39">
        <f t="shared" si="5"/>
        <v>2</v>
      </c>
      <c r="AR21" s="39" t="str">
        <f t="shared" si="6"/>
        <v>3 — Monitor</v>
      </c>
      <c r="AS21" s="40"/>
    </row>
    <row r="22" spans="1:45" ht="25.5" customHeight="1" x14ac:dyDescent="0.2">
      <c r="A22" s="33">
        <v>17</v>
      </c>
      <c r="B22" s="34" t="s">
        <v>133</v>
      </c>
      <c r="C22" s="35" t="s">
        <v>131</v>
      </c>
      <c r="D22" s="35" t="s">
        <v>134</v>
      </c>
      <c r="E22" s="36" t="s">
        <v>100</v>
      </c>
      <c r="F22" s="37">
        <v>0</v>
      </c>
      <c r="G22" s="37">
        <v>0</v>
      </c>
      <c r="H22" s="37">
        <v>0</v>
      </c>
      <c r="I22" s="37">
        <v>0</v>
      </c>
      <c r="J22" s="37">
        <v>2</v>
      </c>
      <c r="K22" s="37">
        <v>0</v>
      </c>
      <c r="L22" s="37">
        <v>0</v>
      </c>
      <c r="M22" s="37">
        <v>0</v>
      </c>
      <c r="N22" s="37">
        <v>0</v>
      </c>
      <c r="O22" s="37">
        <v>0</v>
      </c>
      <c r="P22" s="37">
        <v>0</v>
      </c>
      <c r="Q22" s="37">
        <v>0</v>
      </c>
      <c r="R22" s="37">
        <v>0</v>
      </c>
      <c r="S22" s="37">
        <v>0</v>
      </c>
      <c r="T22" s="37">
        <v>2</v>
      </c>
      <c r="U22" s="37">
        <v>0</v>
      </c>
      <c r="V22" s="37">
        <v>0</v>
      </c>
      <c r="W22" s="37">
        <v>2</v>
      </c>
      <c r="X22" s="37">
        <v>1</v>
      </c>
      <c r="Y22" s="37">
        <v>1</v>
      </c>
      <c r="Z22" s="37">
        <v>0</v>
      </c>
      <c r="AA22" s="37">
        <v>2</v>
      </c>
      <c r="AB22" s="37">
        <v>0</v>
      </c>
      <c r="AC22" s="37">
        <v>0</v>
      </c>
      <c r="AD22" s="37">
        <v>0</v>
      </c>
      <c r="AE22" s="37">
        <v>0</v>
      </c>
      <c r="AF22" s="37">
        <v>0</v>
      </c>
      <c r="AG22" s="37">
        <v>2</v>
      </c>
      <c r="AH22" s="37">
        <v>0</v>
      </c>
      <c r="AI22" s="37">
        <v>0</v>
      </c>
      <c r="AJ22" s="37">
        <v>0</v>
      </c>
      <c r="AK22" s="37"/>
      <c r="AL22" s="39">
        <f t="shared" si="0"/>
        <v>12</v>
      </c>
      <c r="AM22" s="15">
        <f t="shared" si="1"/>
        <v>1</v>
      </c>
      <c r="AN22" s="15">
        <f t="shared" si="2"/>
        <v>1</v>
      </c>
      <c r="AO22" s="15">
        <f t="shared" si="3"/>
        <v>0</v>
      </c>
      <c r="AP22" s="15">
        <f t="shared" si="4"/>
        <v>1</v>
      </c>
      <c r="AQ22" s="39">
        <f t="shared" si="5"/>
        <v>3</v>
      </c>
      <c r="AR22" s="39" t="str">
        <f t="shared" si="6"/>
        <v>1 — Build first</v>
      </c>
      <c r="AS22" s="40"/>
    </row>
    <row r="23" spans="1:45" ht="25.5" customHeight="1" x14ac:dyDescent="0.2">
      <c r="A23" s="33">
        <v>18</v>
      </c>
      <c r="B23" s="34" t="s">
        <v>135</v>
      </c>
      <c r="C23" s="35" t="s">
        <v>131</v>
      </c>
      <c r="D23" s="35" t="s">
        <v>136</v>
      </c>
      <c r="E23" s="36" t="s">
        <v>100</v>
      </c>
      <c r="F23" s="37">
        <v>0</v>
      </c>
      <c r="G23" s="37">
        <v>0</v>
      </c>
      <c r="H23" s="37">
        <v>0</v>
      </c>
      <c r="I23" s="37">
        <v>0</v>
      </c>
      <c r="J23" s="37">
        <v>0</v>
      </c>
      <c r="K23" s="37">
        <v>0</v>
      </c>
      <c r="L23" s="37">
        <v>1</v>
      </c>
      <c r="M23" s="37">
        <v>0</v>
      </c>
      <c r="N23" s="37">
        <v>0</v>
      </c>
      <c r="O23" s="37">
        <v>0</v>
      </c>
      <c r="P23" s="37">
        <v>0</v>
      </c>
      <c r="Q23" s="37">
        <v>0</v>
      </c>
      <c r="R23" s="37">
        <v>0</v>
      </c>
      <c r="S23" s="37">
        <v>0</v>
      </c>
      <c r="T23" s="37">
        <v>0</v>
      </c>
      <c r="U23" s="37">
        <v>0</v>
      </c>
      <c r="V23" s="37">
        <v>0</v>
      </c>
      <c r="W23" s="38">
        <v>1</v>
      </c>
      <c r="X23" s="37">
        <v>1</v>
      </c>
      <c r="Y23" s="37">
        <v>1</v>
      </c>
      <c r="Z23" s="37">
        <v>0</v>
      </c>
      <c r="AA23" s="37">
        <v>0</v>
      </c>
      <c r="AB23" s="37">
        <v>2</v>
      </c>
      <c r="AC23" s="38">
        <v>2</v>
      </c>
      <c r="AD23" s="37">
        <v>0</v>
      </c>
      <c r="AE23" s="37">
        <v>0</v>
      </c>
      <c r="AF23" s="37">
        <v>0</v>
      </c>
      <c r="AG23" s="38">
        <v>2</v>
      </c>
      <c r="AH23" s="37">
        <v>0</v>
      </c>
      <c r="AI23" s="37">
        <v>0</v>
      </c>
      <c r="AJ23" s="38">
        <v>1</v>
      </c>
      <c r="AK23" s="37"/>
      <c r="AL23" s="39">
        <f t="shared" si="0"/>
        <v>11</v>
      </c>
      <c r="AM23" s="15">
        <f t="shared" si="1"/>
        <v>1</v>
      </c>
      <c r="AN23" s="15">
        <f t="shared" si="2"/>
        <v>1</v>
      </c>
      <c r="AO23" s="15">
        <f t="shared" si="3"/>
        <v>1</v>
      </c>
      <c r="AP23" s="15">
        <f t="shared" si="4"/>
        <v>1</v>
      </c>
      <c r="AQ23" s="39">
        <f t="shared" si="5"/>
        <v>4</v>
      </c>
      <c r="AR23" s="39" t="str">
        <f t="shared" si="6"/>
        <v>2 — Next</v>
      </c>
      <c r="AS23" s="40"/>
    </row>
    <row r="24" spans="1:45" ht="25.5" customHeight="1" x14ac:dyDescent="0.2">
      <c r="A24" s="33">
        <v>19</v>
      </c>
      <c r="B24" s="34" t="s">
        <v>137</v>
      </c>
      <c r="C24" s="35" t="s">
        <v>131</v>
      </c>
      <c r="D24" s="35" t="s">
        <v>138</v>
      </c>
      <c r="E24" s="36" t="s">
        <v>100</v>
      </c>
      <c r="F24" s="37">
        <v>0</v>
      </c>
      <c r="G24" s="37">
        <v>0</v>
      </c>
      <c r="H24" s="37">
        <v>0</v>
      </c>
      <c r="I24" s="37">
        <v>0</v>
      </c>
      <c r="J24" s="37">
        <v>1</v>
      </c>
      <c r="K24" s="37">
        <v>0</v>
      </c>
      <c r="L24" s="37">
        <v>0</v>
      </c>
      <c r="M24" s="37">
        <v>0</v>
      </c>
      <c r="N24" s="37">
        <v>0</v>
      </c>
      <c r="O24" s="37">
        <v>0</v>
      </c>
      <c r="P24" s="37">
        <v>0</v>
      </c>
      <c r="Q24" s="37">
        <v>0</v>
      </c>
      <c r="R24" s="37">
        <v>0</v>
      </c>
      <c r="S24" s="37">
        <v>0</v>
      </c>
      <c r="T24" s="37">
        <v>0</v>
      </c>
      <c r="U24" s="37">
        <v>0</v>
      </c>
      <c r="V24" s="37">
        <v>0</v>
      </c>
      <c r="W24" s="37">
        <v>1</v>
      </c>
      <c r="X24" s="37">
        <v>1</v>
      </c>
      <c r="Y24" s="37">
        <v>2</v>
      </c>
      <c r="Z24" s="37">
        <v>0</v>
      </c>
      <c r="AA24" s="37">
        <v>0</v>
      </c>
      <c r="AB24" s="37">
        <v>0</v>
      </c>
      <c r="AC24" s="37">
        <v>0</v>
      </c>
      <c r="AD24" s="37">
        <v>0</v>
      </c>
      <c r="AE24" s="37">
        <v>0</v>
      </c>
      <c r="AF24" s="37">
        <v>0</v>
      </c>
      <c r="AG24" s="37">
        <v>0</v>
      </c>
      <c r="AH24" s="37">
        <v>0</v>
      </c>
      <c r="AI24" s="37">
        <v>0</v>
      </c>
      <c r="AJ24" s="37">
        <v>0</v>
      </c>
      <c r="AK24" s="37"/>
      <c r="AL24" s="39">
        <f t="shared" si="0"/>
        <v>5</v>
      </c>
      <c r="AM24" s="15">
        <f t="shared" si="1"/>
        <v>1</v>
      </c>
      <c r="AN24" s="15">
        <f t="shared" si="2"/>
        <v>1</v>
      </c>
      <c r="AO24" s="15">
        <f t="shared" si="3"/>
        <v>0</v>
      </c>
      <c r="AP24" s="15">
        <f t="shared" si="4"/>
        <v>0</v>
      </c>
      <c r="AQ24" s="39">
        <f t="shared" si="5"/>
        <v>2</v>
      </c>
      <c r="AR24" s="39" t="str">
        <f t="shared" si="6"/>
        <v>3 — Monitor</v>
      </c>
      <c r="AS24" s="40"/>
    </row>
    <row r="25" spans="1:45" ht="25.5" customHeight="1" x14ac:dyDescent="0.2">
      <c r="A25" s="33">
        <v>20</v>
      </c>
      <c r="B25" s="34" t="s">
        <v>139</v>
      </c>
      <c r="C25" s="35" t="s">
        <v>131</v>
      </c>
      <c r="D25" s="35" t="s">
        <v>140</v>
      </c>
      <c r="E25" s="36" t="s">
        <v>100</v>
      </c>
      <c r="F25" s="37">
        <v>0</v>
      </c>
      <c r="G25" s="37">
        <v>0</v>
      </c>
      <c r="H25" s="37">
        <v>0</v>
      </c>
      <c r="I25" s="37">
        <v>0</v>
      </c>
      <c r="J25" s="37">
        <v>0</v>
      </c>
      <c r="K25" s="37">
        <v>0</v>
      </c>
      <c r="L25" s="37">
        <v>0</v>
      </c>
      <c r="M25" s="37">
        <v>0</v>
      </c>
      <c r="N25" s="37">
        <v>0</v>
      </c>
      <c r="O25" s="37">
        <v>0</v>
      </c>
      <c r="P25">
        <v>2</v>
      </c>
      <c r="Q25" s="37">
        <v>0</v>
      </c>
      <c r="R25" s="37">
        <v>0</v>
      </c>
      <c r="S25" s="37">
        <v>0</v>
      </c>
      <c r="T25" s="37">
        <v>0</v>
      </c>
      <c r="U25" s="37">
        <v>0</v>
      </c>
      <c r="V25" s="37">
        <v>0</v>
      </c>
      <c r="W25" s="37">
        <v>1</v>
      </c>
      <c r="X25" s="37">
        <v>0</v>
      </c>
      <c r="Y25" s="37">
        <v>2</v>
      </c>
      <c r="Z25" s="37">
        <v>0</v>
      </c>
      <c r="AA25" s="37">
        <v>0</v>
      </c>
      <c r="AB25" s="37">
        <v>0</v>
      </c>
      <c r="AC25" s="37">
        <v>0</v>
      </c>
      <c r="AD25" s="37">
        <v>0</v>
      </c>
      <c r="AE25" s="37">
        <v>0</v>
      </c>
      <c r="AF25" s="37">
        <v>0</v>
      </c>
      <c r="AG25" s="37">
        <v>0</v>
      </c>
      <c r="AH25" s="37">
        <v>0</v>
      </c>
      <c r="AI25" s="37">
        <v>0</v>
      </c>
      <c r="AJ25" s="37">
        <v>0</v>
      </c>
      <c r="AK25" s="37"/>
      <c r="AL25" s="39">
        <f t="shared" si="0"/>
        <v>5</v>
      </c>
      <c r="AM25" s="15">
        <f t="shared" si="1"/>
        <v>1</v>
      </c>
      <c r="AN25" s="15">
        <f t="shared" si="2"/>
        <v>1</v>
      </c>
      <c r="AO25" s="15">
        <f t="shared" si="3"/>
        <v>0</v>
      </c>
      <c r="AP25" s="15">
        <f t="shared" si="4"/>
        <v>0</v>
      </c>
      <c r="AQ25" s="39">
        <f t="shared" si="5"/>
        <v>2</v>
      </c>
      <c r="AR25" s="39" t="str">
        <f t="shared" si="6"/>
        <v>3 — Monitor</v>
      </c>
      <c r="AS25" s="40"/>
    </row>
    <row r="26" spans="1:45" ht="25.5" customHeight="1" x14ac:dyDescent="0.2">
      <c r="A26" s="33">
        <v>21</v>
      </c>
      <c r="B26" s="34" t="s">
        <v>141</v>
      </c>
      <c r="C26" s="35" t="s">
        <v>131</v>
      </c>
      <c r="D26" s="35" t="s">
        <v>142</v>
      </c>
      <c r="E26" s="36" t="s">
        <v>100</v>
      </c>
      <c r="F26" s="37">
        <v>0</v>
      </c>
      <c r="G26" s="37">
        <v>0</v>
      </c>
      <c r="H26" s="37">
        <v>0</v>
      </c>
      <c r="I26" s="37">
        <v>0</v>
      </c>
      <c r="J26" s="37">
        <v>1</v>
      </c>
      <c r="K26" s="37">
        <v>0</v>
      </c>
      <c r="L26" s="37">
        <v>0</v>
      </c>
      <c r="M26" s="37">
        <v>0</v>
      </c>
      <c r="N26" s="37">
        <v>0</v>
      </c>
      <c r="O26" s="37">
        <v>0</v>
      </c>
      <c r="P26" s="37">
        <v>0</v>
      </c>
      <c r="Q26" s="37">
        <v>0</v>
      </c>
      <c r="R26" s="37">
        <v>0</v>
      </c>
      <c r="S26" s="37">
        <v>0</v>
      </c>
      <c r="T26" s="37">
        <v>0</v>
      </c>
      <c r="U26" s="37">
        <v>0</v>
      </c>
      <c r="V26" s="37">
        <v>0</v>
      </c>
      <c r="W26" s="37">
        <v>1</v>
      </c>
      <c r="X26" s="37">
        <v>0</v>
      </c>
      <c r="Y26" s="37">
        <v>2</v>
      </c>
      <c r="Z26" s="37">
        <v>0</v>
      </c>
      <c r="AA26" s="37">
        <v>0</v>
      </c>
      <c r="AB26" s="37">
        <v>0</v>
      </c>
      <c r="AC26" s="37">
        <v>0</v>
      </c>
      <c r="AD26" s="37">
        <v>0</v>
      </c>
      <c r="AE26" s="37">
        <v>0</v>
      </c>
      <c r="AF26" s="37">
        <v>0</v>
      </c>
      <c r="AG26" s="37">
        <v>0</v>
      </c>
      <c r="AH26" s="37">
        <v>0</v>
      </c>
      <c r="AI26" s="37">
        <v>0</v>
      </c>
      <c r="AJ26" s="37">
        <v>0</v>
      </c>
      <c r="AK26" s="37"/>
      <c r="AL26" s="39">
        <f t="shared" si="0"/>
        <v>4</v>
      </c>
      <c r="AM26" s="15">
        <f t="shared" si="1"/>
        <v>1</v>
      </c>
      <c r="AN26" s="15">
        <f t="shared" si="2"/>
        <v>1</v>
      </c>
      <c r="AO26" s="15">
        <f t="shared" si="3"/>
        <v>0</v>
      </c>
      <c r="AP26" s="15">
        <f t="shared" si="4"/>
        <v>0</v>
      </c>
      <c r="AQ26" s="39">
        <f t="shared" si="5"/>
        <v>2</v>
      </c>
      <c r="AR26" s="39" t="str">
        <f t="shared" si="6"/>
        <v>3 — Monitor</v>
      </c>
      <c r="AS26" s="40"/>
    </row>
    <row r="27" spans="1:45" ht="25.5" customHeight="1" x14ac:dyDescent="0.2">
      <c r="A27" s="33">
        <v>22</v>
      </c>
      <c r="B27" s="34" t="s">
        <v>143</v>
      </c>
      <c r="C27" s="35" t="s">
        <v>131</v>
      </c>
      <c r="D27" s="35" t="s">
        <v>144</v>
      </c>
      <c r="E27" s="36" t="s">
        <v>100</v>
      </c>
      <c r="F27" s="37">
        <v>0</v>
      </c>
      <c r="G27" s="37">
        <v>0</v>
      </c>
      <c r="H27" s="37">
        <v>0</v>
      </c>
      <c r="I27" s="37">
        <v>0</v>
      </c>
      <c r="J27" s="37">
        <v>0</v>
      </c>
      <c r="K27" s="37">
        <v>0</v>
      </c>
      <c r="L27" s="37">
        <v>0</v>
      </c>
      <c r="M27" s="37">
        <v>0</v>
      </c>
      <c r="N27" s="37">
        <v>0</v>
      </c>
      <c r="O27" s="37">
        <v>0</v>
      </c>
      <c r="P27" s="37">
        <v>0</v>
      </c>
      <c r="Q27" s="37">
        <v>0</v>
      </c>
      <c r="R27" s="37">
        <v>0</v>
      </c>
      <c r="S27" s="37">
        <v>0</v>
      </c>
      <c r="T27" s="37">
        <v>0</v>
      </c>
      <c r="U27" s="37">
        <v>0</v>
      </c>
      <c r="V27" s="37">
        <v>0</v>
      </c>
      <c r="W27" s="37">
        <v>1</v>
      </c>
      <c r="X27" s="37">
        <v>1</v>
      </c>
      <c r="Y27" s="37">
        <v>0</v>
      </c>
      <c r="Z27" s="37">
        <v>0</v>
      </c>
      <c r="AA27" s="37">
        <v>2</v>
      </c>
      <c r="AB27" s="37">
        <v>0</v>
      </c>
      <c r="AC27" s="37">
        <v>0</v>
      </c>
      <c r="AD27" s="37">
        <v>0</v>
      </c>
      <c r="AE27" s="37">
        <v>0</v>
      </c>
      <c r="AF27" s="37">
        <v>0</v>
      </c>
      <c r="AG27" s="37">
        <v>2</v>
      </c>
      <c r="AH27" s="37">
        <v>0</v>
      </c>
      <c r="AI27" s="37">
        <v>0</v>
      </c>
      <c r="AJ27" s="37">
        <v>0</v>
      </c>
      <c r="AK27" s="37"/>
      <c r="AL27" s="39">
        <f t="shared" si="0"/>
        <v>6</v>
      </c>
      <c r="AM27" s="15">
        <f t="shared" si="1"/>
        <v>0</v>
      </c>
      <c r="AN27" s="15">
        <f t="shared" si="2"/>
        <v>1</v>
      </c>
      <c r="AO27" s="15">
        <f t="shared" si="3"/>
        <v>0</v>
      </c>
      <c r="AP27" s="15">
        <f t="shared" si="4"/>
        <v>1</v>
      </c>
      <c r="AQ27" s="39">
        <f t="shared" si="5"/>
        <v>2</v>
      </c>
      <c r="AR27" s="39" t="str">
        <f t="shared" si="6"/>
        <v>3 — Monitor</v>
      </c>
      <c r="AS27" s="40"/>
    </row>
    <row r="28" spans="1:45" ht="25.5" customHeight="1" x14ac:dyDescent="0.2">
      <c r="A28" s="33">
        <v>23</v>
      </c>
      <c r="B28" s="34" t="s">
        <v>145</v>
      </c>
      <c r="C28" s="35" t="s">
        <v>131</v>
      </c>
      <c r="D28" s="35" t="s">
        <v>146</v>
      </c>
      <c r="E28" s="36" t="s">
        <v>100</v>
      </c>
      <c r="F28" s="37">
        <v>0</v>
      </c>
      <c r="G28" s="37">
        <v>0</v>
      </c>
      <c r="H28" s="37">
        <v>0</v>
      </c>
      <c r="I28" s="37">
        <v>0</v>
      </c>
      <c r="J28" s="37">
        <v>0</v>
      </c>
      <c r="K28" s="37">
        <v>0</v>
      </c>
      <c r="L28" s="37">
        <v>0</v>
      </c>
      <c r="M28" s="37">
        <v>0</v>
      </c>
      <c r="N28" s="37">
        <v>0</v>
      </c>
      <c r="O28" s="37">
        <v>0</v>
      </c>
      <c r="P28" s="37">
        <v>0</v>
      </c>
      <c r="Q28" s="37">
        <v>0</v>
      </c>
      <c r="R28" s="37">
        <v>0</v>
      </c>
      <c r="S28" s="37">
        <v>0</v>
      </c>
      <c r="T28" s="37">
        <v>0</v>
      </c>
      <c r="U28" s="37">
        <v>0</v>
      </c>
      <c r="V28" s="37">
        <v>0</v>
      </c>
      <c r="W28" s="37">
        <v>1</v>
      </c>
      <c r="X28" s="37">
        <v>1</v>
      </c>
      <c r="Y28" s="37">
        <v>0</v>
      </c>
      <c r="Z28" s="37">
        <v>0</v>
      </c>
      <c r="AA28" s="37">
        <v>0</v>
      </c>
      <c r="AB28" s="37">
        <v>1</v>
      </c>
      <c r="AC28" s="38">
        <v>2</v>
      </c>
      <c r="AD28" s="37">
        <v>0</v>
      </c>
      <c r="AE28" s="37">
        <v>0</v>
      </c>
      <c r="AF28" s="37">
        <v>0</v>
      </c>
      <c r="AG28" s="37">
        <v>2</v>
      </c>
      <c r="AH28" s="37">
        <v>0</v>
      </c>
      <c r="AI28" s="37">
        <v>0</v>
      </c>
      <c r="AJ28" s="37">
        <v>0</v>
      </c>
      <c r="AK28" s="37"/>
      <c r="AL28" s="39">
        <f t="shared" si="0"/>
        <v>7</v>
      </c>
      <c r="AM28" s="15">
        <f t="shared" si="1"/>
        <v>0</v>
      </c>
      <c r="AN28" s="15">
        <f t="shared" si="2"/>
        <v>1</v>
      </c>
      <c r="AO28" s="15">
        <f t="shared" si="3"/>
        <v>1</v>
      </c>
      <c r="AP28" s="15">
        <f t="shared" si="4"/>
        <v>1</v>
      </c>
      <c r="AQ28" s="39">
        <f t="shared" si="5"/>
        <v>3</v>
      </c>
      <c r="AR28" s="39" t="str">
        <f t="shared" si="6"/>
        <v>2 — Next</v>
      </c>
      <c r="AS28" s="40"/>
    </row>
    <row r="29" spans="1:45" ht="25.5" customHeight="1" x14ac:dyDescent="0.2">
      <c r="A29" s="33">
        <v>24</v>
      </c>
      <c r="B29" s="34" t="s">
        <v>147</v>
      </c>
      <c r="C29" s="35" t="s">
        <v>131</v>
      </c>
      <c r="D29" s="35" t="s">
        <v>148</v>
      </c>
      <c r="E29" s="36" t="s">
        <v>100</v>
      </c>
      <c r="F29" s="37">
        <v>0</v>
      </c>
      <c r="G29" s="37">
        <v>0</v>
      </c>
      <c r="H29" s="37">
        <v>0</v>
      </c>
      <c r="I29" s="37">
        <v>0</v>
      </c>
      <c r="J29" s="37">
        <v>0</v>
      </c>
      <c r="K29" s="37">
        <v>0</v>
      </c>
      <c r="L29" s="37">
        <v>2</v>
      </c>
      <c r="M29" s="37">
        <v>0</v>
      </c>
      <c r="N29" s="37">
        <v>0</v>
      </c>
      <c r="O29" s="37">
        <v>0</v>
      </c>
      <c r="P29" s="37">
        <v>0</v>
      </c>
      <c r="Q29" s="37">
        <v>0</v>
      </c>
      <c r="R29" s="37">
        <v>1</v>
      </c>
      <c r="S29" s="37">
        <v>2</v>
      </c>
      <c r="T29" s="37">
        <v>1</v>
      </c>
      <c r="U29" s="37">
        <v>1</v>
      </c>
      <c r="V29" s="37">
        <v>0</v>
      </c>
      <c r="W29" s="37">
        <v>1</v>
      </c>
      <c r="X29" s="37">
        <v>1</v>
      </c>
      <c r="Y29" s="37">
        <v>2</v>
      </c>
      <c r="Z29" s="37">
        <v>0</v>
      </c>
      <c r="AA29" s="37">
        <v>0</v>
      </c>
      <c r="AB29" s="37">
        <v>1</v>
      </c>
      <c r="AC29" s="37">
        <v>0</v>
      </c>
      <c r="AD29" s="37">
        <v>0</v>
      </c>
      <c r="AE29" s="37">
        <v>0</v>
      </c>
      <c r="AF29" s="37">
        <v>0</v>
      </c>
      <c r="AG29" s="37">
        <v>2</v>
      </c>
      <c r="AH29" s="37">
        <v>0</v>
      </c>
      <c r="AI29" s="37">
        <v>0</v>
      </c>
      <c r="AJ29" s="38">
        <v>1</v>
      </c>
      <c r="AK29" s="37"/>
      <c r="AL29" s="39">
        <f t="shared" si="0"/>
        <v>15</v>
      </c>
      <c r="AM29" s="15">
        <f t="shared" si="1"/>
        <v>1</v>
      </c>
      <c r="AN29" s="15">
        <f t="shared" si="2"/>
        <v>1</v>
      </c>
      <c r="AO29" s="15">
        <f t="shared" si="3"/>
        <v>0</v>
      </c>
      <c r="AP29" s="15">
        <f t="shared" si="4"/>
        <v>1</v>
      </c>
      <c r="AQ29" s="39">
        <f t="shared" si="5"/>
        <v>3</v>
      </c>
      <c r="AR29" s="39" t="str">
        <f t="shared" si="6"/>
        <v>1 — Build first</v>
      </c>
      <c r="AS29" s="40"/>
    </row>
    <row r="30" spans="1:45" ht="25.5" customHeight="1" x14ac:dyDescent="0.2">
      <c r="A30" s="33">
        <v>25</v>
      </c>
      <c r="B30" s="34" t="s">
        <v>149</v>
      </c>
      <c r="C30" s="35" t="s">
        <v>131</v>
      </c>
      <c r="D30" s="35" t="s">
        <v>150</v>
      </c>
      <c r="E30" s="36" t="s">
        <v>100</v>
      </c>
      <c r="F30" s="37">
        <v>0</v>
      </c>
      <c r="G30" s="37">
        <v>0</v>
      </c>
      <c r="H30" s="37">
        <v>0</v>
      </c>
      <c r="I30" s="37">
        <v>0</v>
      </c>
      <c r="J30" s="37">
        <v>0</v>
      </c>
      <c r="K30" s="37">
        <v>0</v>
      </c>
      <c r="L30" s="37">
        <v>0</v>
      </c>
      <c r="M30" s="37">
        <v>0</v>
      </c>
      <c r="N30" s="37">
        <v>0</v>
      </c>
      <c r="O30" s="37">
        <v>0</v>
      </c>
      <c r="P30" s="37">
        <v>0</v>
      </c>
      <c r="Q30" s="37">
        <v>0</v>
      </c>
      <c r="R30" s="37">
        <v>0</v>
      </c>
      <c r="S30" s="37">
        <v>0</v>
      </c>
      <c r="T30" s="37">
        <v>0</v>
      </c>
      <c r="U30" s="37">
        <v>0</v>
      </c>
      <c r="V30" s="37">
        <v>0</v>
      </c>
      <c r="W30" s="37">
        <v>0</v>
      </c>
      <c r="X30" s="37">
        <v>0</v>
      </c>
      <c r="Y30" s="37">
        <v>2</v>
      </c>
      <c r="Z30" s="37">
        <v>0</v>
      </c>
      <c r="AA30" s="37">
        <v>0</v>
      </c>
      <c r="AB30" s="37">
        <v>0</v>
      </c>
      <c r="AC30" s="37">
        <v>0</v>
      </c>
      <c r="AD30" s="37">
        <v>0</v>
      </c>
      <c r="AE30" s="37">
        <v>0</v>
      </c>
      <c r="AF30" s="37">
        <v>0</v>
      </c>
      <c r="AG30" s="37">
        <v>0</v>
      </c>
      <c r="AH30" s="37">
        <v>0</v>
      </c>
      <c r="AI30" s="37">
        <v>0</v>
      </c>
      <c r="AJ30" s="37">
        <v>0</v>
      </c>
      <c r="AK30" s="37"/>
      <c r="AL30" s="39">
        <f t="shared" si="0"/>
        <v>2</v>
      </c>
      <c r="AM30" s="15">
        <f t="shared" si="1"/>
        <v>0</v>
      </c>
      <c r="AN30" s="15">
        <f t="shared" si="2"/>
        <v>1</v>
      </c>
      <c r="AO30" s="15">
        <f t="shared" si="3"/>
        <v>0</v>
      </c>
      <c r="AP30" s="15">
        <f t="shared" si="4"/>
        <v>0</v>
      </c>
      <c r="AQ30" s="39">
        <f t="shared" si="5"/>
        <v>1</v>
      </c>
      <c r="AR30" s="39" t="str">
        <f t="shared" si="6"/>
        <v>3 — Monitor</v>
      </c>
      <c r="AS30" s="40"/>
    </row>
    <row r="31" spans="1:45" ht="25.5" customHeight="1" x14ac:dyDescent="0.2">
      <c r="A31" s="33">
        <v>26</v>
      </c>
      <c r="B31" s="34" t="s">
        <v>151</v>
      </c>
      <c r="C31" s="35" t="s">
        <v>131</v>
      </c>
      <c r="D31" s="35" t="s">
        <v>152</v>
      </c>
      <c r="E31" s="36" t="s">
        <v>100</v>
      </c>
      <c r="F31" s="37">
        <v>0</v>
      </c>
      <c r="G31" s="37">
        <v>0</v>
      </c>
      <c r="H31" s="37">
        <v>0</v>
      </c>
      <c r="I31" s="37">
        <v>0</v>
      </c>
      <c r="J31" s="37">
        <v>0</v>
      </c>
      <c r="K31" s="37">
        <v>0</v>
      </c>
      <c r="L31" s="37">
        <v>0</v>
      </c>
      <c r="M31" s="37">
        <v>0</v>
      </c>
      <c r="N31" s="37">
        <v>0</v>
      </c>
      <c r="O31" s="37">
        <v>0</v>
      </c>
      <c r="P31">
        <v>1</v>
      </c>
      <c r="Q31" s="37">
        <v>0</v>
      </c>
      <c r="R31" s="37">
        <v>0</v>
      </c>
      <c r="S31" s="37">
        <v>0</v>
      </c>
      <c r="T31" s="37">
        <v>0</v>
      </c>
      <c r="U31" s="37">
        <v>0</v>
      </c>
      <c r="V31" s="37">
        <v>0</v>
      </c>
      <c r="W31" s="37">
        <v>0</v>
      </c>
      <c r="X31" s="37">
        <v>0</v>
      </c>
      <c r="Y31" s="37">
        <v>2</v>
      </c>
      <c r="Z31" s="37">
        <v>0</v>
      </c>
      <c r="AA31" s="37">
        <v>0</v>
      </c>
      <c r="AB31" s="37">
        <v>0</v>
      </c>
      <c r="AC31" s="37">
        <v>0</v>
      </c>
      <c r="AD31" s="37">
        <v>0</v>
      </c>
      <c r="AE31" s="37">
        <v>0</v>
      </c>
      <c r="AF31" s="37">
        <v>0</v>
      </c>
      <c r="AG31" s="37">
        <v>0</v>
      </c>
      <c r="AH31" s="37">
        <v>0</v>
      </c>
      <c r="AI31" s="37">
        <v>0</v>
      </c>
      <c r="AJ31" s="37">
        <v>0</v>
      </c>
      <c r="AK31" s="37"/>
      <c r="AL31" s="39">
        <f t="shared" si="0"/>
        <v>3</v>
      </c>
      <c r="AM31" s="15">
        <f t="shared" si="1"/>
        <v>1</v>
      </c>
      <c r="AN31" s="15">
        <f t="shared" si="2"/>
        <v>1</v>
      </c>
      <c r="AO31" s="15">
        <f t="shared" si="3"/>
        <v>0</v>
      </c>
      <c r="AP31" s="15">
        <f t="shared" si="4"/>
        <v>0</v>
      </c>
      <c r="AQ31" s="39">
        <f t="shared" si="5"/>
        <v>2</v>
      </c>
      <c r="AR31" s="39" t="str">
        <f t="shared" si="6"/>
        <v>3 — Monitor</v>
      </c>
      <c r="AS31" s="40"/>
    </row>
    <row r="32" spans="1:45" ht="25.5" customHeight="1" x14ac:dyDescent="0.2">
      <c r="A32" s="33">
        <v>27</v>
      </c>
      <c r="B32" s="34" t="s">
        <v>153</v>
      </c>
      <c r="C32" s="35" t="s">
        <v>98</v>
      </c>
      <c r="D32" s="35"/>
      <c r="E32" s="36" t="s">
        <v>154</v>
      </c>
      <c r="F32" s="37">
        <v>0</v>
      </c>
      <c r="G32" s="37">
        <v>0</v>
      </c>
      <c r="H32" s="37">
        <v>0</v>
      </c>
      <c r="I32" s="37">
        <v>0</v>
      </c>
      <c r="J32" s="37">
        <v>0</v>
      </c>
      <c r="K32" s="37">
        <v>0</v>
      </c>
      <c r="L32" s="37">
        <v>0</v>
      </c>
      <c r="M32" s="37">
        <v>2</v>
      </c>
      <c r="N32" s="37">
        <v>0</v>
      </c>
      <c r="O32" s="37">
        <v>0</v>
      </c>
      <c r="P32" s="37">
        <v>0</v>
      </c>
      <c r="Q32" s="37">
        <v>0</v>
      </c>
      <c r="R32" s="37">
        <v>2</v>
      </c>
      <c r="S32" s="37">
        <v>2</v>
      </c>
      <c r="T32" s="37">
        <v>1</v>
      </c>
      <c r="U32" s="37">
        <v>1</v>
      </c>
      <c r="V32" s="37">
        <v>1</v>
      </c>
      <c r="W32" s="37">
        <v>0</v>
      </c>
      <c r="X32" s="37">
        <v>0</v>
      </c>
      <c r="Y32" s="37">
        <v>2</v>
      </c>
      <c r="Z32" s="38">
        <v>1</v>
      </c>
      <c r="AA32" s="38">
        <v>1</v>
      </c>
      <c r="AB32" s="37">
        <v>0</v>
      </c>
      <c r="AC32" s="38">
        <v>2</v>
      </c>
      <c r="AD32" s="37">
        <v>0</v>
      </c>
      <c r="AE32" s="37">
        <v>2</v>
      </c>
      <c r="AF32" s="37">
        <v>0</v>
      </c>
      <c r="AG32" s="37">
        <v>2</v>
      </c>
      <c r="AH32" s="37">
        <v>2</v>
      </c>
      <c r="AI32" s="37">
        <v>0</v>
      </c>
      <c r="AJ32" s="37">
        <v>0</v>
      </c>
      <c r="AK32" s="37"/>
      <c r="AL32" s="39">
        <f t="shared" si="0"/>
        <v>19</v>
      </c>
      <c r="AM32" s="15">
        <f t="shared" si="1"/>
        <v>1</v>
      </c>
      <c r="AN32" s="15">
        <f t="shared" si="2"/>
        <v>1</v>
      </c>
      <c r="AO32" s="15">
        <f t="shared" si="3"/>
        <v>1</v>
      </c>
      <c r="AP32" s="15">
        <f t="shared" si="4"/>
        <v>1</v>
      </c>
      <c r="AQ32" s="39">
        <f t="shared" si="5"/>
        <v>4</v>
      </c>
      <c r="AR32" s="39" t="str">
        <f t="shared" si="6"/>
        <v>1 — Build first</v>
      </c>
      <c r="AS32" s="40"/>
    </row>
    <row r="33" spans="1:46" ht="25.5" customHeight="1" x14ac:dyDescent="0.2">
      <c r="A33" s="33">
        <v>28</v>
      </c>
      <c r="B33" s="34" t="s">
        <v>155</v>
      </c>
      <c r="C33" s="35" t="s">
        <v>131</v>
      </c>
      <c r="D33" s="35"/>
      <c r="E33" s="36" t="s">
        <v>154</v>
      </c>
      <c r="F33" s="37">
        <v>0</v>
      </c>
      <c r="G33" s="37">
        <v>0</v>
      </c>
      <c r="H33" s="37">
        <v>1</v>
      </c>
      <c r="I33" s="37">
        <v>0</v>
      </c>
      <c r="J33" s="37">
        <v>0</v>
      </c>
      <c r="K33" s="37">
        <v>0</v>
      </c>
      <c r="L33" s="37">
        <v>0</v>
      </c>
      <c r="M33" s="37">
        <v>0</v>
      </c>
      <c r="N33" s="37">
        <v>1</v>
      </c>
      <c r="O33" s="37">
        <v>0</v>
      </c>
      <c r="P33" s="37">
        <v>0</v>
      </c>
      <c r="Q33" s="37">
        <v>0</v>
      </c>
      <c r="R33" s="37">
        <v>0</v>
      </c>
      <c r="S33" s="37">
        <v>0</v>
      </c>
      <c r="T33" s="37">
        <v>2</v>
      </c>
      <c r="U33" s="37">
        <v>2</v>
      </c>
      <c r="V33" s="37">
        <v>0</v>
      </c>
      <c r="W33" s="37">
        <v>0</v>
      </c>
      <c r="X33" s="37">
        <v>0</v>
      </c>
      <c r="Y33" s="37">
        <v>0</v>
      </c>
      <c r="Z33" s="37">
        <v>0</v>
      </c>
      <c r="AA33" s="37">
        <v>0</v>
      </c>
      <c r="AB33" s="37">
        <v>0</v>
      </c>
      <c r="AC33" s="37">
        <v>0</v>
      </c>
      <c r="AD33" s="37">
        <v>0</v>
      </c>
      <c r="AE33" s="37">
        <v>0</v>
      </c>
      <c r="AF33" s="37">
        <v>0</v>
      </c>
      <c r="AG33" s="37">
        <v>2</v>
      </c>
      <c r="AH33" s="37">
        <v>0</v>
      </c>
      <c r="AI33" s="37">
        <v>0</v>
      </c>
      <c r="AJ33" s="37">
        <v>0</v>
      </c>
      <c r="AK33" s="37"/>
      <c r="AL33" s="39">
        <f t="shared" si="0"/>
        <v>8</v>
      </c>
      <c r="AM33" s="15">
        <f t="shared" si="1"/>
        <v>1</v>
      </c>
      <c r="AN33" s="15">
        <f t="shared" si="2"/>
        <v>1</v>
      </c>
      <c r="AO33" s="15">
        <f t="shared" si="3"/>
        <v>0</v>
      </c>
      <c r="AP33" s="15">
        <f t="shared" si="4"/>
        <v>1</v>
      </c>
      <c r="AQ33" s="39">
        <f t="shared" si="5"/>
        <v>3</v>
      </c>
      <c r="AR33" s="39" t="str">
        <f t="shared" si="6"/>
        <v>2 — Next</v>
      </c>
      <c r="AS33" s="40"/>
    </row>
    <row r="34" spans="1:46" ht="25.5" customHeight="1" x14ac:dyDescent="0.2">
      <c r="A34" s="41" t="s">
        <v>156</v>
      </c>
      <c r="B34" s="42" t="s">
        <v>157</v>
      </c>
      <c r="C34" s="43" t="s">
        <v>122</v>
      </c>
      <c r="D34" s="35"/>
      <c r="E34" s="44" t="s">
        <v>158</v>
      </c>
      <c r="F34" s="37">
        <v>2</v>
      </c>
      <c r="G34" s="37">
        <v>2</v>
      </c>
      <c r="H34" s="37">
        <v>2</v>
      </c>
      <c r="I34" s="37">
        <v>0</v>
      </c>
      <c r="J34" s="37">
        <v>0</v>
      </c>
      <c r="K34" s="37">
        <v>0</v>
      </c>
      <c r="L34" s="37">
        <v>0</v>
      </c>
      <c r="M34" s="37">
        <v>1</v>
      </c>
      <c r="N34" s="37">
        <v>0</v>
      </c>
      <c r="O34" s="37">
        <v>0</v>
      </c>
      <c r="P34" s="37">
        <v>0</v>
      </c>
      <c r="Q34" s="37">
        <v>0</v>
      </c>
      <c r="R34" s="37">
        <v>2</v>
      </c>
      <c r="S34" s="37">
        <v>2</v>
      </c>
      <c r="T34" s="37">
        <v>2</v>
      </c>
      <c r="U34" s="37">
        <v>2</v>
      </c>
      <c r="V34" s="37">
        <v>2</v>
      </c>
      <c r="W34" s="37">
        <v>0</v>
      </c>
      <c r="X34" s="37">
        <v>0</v>
      </c>
      <c r="Y34" s="37">
        <v>1</v>
      </c>
      <c r="Z34" s="37">
        <v>0</v>
      </c>
      <c r="AA34" s="37">
        <v>0</v>
      </c>
      <c r="AB34" s="37">
        <v>0</v>
      </c>
      <c r="AC34" s="37">
        <v>0</v>
      </c>
      <c r="AD34" s="37">
        <v>0</v>
      </c>
      <c r="AE34" s="37">
        <v>0</v>
      </c>
      <c r="AF34" s="37">
        <v>2</v>
      </c>
      <c r="AG34" s="37">
        <v>2</v>
      </c>
      <c r="AH34" s="37">
        <v>2</v>
      </c>
      <c r="AI34" s="37">
        <v>0</v>
      </c>
      <c r="AJ34" s="37">
        <v>0</v>
      </c>
      <c r="AK34" s="37"/>
      <c r="AL34" s="39">
        <f t="shared" si="0"/>
        <v>22</v>
      </c>
      <c r="AM34" s="15">
        <f t="shared" si="1"/>
        <v>1</v>
      </c>
      <c r="AN34" s="15">
        <f t="shared" si="2"/>
        <v>1</v>
      </c>
      <c r="AO34" s="15">
        <f t="shared" si="3"/>
        <v>0</v>
      </c>
      <c r="AP34" s="15">
        <f t="shared" si="4"/>
        <v>1</v>
      </c>
      <c r="AQ34" s="39">
        <f t="shared" si="5"/>
        <v>3</v>
      </c>
      <c r="AR34" s="39" t="str">
        <f t="shared" si="6"/>
        <v>1 — Build first</v>
      </c>
      <c r="AS34" s="40" t="s">
        <v>159</v>
      </c>
      <c r="AT34" s="13" t="s">
        <v>159</v>
      </c>
    </row>
    <row r="35" spans="1:46" ht="25.5" customHeight="1" x14ac:dyDescent="0.2">
      <c r="A35" s="41" t="s">
        <v>160</v>
      </c>
      <c r="B35" s="42" t="s">
        <v>161</v>
      </c>
      <c r="C35" s="43" t="s">
        <v>98</v>
      </c>
      <c r="D35" s="35"/>
      <c r="E35" s="44" t="s">
        <v>158</v>
      </c>
      <c r="F35" s="37">
        <v>1</v>
      </c>
      <c r="G35" s="37">
        <v>1</v>
      </c>
      <c r="H35" s="37">
        <v>1</v>
      </c>
      <c r="I35" s="37">
        <v>0</v>
      </c>
      <c r="J35" s="37">
        <v>0</v>
      </c>
      <c r="K35" s="37">
        <v>0</v>
      </c>
      <c r="L35" s="37">
        <v>0</v>
      </c>
      <c r="M35" s="37">
        <v>0</v>
      </c>
      <c r="N35" s="37">
        <v>0</v>
      </c>
      <c r="O35" s="37">
        <v>0</v>
      </c>
      <c r="P35" s="37">
        <v>0</v>
      </c>
      <c r="Q35" s="37">
        <v>0</v>
      </c>
      <c r="R35" s="37">
        <v>2</v>
      </c>
      <c r="S35" s="37">
        <v>0</v>
      </c>
      <c r="T35" s="37">
        <v>0</v>
      </c>
      <c r="U35" s="37">
        <v>0</v>
      </c>
      <c r="V35" s="37">
        <v>2</v>
      </c>
      <c r="W35" s="37">
        <v>0</v>
      </c>
      <c r="X35" s="37">
        <v>0</v>
      </c>
      <c r="Y35" s="37">
        <v>1</v>
      </c>
      <c r="Z35" s="37">
        <v>0</v>
      </c>
      <c r="AA35" s="37">
        <v>0</v>
      </c>
      <c r="AB35" s="37">
        <v>0</v>
      </c>
      <c r="AC35" s="37">
        <v>0</v>
      </c>
      <c r="AD35" s="37">
        <v>0</v>
      </c>
      <c r="AE35" s="38">
        <v>1</v>
      </c>
      <c r="AF35" s="38">
        <v>1</v>
      </c>
      <c r="AG35" s="37">
        <v>2</v>
      </c>
      <c r="AH35" s="37">
        <v>2</v>
      </c>
      <c r="AI35" s="37">
        <v>0</v>
      </c>
      <c r="AJ35" s="37">
        <v>0</v>
      </c>
      <c r="AK35" s="37"/>
      <c r="AL35" s="39">
        <f t="shared" si="0"/>
        <v>12</v>
      </c>
      <c r="AM35" s="15">
        <f t="shared" si="1"/>
        <v>1</v>
      </c>
      <c r="AN35" s="15">
        <f t="shared" si="2"/>
        <v>1</v>
      </c>
      <c r="AO35" s="15">
        <f t="shared" si="3"/>
        <v>1</v>
      </c>
      <c r="AP35" s="15">
        <f t="shared" si="4"/>
        <v>1</v>
      </c>
      <c r="AQ35" s="39">
        <f t="shared" si="5"/>
        <v>4</v>
      </c>
      <c r="AR35" s="39" t="str">
        <f t="shared" si="6"/>
        <v>1 — Build first</v>
      </c>
      <c r="AS35" s="40" t="s">
        <v>162</v>
      </c>
      <c r="AT35" s="13" t="s">
        <v>162</v>
      </c>
    </row>
    <row r="36" spans="1:46" ht="25.5" customHeight="1" x14ac:dyDescent="0.2">
      <c r="A36" s="41" t="s">
        <v>163</v>
      </c>
      <c r="B36" s="42" t="s">
        <v>164</v>
      </c>
      <c r="C36" s="43" t="s">
        <v>98</v>
      </c>
      <c r="D36" s="35"/>
      <c r="E36" s="44" t="s">
        <v>158</v>
      </c>
      <c r="F36" s="37">
        <v>0</v>
      </c>
      <c r="G36" s="37">
        <v>0</v>
      </c>
      <c r="H36" s="37">
        <v>0</v>
      </c>
      <c r="I36" s="37">
        <v>0</v>
      </c>
      <c r="J36" s="37">
        <v>0</v>
      </c>
      <c r="K36" s="37">
        <v>0</v>
      </c>
      <c r="L36" s="37">
        <v>0</v>
      </c>
      <c r="M36" s="37">
        <v>1</v>
      </c>
      <c r="N36" s="37">
        <v>0</v>
      </c>
      <c r="O36" s="37">
        <v>0</v>
      </c>
      <c r="P36" s="37">
        <v>0</v>
      </c>
      <c r="Q36" s="37">
        <v>0</v>
      </c>
      <c r="R36" s="37">
        <v>0</v>
      </c>
      <c r="S36" s="37">
        <v>2</v>
      </c>
      <c r="T36" s="37">
        <v>2</v>
      </c>
      <c r="U36" s="37">
        <v>1</v>
      </c>
      <c r="V36" s="37">
        <v>1</v>
      </c>
      <c r="W36" s="37">
        <v>0</v>
      </c>
      <c r="X36" s="37">
        <v>0</v>
      </c>
      <c r="Y36" s="37">
        <v>1</v>
      </c>
      <c r="Z36" s="38">
        <v>0</v>
      </c>
      <c r="AA36" s="37">
        <v>0</v>
      </c>
      <c r="AB36" s="37">
        <v>0</v>
      </c>
      <c r="AC36" s="37">
        <v>0</v>
      </c>
      <c r="AD36" s="37">
        <v>0</v>
      </c>
      <c r="AE36" s="37">
        <v>0</v>
      </c>
      <c r="AF36" s="37">
        <v>0</v>
      </c>
      <c r="AG36" s="37">
        <v>2</v>
      </c>
      <c r="AH36" s="37">
        <v>0</v>
      </c>
      <c r="AI36" s="37">
        <v>0</v>
      </c>
      <c r="AJ36" s="37">
        <v>0</v>
      </c>
      <c r="AK36" s="37"/>
      <c r="AL36" s="39">
        <f t="shared" si="0"/>
        <v>10</v>
      </c>
      <c r="AM36" s="15">
        <f t="shared" si="1"/>
        <v>1</v>
      </c>
      <c r="AN36" s="15">
        <f t="shared" si="2"/>
        <v>1</v>
      </c>
      <c r="AO36" s="15">
        <f t="shared" si="3"/>
        <v>0</v>
      </c>
      <c r="AP36" s="15">
        <f t="shared" si="4"/>
        <v>1</v>
      </c>
      <c r="AQ36" s="39">
        <f t="shared" si="5"/>
        <v>3</v>
      </c>
      <c r="AR36" s="39" t="str">
        <f t="shared" si="6"/>
        <v>2 — Next</v>
      </c>
      <c r="AS36" s="40" t="s">
        <v>165</v>
      </c>
      <c r="AT36" s="13" t="s">
        <v>165</v>
      </c>
    </row>
    <row r="37" spans="1:46" ht="25.5" customHeight="1" x14ac:dyDescent="0.2">
      <c r="A37" s="41" t="s">
        <v>166</v>
      </c>
      <c r="B37" s="42" t="s">
        <v>167</v>
      </c>
      <c r="C37" s="43" t="s">
        <v>131</v>
      </c>
      <c r="D37" s="35"/>
      <c r="E37" s="44" t="s">
        <v>158</v>
      </c>
      <c r="F37" s="37">
        <v>0</v>
      </c>
      <c r="G37" s="37">
        <v>0</v>
      </c>
      <c r="H37" s="37">
        <v>0</v>
      </c>
      <c r="I37" s="37">
        <v>0</v>
      </c>
      <c r="J37" s="37">
        <v>0</v>
      </c>
      <c r="K37" s="37">
        <v>0</v>
      </c>
      <c r="L37" s="37">
        <v>0</v>
      </c>
      <c r="M37" s="37">
        <v>0</v>
      </c>
      <c r="N37" s="37">
        <v>0</v>
      </c>
      <c r="O37" s="37">
        <v>0</v>
      </c>
      <c r="P37" s="37">
        <v>0</v>
      </c>
      <c r="Q37" s="37">
        <v>0</v>
      </c>
      <c r="R37" s="37">
        <v>0</v>
      </c>
      <c r="S37" s="37">
        <v>2</v>
      </c>
      <c r="T37" s="37">
        <v>2</v>
      </c>
      <c r="U37" s="37">
        <v>2</v>
      </c>
      <c r="V37" s="37">
        <v>1</v>
      </c>
      <c r="W37" s="37">
        <v>0</v>
      </c>
      <c r="X37" s="37">
        <v>0</v>
      </c>
      <c r="Y37" s="37">
        <v>0</v>
      </c>
      <c r="Z37" s="37">
        <v>0</v>
      </c>
      <c r="AA37" s="37">
        <v>0</v>
      </c>
      <c r="AB37" s="37">
        <v>0</v>
      </c>
      <c r="AC37" s="37">
        <v>0</v>
      </c>
      <c r="AD37" s="37">
        <v>0</v>
      </c>
      <c r="AE37" s="37">
        <v>0</v>
      </c>
      <c r="AF37" s="37">
        <v>0</v>
      </c>
      <c r="AG37" s="37">
        <v>2</v>
      </c>
      <c r="AH37" s="37">
        <v>0</v>
      </c>
      <c r="AI37" s="37">
        <v>0</v>
      </c>
      <c r="AJ37" s="37">
        <v>0</v>
      </c>
      <c r="AK37" s="37"/>
      <c r="AL37" s="39">
        <f t="shared" si="0"/>
        <v>9</v>
      </c>
      <c r="AM37" s="15">
        <f t="shared" si="1"/>
        <v>0</v>
      </c>
      <c r="AN37" s="15">
        <f t="shared" si="2"/>
        <v>1</v>
      </c>
      <c r="AO37" s="15">
        <f t="shared" si="3"/>
        <v>0</v>
      </c>
      <c r="AP37" s="15">
        <f t="shared" si="4"/>
        <v>1</v>
      </c>
      <c r="AQ37" s="39">
        <f t="shared" si="5"/>
        <v>2</v>
      </c>
      <c r="AR37" s="39" t="str">
        <f t="shared" si="6"/>
        <v>3 — Monitor</v>
      </c>
      <c r="AS37" s="40" t="s">
        <v>165</v>
      </c>
      <c r="AT37" s="13" t="s">
        <v>165</v>
      </c>
    </row>
    <row r="38" spans="1:46" ht="15" customHeight="1" x14ac:dyDescent="0.2">
      <c r="D38" s="35"/>
    </row>
    <row r="39" spans="1:46" ht="15" customHeight="1" x14ac:dyDescent="0.2">
      <c r="B39" s="45" t="s">
        <v>168</v>
      </c>
      <c r="D39" s="35"/>
      <c r="F39" s="46">
        <f t="shared" ref="F39:AJ39" si="7">SUM(F6:F37)</f>
        <v>3</v>
      </c>
      <c r="G39" s="46">
        <f t="shared" si="7"/>
        <v>3</v>
      </c>
      <c r="H39" s="46">
        <f t="shared" si="7"/>
        <v>4</v>
      </c>
      <c r="I39" s="46">
        <f t="shared" si="7"/>
        <v>6</v>
      </c>
      <c r="J39" s="46">
        <f t="shared" si="7"/>
        <v>4</v>
      </c>
      <c r="K39" s="46">
        <f t="shared" si="7"/>
        <v>0</v>
      </c>
      <c r="L39" s="46">
        <f t="shared" si="7"/>
        <v>3</v>
      </c>
      <c r="M39" s="46">
        <f t="shared" si="7"/>
        <v>4</v>
      </c>
      <c r="N39" s="46">
        <f t="shared" si="7"/>
        <v>1</v>
      </c>
      <c r="O39">
        <f t="shared" si="7"/>
        <v>3</v>
      </c>
      <c r="P39">
        <f t="shared" si="7"/>
        <v>5</v>
      </c>
      <c r="Q39">
        <f t="shared" si="7"/>
        <v>0</v>
      </c>
      <c r="R39" s="46">
        <f t="shared" si="7"/>
        <v>7</v>
      </c>
      <c r="S39" s="46">
        <f t="shared" si="7"/>
        <v>15</v>
      </c>
      <c r="T39" s="46">
        <f t="shared" si="7"/>
        <v>15</v>
      </c>
      <c r="U39" s="46">
        <f t="shared" si="7"/>
        <v>10</v>
      </c>
      <c r="V39" s="46">
        <f t="shared" si="7"/>
        <v>7</v>
      </c>
      <c r="W39" s="46">
        <f t="shared" si="7"/>
        <v>17</v>
      </c>
      <c r="X39" s="46">
        <f t="shared" si="7"/>
        <v>13</v>
      </c>
      <c r="Y39" s="46">
        <f t="shared" si="7"/>
        <v>26</v>
      </c>
      <c r="Z39" s="46">
        <f t="shared" si="7"/>
        <v>12</v>
      </c>
      <c r="AA39" s="46">
        <f t="shared" si="7"/>
        <v>17</v>
      </c>
      <c r="AB39" s="46">
        <f t="shared" si="7"/>
        <v>9</v>
      </c>
      <c r="AC39" s="46">
        <f t="shared" si="7"/>
        <v>14</v>
      </c>
      <c r="AD39" s="46">
        <f t="shared" si="7"/>
        <v>7</v>
      </c>
      <c r="AE39" s="46">
        <f t="shared" si="7"/>
        <v>6</v>
      </c>
      <c r="AF39" s="46">
        <f t="shared" si="7"/>
        <v>3</v>
      </c>
      <c r="AG39" s="46">
        <f t="shared" si="7"/>
        <v>43</v>
      </c>
      <c r="AH39" s="46">
        <f t="shared" si="7"/>
        <v>6</v>
      </c>
      <c r="AI39" s="46">
        <f t="shared" si="7"/>
        <v>4</v>
      </c>
      <c r="AJ39" s="46">
        <f t="shared" si="7"/>
        <v>6</v>
      </c>
      <c r="AK39" s="46">
        <f>SUM(AR6:AR37)</f>
        <v>0</v>
      </c>
    </row>
    <row r="40" spans="1:46" ht="15" customHeight="1" x14ac:dyDescent="0.2">
      <c r="B40" s="47" t="s">
        <v>169</v>
      </c>
      <c r="D40" s="35"/>
      <c r="F40" s="22">
        <f t="shared" ref="F40:AJ40" si="8">COUNTIF(F6:F37,"&gt;0")</f>
        <v>2</v>
      </c>
      <c r="G40" s="22">
        <f t="shared" si="8"/>
        <v>2</v>
      </c>
      <c r="H40" s="22">
        <f t="shared" si="8"/>
        <v>3</v>
      </c>
      <c r="I40" s="22">
        <f t="shared" si="8"/>
        <v>3</v>
      </c>
      <c r="J40" s="22">
        <f t="shared" si="8"/>
        <v>3</v>
      </c>
      <c r="K40" s="22">
        <f t="shared" si="8"/>
        <v>0</v>
      </c>
      <c r="L40" s="22">
        <f t="shared" si="8"/>
        <v>2</v>
      </c>
      <c r="M40" s="22">
        <f t="shared" si="8"/>
        <v>3</v>
      </c>
      <c r="N40" s="22">
        <f t="shared" si="8"/>
        <v>1</v>
      </c>
      <c r="O40">
        <f t="shared" si="8"/>
        <v>2</v>
      </c>
      <c r="P40">
        <f t="shared" si="8"/>
        <v>3</v>
      </c>
      <c r="Q40">
        <f t="shared" si="8"/>
        <v>0</v>
      </c>
      <c r="R40" s="22">
        <f t="shared" si="8"/>
        <v>4</v>
      </c>
      <c r="S40" s="22">
        <f t="shared" si="8"/>
        <v>8</v>
      </c>
      <c r="T40" s="22">
        <f t="shared" si="8"/>
        <v>9</v>
      </c>
      <c r="U40" s="22">
        <f t="shared" si="8"/>
        <v>7</v>
      </c>
      <c r="V40" s="22">
        <f t="shared" si="8"/>
        <v>5</v>
      </c>
      <c r="W40" s="22">
        <f t="shared" si="8"/>
        <v>15</v>
      </c>
      <c r="X40" s="22">
        <f t="shared" si="8"/>
        <v>13</v>
      </c>
      <c r="Y40" s="22">
        <f t="shared" si="8"/>
        <v>18</v>
      </c>
      <c r="Z40" s="22">
        <f t="shared" si="8"/>
        <v>8</v>
      </c>
      <c r="AA40" s="22">
        <f t="shared" si="8"/>
        <v>10</v>
      </c>
      <c r="AB40" s="22">
        <f t="shared" si="8"/>
        <v>6</v>
      </c>
      <c r="AC40" s="22">
        <f t="shared" si="8"/>
        <v>7</v>
      </c>
      <c r="AD40" s="22">
        <f t="shared" si="8"/>
        <v>4</v>
      </c>
      <c r="AE40" s="22">
        <f t="shared" si="8"/>
        <v>4</v>
      </c>
      <c r="AF40" s="22">
        <f t="shared" si="8"/>
        <v>2</v>
      </c>
      <c r="AG40" s="22">
        <f t="shared" si="8"/>
        <v>25</v>
      </c>
      <c r="AH40" s="22">
        <f t="shared" si="8"/>
        <v>3</v>
      </c>
      <c r="AI40" s="22">
        <f t="shared" si="8"/>
        <v>3</v>
      </c>
      <c r="AJ40" s="22">
        <f t="shared" si="8"/>
        <v>6</v>
      </c>
      <c r="AK40" s="22">
        <f>COUNTIF(AR6:AR37,"&gt;0")</f>
        <v>0</v>
      </c>
    </row>
    <row r="41" spans="1:46" ht="15" customHeight="1" x14ac:dyDescent="0.2">
      <c r="D41" s="35"/>
    </row>
    <row r="42" spans="1:46" ht="18.75" customHeight="1" x14ac:dyDescent="0.2">
      <c r="B42" s="46" t="s">
        <v>170</v>
      </c>
      <c r="F42" s="40" t="s">
        <v>162</v>
      </c>
      <c r="G42" s="40" t="s">
        <v>162</v>
      </c>
      <c r="H42" s="40" t="s">
        <v>159</v>
      </c>
      <c r="I42" s="40" t="s">
        <v>171</v>
      </c>
      <c r="J42" s="40" t="s">
        <v>171</v>
      </c>
      <c r="K42" s="40" t="s">
        <v>171</v>
      </c>
      <c r="L42" s="40" t="s">
        <v>171</v>
      </c>
      <c r="M42" s="40" t="s">
        <v>171</v>
      </c>
      <c r="N42" s="40" t="s">
        <v>171</v>
      </c>
      <c r="O42" t="s">
        <v>171</v>
      </c>
      <c r="P42" t="s">
        <v>171</v>
      </c>
      <c r="Q42" t="s">
        <v>171</v>
      </c>
      <c r="R42" s="40" t="s">
        <v>162</v>
      </c>
      <c r="S42" s="40" t="s">
        <v>165</v>
      </c>
      <c r="T42" s="40" t="s">
        <v>165</v>
      </c>
      <c r="U42" s="40" t="s">
        <v>165</v>
      </c>
      <c r="V42" s="40" t="s">
        <v>159</v>
      </c>
      <c r="W42" s="40" t="s">
        <v>171</v>
      </c>
      <c r="X42" s="40" t="s">
        <v>171</v>
      </c>
      <c r="Y42" s="40" t="s">
        <v>171</v>
      </c>
      <c r="Z42" s="40" t="s">
        <v>171</v>
      </c>
      <c r="AA42" s="40" t="s">
        <v>171</v>
      </c>
      <c r="AB42" s="40" t="s">
        <v>171</v>
      </c>
      <c r="AC42" s="40" t="s">
        <v>171</v>
      </c>
      <c r="AD42" s="40" t="s">
        <v>171</v>
      </c>
      <c r="AE42" s="40" t="s">
        <v>171</v>
      </c>
      <c r="AF42" s="40" t="s">
        <v>159</v>
      </c>
      <c r="AG42" s="40" t="s">
        <v>159</v>
      </c>
      <c r="AH42" s="40" t="s">
        <v>162</v>
      </c>
      <c r="AI42" s="40" t="s">
        <v>171</v>
      </c>
      <c r="AJ42" s="40" t="s">
        <v>171</v>
      </c>
    </row>
    <row r="43" spans="1:46" ht="15" customHeight="1" x14ac:dyDescent="0.2">
      <c r="B43" s="46"/>
      <c r="F43" s="48"/>
      <c r="G43" s="48"/>
      <c r="H43" s="48"/>
      <c r="I43" s="48"/>
      <c r="J43" s="48"/>
      <c r="K43" s="48"/>
      <c r="L43" s="48"/>
      <c r="M43" s="48"/>
      <c r="N43" s="48"/>
      <c r="R43" s="48"/>
      <c r="S43" s="48"/>
      <c r="T43" s="48"/>
      <c r="U43" s="48"/>
      <c r="V43" s="48"/>
      <c r="W43" s="48"/>
      <c r="X43" s="48"/>
      <c r="Y43" s="48"/>
      <c r="Z43" s="48"/>
      <c r="AA43" s="48"/>
      <c r="AB43" s="48"/>
      <c r="AC43" s="48"/>
      <c r="AD43" s="48"/>
      <c r="AE43" s="48"/>
      <c r="AF43" s="48"/>
      <c r="AG43" s="48"/>
      <c r="AH43" s="48"/>
      <c r="AI43" s="48"/>
      <c r="AJ43" s="48"/>
    </row>
    <row r="44" spans="1:46" s="13" customFormat="1" ht="15" customHeight="1" x14ac:dyDescent="0.2">
      <c r="B44" s="13" t="s">
        <v>172</v>
      </c>
      <c r="D44" s="49"/>
      <c r="F44" s="13" t="s">
        <v>173</v>
      </c>
      <c r="G44" s="13" t="s">
        <v>173</v>
      </c>
      <c r="H44" s="13" t="s">
        <v>173</v>
      </c>
      <c r="I44" s="13" t="s">
        <v>173</v>
      </c>
      <c r="J44" s="13" t="s">
        <v>173</v>
      </c>
      <c r="K44" s="13" t="s">
        <v>173</v>
      </c>
      <c r="L44" s="13" t="s">
        <v>173</v>
      </c>
      <c r="M44" s="13" t="s">
        <v>173</v>
      </c>
      <c r="N44" s="13" t="s">
        <v>173</v>
      </c>
      <c r="O44" s="13" t="s">
        <v>174</v>
      </c>
      <c r="P44" s="13" t="s">
        <v>173</v>
      </c>
      <c r="Q44" s="13" t="s">
        <v>175</v>
      </c>
      <c r="R44" s="13" t="s">
        <v>173</v>
      </c>
      <c r="S44" s="13" t="s">
        <v>173</v>
      </c>
      <c r="T44" s="13" t="s">
        <v>173</v>
      </c>
      <c r="U44" s="13" t="s">
        <v>173</v>
      </c>
      <c r="V44" s="13" t="s">
        <v>173</v>
      </c>
      <c r="W44" s="13" t="s">
        <v>173</v>
      </c>
      <c r="X44" s="13" t="s">
        <v>173</v>
      </c>
      <c r="Y44" s="13" t="s">
        <v>173</v>
      </c>
      <c r="Z44" s="13" t="s">
        <v>173</v>
      </c>
      <c r="AA44" s="13" t="s">
        <v>173</v>
      </c>
      <c r="AB44" s="13" t="s">
        <v>173</v>
      </c>
      <c r="AC44" s="13" t="s">
        <v>173</v>
      </c>
      <c r="AD44" s="13" t="s">
        <v>173</v>
      </c>
      <c r="AE44" s="13" t="s">
        <v>173</v>
      </c>
      <c r="AF44" s="13" t="s">
        <v>173</v>
      </c>
      <c r="AG44" s="13" t="s">
        <v>173</v>
      </c>
      <c r="AH44" s="13" t="s">
        <v>176</v>
      </c>
      <c r="AI44" s="13" t="s">
        <v>173</v>
      </c>
      <c r="AJ44" s="13" t="s">
        <v>173</v>
      </c>
    </row>
    <row r="45" spans="1:46" s="13" customFormat="1" ht="15" customHeight="1" x14ac:dyDescent="0.2">
      <c r="B45" s="13" t="s">
        <v>177</v>
      </c>
      <c r="D45" s="49"/>
      <c r="F45" s="13">
        <f>IF(OR(LOWER(F42)="agnostic",LOWER(F42)="both",$C$51="both",$C$51=LOWER(F42)),1,0)</f>
        <v>1</v>
      </c>
      <c r="G45" s="13">
        <f>IF(OR(LOWER(G42)="agnostic",LOWER(G42)="both",$C$51="both",$C$51=LOWER(G42)),1,0)</f>
        <v>1</v>
      </c>
      <c r="H45" s="13">
        <f>IF(OR(LOWER(H42)="agnostic",LOWER(H42)="both",$C$51="both",$C$51=LOWER(H42)),1,0)</f>
        <v>1</v>
      </c>
      <c r="I45" s="13">
        <f>IF(OR(LOWER(I42)="agnostic",LOWER(I42)="both",$C$51="both",$C$51=LOWER(I42)),1,0)</f>
        <v>1</v>
      </c>
      <c r="J45" s="13">
        <f>IF(OR(LOWER(J42)="agnostic",LOWER(J42)="both",$C$51="both",$C$51=LOWER(J42)),1,0)</f>
        <v>1</v>
      </c>
      <c r="K45" s="13">
        <f>IF(OR(LOWER(K42)="agnostic",LOWER(K42)="both",$C$51="both",$C$51=LOWER(K42)),1,0)</f>
        <v>1</v>
      </c>
      <c r="L45" s="13">
        <f>IF(OR(LOWER(L42)="agnostic",LOWER(L42)="both",$C$51="both",$C$51=LOWER(L42)),1,0)</f>
        <v>1</v>
      </c>
      <c r="M45" s="13">
        <f>IF(OR(LOWER(M42)="agnostic",LOWER(M42)="both",$C$51="both",$C$51=LOWER(M42)),1,0)</f>
        <v>1</v>
      </c>
      <c r="N45" s="13">
        <f>IF(OR(LOWER(N42)="agnostic",LOWER(N42)="both",$C$51="both",$C$51=LOWER(N42)),1,0)</f>
        <v>1</v>
      </c>
      <c r="O45" s="13">
        <f>IF(LOWER($C$50)="yes",1,0)</f>
        <v>1</v>
      </c>
      <c r="P45" s="13">
        <f>IF($C$48&gt;=50,1,0)</f>
        <v>1</v>
      </c>
      <c r="Q45" s="13">
        <f>IF($C$48&gt;=150,1,0)</f>
        <v>1</v>
      </c>
      <c r="R45" s="13">
        <f>IF(OR(LOWER(R42)="agnostic",LOWER(R42)="both",$C$51="both",$C$51=LOWER(R42)),1,0)</f>
        <v>1</v>
      </c>
      <c r="S45" s="13">
        <f>IF(OR(LOWER(S42)="agnostic",LOWER(S42)="both",$C$51="both",$C$51=LOWER(S42)),1,0)</f>
        <v>1</v>
      </c>
      <c r="T45" s="13">
        <f>IF(OR(LOWER(T42)="agnostic",LOWER(T42)="both",$C$51="both",$C$51=LOWER(T42)),1,0)</f>
        <v>1</v>
      </c>
      <c r="U45" s="13">
        <f>IF(OR(LOWER(U42)="agnostic",LOWER(U42)="both",$C$51="both",$C$51=LOWER(U42)),1,0)</f>
        <v>1</v>
      </c>
      <c r="V45" s="13">
        <f>IF(OR(LOWER(V42)="agnostic",LOWER(V42)="both",$C$51="both",$C$51=LOWER(V42)),1,0)</f>
        <v>1</v>
      </c>
      <c r="W45" s="13">
        <f>IF(OR(LOWER(W42)="agnostic",LOWER(W42)="both",$C$51="both",$C$51=LOWER(W42)),1,0)</f>
        <v>1</v>
      </c>
      <c r="X45" s="13">
        <f>IF(OR(LOWER(X42)="agnostic",LOWER(X42)="both",$C$51="both",$C$51=LOWER(X42)),1,0)</f>
        <v>1</v>
      </c>
      <c r="Y45" s="13">
        <f>IF(OR(LOWER(Y42)="agnostic",LOWER(Y42)="both",$C$51="both",$C$51=LOWER(Y42)),1,0)</f>
        <v>1</v>
      </c>
      <c r="Z45" s="13">
        <f>IF(OR(LOWER(Z42)="agnostic",LOWER(Z42)="both",$C$51="both",$C$51=LOWER(Z42)),1,0)</f>
        <v>1</v>
      </c>
      <c r="AA45" s="13">
        <f>IF(OR(LOWER(AA42)="agnostic",LOWER(AA42)="both",$C$51="both",$C$51=LOWER(AA42)),1,0)</f>
        <v>1</v>
      </c>
      <c r="AB45" s="13">
        <f>IF(OR(LOWER(AB42)="agnostic",LOWER(AB42)="both",$C$51="both",$C$51=LOWER(AB42)),1,0)</f>
        <v>1</v>
      </c>
      <c r="AC45" s="13">
        <f>IF(OR(LOWER(AC42)="agnostic",LOWER(AC42)="both",$C$51="both",$C$51=LOWER(AC42)),1,0)</f>
        <v>1</v>
      </c>
      <c r="AD45" s="13">
        <f>IF(OR(LOWER(AD42)="agnostic",LOWER(AD42)="both",$C$51="both",$C$51=LOWER(AD42)),1,0)</f>
        <v>1</v>
      </c>
      <c r="AE45" s="13">
        <f>IF(OR(LOWER(AE42)="agnostic",LOWER(AE42)="both",$C$51="both",$C$51=LOWER(AE42)),1,0)</f>
        <v>1</v>
      </c>
      <c r="AF45" s="13">
        <f>IF(OR(LOWER(AF42)="agnostic",LOWER(AF42)="both",$C$51="both",$C$51=LOWER(AF42)),1,0)</f>
        <v>1</v>
      </c>
      <c r="AG45" s="13">
        <f>IF(OR(LOWER(AG42)="agnostic",LOWER(AG42)="both",$C$51="both",$C$51=LOWER(AG42)),1,0)</f>
        <v>1</v>
      </c>
      <c r="AH45" s="13">
        <f>IF(AND(OR($C$51="both",$C$51=LOWER(AH42)),LOWER($C$49)="yes"),1,0)</f>
        <v>0</v>
      </c>
      <c r="AI45" s="13">
        <f>IF(OR(LOWER(AI42)="agnostic",LOWER(AI42)="both",$C$51="both",$C$51=LOWER(AI42)),1,0)</f>
        <v>1</v>
      </c>
      <c r="AJ45" s="13">
        <f>IF(OR(LOWER(AJ42)="agnostic",LOWER(AJ42)="both",$C$51="both",$C$51=LOWER(AJ42)),1,0)</f>
        <v>1</v>
      </c>
    </row>
    <row r="46" spans="1:46" s="13" customFormat="1" ht="15" customHeight="1" x14ac:dyDescent="0.2">
      <c r="D46" s="49"/>
    </row>
    <row r="47" spans="1:46" s="13" customFormat="1" ht="15" customHeight="1" x14ac:dyDescent="0.2">
      <c r="A47" s="50" t="s">
        <v>178</v>
      </c>
      <c r="D47" s="49"/>
    </row>
    <row r="48" spans="1:46" s="13" customFormat="1" ht="15" customHeight="1" x14ac:dyDescent="0.2">
      <c r="A48" s="13" t="s">
        <v>179</v>
      </c>
      <c r="C48" s="51">
        <v>150</v>
      </c>
      <c r="D48" s="49"/>
    </row>
    <row r="49" spans="1:4" s="13" customFormat="1" ht="15" customHeight="1" x14ac:dyDescent="0.2">
      <c r="A49" s="13" t="s">
        <v>180</v>
      </c>
      <c r="C49" s="51" t="s">
        <v>181</v>
      </c>
      <c r="D49" s="49"/>
    </row>
    <row r="50" spans="1:4" s="13" customFormat="1" ht="34.5" customHeight="1" x14ac:dyDescent="0.2">
      <c r="A50" s="1" t="s">
        <v>182</v>
      </c>
      <c r="B50" s="1"/>
      <c r="C50" s="51" t="s">
        <v>183</v>
      </c>
      <c r="D50" s="49"/>
    </row>
    <row r="51" spans="1:4" s="13" customFormat="1" ht="15" customHeight="1" x14ac:dyDescent="0.2">
      <c r="B51" s="13" t="s">
        <v>184</v>
      </c>
      <c r="C51" s="51" t="s">
        <v>185</v>
      </c>
      <c r="D51" s="49"/>
    </row>
    <row r="52" spans="1:4" s="13" customFormat="1" ht="15" customHeight="1" x14ac:dyDescent="0.2">
      <c r="D52" s="49"/>
    </row>
    <row r="53" spans="1:4" s="13" customFormat="1" ht="15" customHeight="1" x14ac:dyDescent="0.2">
      <c r="D53" s="49"/>
    </row>
    <row r="54" spans="1:4" s="13" customFormat="1" ht="15" customHeight="1" x14ac:dyDescent="0.2">
      <c r="D54" s="49"/>
    </row>
    <row r="55" spans="1:4" s="13" customFormat="1" ht="15" customHeight="1" x14ac:dyDescent="0.2">
      <c r="D55" s="49"/>
    </row>
    <row r="56" spans="1:4" s="13" customFormat="1" ht="15" customHeight="1" x14ac:dyDescent="0.2">
      <c r="D56" s="49"/>
    </row>
    <row r="57" spans="1:4" s="13" customFormat="1" ht="15" customHeight="1" x14ac:dyDescent="0.2">
      <c r="D57" s="49"/>
    </row>
    <row r="58" spans="1:4" s="13" customFormat="1" ht="15" customHeight="1" x14ac:dyDescent="0.2">
      <c r="D58" s="49"/>
    </row>
    <row r="59" spans="1:4" s="13" customFormat="1" ht="15" customHeight="1" x14ac:dyDescent="0.2">
      <c r="D59" s="49"/>
    </row>
    <row r="60" spans="1:4" s="13" customFormat="1" ht="15" customHeight="1" x14ac:dyDescent="0.2">
      <c r="D60" s="49"/>
    </row>
    <row r="61" spans="1:4" s="13" customFormat="1" ht="15" customHeight="1" x14ac:dyDescent="0.2">
      <c r="D61" s="49"/>
    </row>
    <row r="62" spans="1:4" s="13" customFormat="1" ht="15" customHeight="1" x14ac:dyDescent="0.2">
      <c r="D62" s="49"/>
    </row>
    <row r="63" spans="1:4" s="13" customFormat="1" ht="15" customHeight="1" x14ac:dyDescent="0.2">
      <c r="D63" s="49"/>
    </row>
    <row r="64" spans="1:4" s="13" customFormat="1" ht="15" customHeight="1" x14ac:dyDescent="0.2">
      <c r="D64" s="49"/>
    </row>
    <row r="65" spans="4:4" s="13" customFormat="1" ht="15" customHeight="1" x14ac:dyDescent="0.2">
      <c r="D65" s="49"/>
    </row>
    <row r="66" spans="4:4" s="13" customFormat="1" ht="15" customHeight="1" x14ac:dyDescent="0.2">
      <c r="D66" s="49"/>
    </row>
    <row r="67" spans="4:4" s="13" customFormat="1" ht="15" customHeight="1" x14ac:dyDescent="0.2">
      <c r="D67" s="49"/>
    </row>
    <row r="68" spans="4:4" s="13" customFormat="1" ht="15" customHeight="1" x14ac:dyDescent="0.2">
      <c r="D68" s="49"/>
    </row>
    <row r="69" spans="4:4" s="13" customFormat="1" ht="15" customHeight="1" x14ac:dyDescent="0.2">
      <c r="D69" s="49"/>
    </row>
    <row r="70" spans="4:4" s="13" customFormat="1" ht="15" customHeight="1" x14ac:dyDescent="0.2">
      <c r="D70" s="49"/>
    </row>
    <row r="71" spans="4:4" s="13" customFormat="1" ht="15" customHeight="1" x14ac:dyDescent="0.2">
      <c r="D71" s="49"/>
    </row>
    <row r="72" spans="4:4" s="13" customFormat="1" ht="15" customHeight="1" x14ac:dyDescent="0.2">
      <c r="D72" s="49"/>
    </row>
    <row r="73" spans="4:4" s="13" customFormat="1" ht="15" customHeight="1" x14ac:dyDescent="0.2">
      <c r="D73" s="49"/>
    </row>
    <row r="74" spans="4:4" s="13" customFormat="1" ht="15" customHeight="1" x14ac:dyDescent="0.2">
      <c r="D74" s="49"/>
    </row>
    <row r="75" spans="4:4" s="13" customFormat="1" ht="15" customHeight="1" x14ac:dyDescent="0.2">
      <c r="D75" s="49"/>
    </row>
    <row r="76" spans="4:4" s="13" customFormat="1" ht="15" customHeight="1" x14ac:dyDescent="0.2">
      <c r="D76" s="49"/>
    </row>
    <row r="77" spans="4:4" s="13" customFormat="1" ht="15" customHeight="1" x14ac:dyDescent="0.2">
      <c r="D77" s="49"/>
    </row>
    <row r="78" spans="4:4" s="13" customFormat="1" ht="15" customHeight="1" x14ac:dyDescent="0.2">
      <c r="D78" s="49"/>
    </row>
    <row r="79" spans="4:4" s="13" customFormat="1" ht="15" customHeight="1" x14ac:dyDescent="0.2">
      <c r="D79" s="49"/>
    </row>
    <row r="80" spans="4:4" s="13" customFormat="1" ht="15" customHeight="1" x14ac:dyDescent="0.2">
      <c r="D80" s="49"/>
    </row>
    <row r="81" spans="4:4" s="13" customFormat="1" ht="15" customHeight="1" x14ac:dyDescent="0.2">
      <c r="D81" s="49"/>
    </row>
    <row r="82" spans="4:4" s="13" customFormat="1" ht="15" customHeight="1" x14ac:dyDescent="0.2">
      <c r="D82" s="49"/>
    </row>
    <row r="83" spans="4:4" s="13" customFormat="1" ht="15" customHeight="1" x14ac:dyDescent="0.2">
      <c r="D83" s="49"/>
    </row>
    <row r="84" spans="4:4" s="13" customFormat="1" ht="15" customHeight="1" x14ac:dyDescent="0.2">
      <c r="D84" s="49"/>
    </row>
    <row r="85" spans="4:4" s="13" customFormat="1" ht="15" customHeight="1" x14ac:dyDescent="0.2">
      <c r="D85" s="49"/>
    </row>
    <row r="86" spans="4:4" s="13" customFormat="1" ht="15" customHeight="1" x14ac:dyDescent="0.2">
      <c r="D86" s="49"/>
    </row>
    <row r="87" spans="4:4" s="13" customFormat="1" ht="15" customHeight="1" x14ac:dyDescent="0.2">
      <c r="D87" s="49"/>
    </row>
    <row r="88" spans="4:4" s="13" customFormat="1" ht="15" customHeight="1" x14ac:dyDescent="0.2">
      <c r="D88" s="49"/>
    </row>
    <row r="89" spans="4:4" s="13" customFormat="1" ht="15" customHeight="1" x14ac:dyDescent="0.2">
      <c r="D89" s="49"/>
    </row>
    <row r="90" spans="4:4" s="13" customFormat="1" ht="15" customHeight="1" x14ac:dyDescent="0.2">
      <c r="D90" s="49"/>
    </row>
    <row r="91" spans="4:4" s="13" customFormat="1" ht="15" customHeight="1" x14ac:dyDescent="0.2">
      <c r="D91" s="49"/>
    </row>
    <row r="92" spans="4:4" s="13" customFormat="1" ht="15" customHeight="1" x14ac:dyDescent="0.2">
      <c r="D92" s="49"/>
    </row>
    <row r="93" spans="4:4" s="13" customFormat="1" ht="15" customHeight="1" x14ac:dyDescent="0.2">
      <c r="D93" s="49"/>
    </row>
    <row r="94" spans="4:4" s="13" customFormat="1" ht="15" customHeight="1" x14ac:dyDescent="0.2">
      <c r="D94" s="49"/>
    </row>
    <row r="95" spans="4:4" s="13" customFormat="1" ht="15" customHeight="1" x14ac:dyDescent="0.2">
      <c r="D95" s="49"/>
    </row>
    <row r="96" spans="4:4" s="13" customFormat="1" ht="15" customHeight="1" x14ac:dyDescent="0.2">
      <c r="D96" s="49"/>
    </row>
    <row r="97" spans="4:4" s="13" customFormat="1" ht="15" customHeight="1" x14ac:dyDescent="0.2">
      <c r="D97" s="49"/>
    </row>
    <row r="98" spans="4:4" s="13" customFormat="1" ht="15" customHeight="1" x14ac:dyDescent="0.2">
      <c r="D98" s="49"/>
    </row>
    <row r="99" spans="4:4" s="13" customFormat="1" ht="15" customHeight="1" x14ac:dyDescent="0.2">
      <c r="D99" s="49"/>
    </row>
    <row r="100" spans="4:4" s="13" customFormat="1" ht="15" customHeight="1" x14ac:dyDescent="0.2">
      <c r="D100" s="49"/>
    </row>
    <row r="101" spans="4:4" s="13" customFormat="1" ht="15" customHeight="1" x14ac:dyDescent="0.2">
      <c r="D101" s="49"/>
    </row>
    <row r="102" spans="4:4" s="13" customFormat="1" ht="15" customHeight="1" x14ac:dyDescent="0.2">
      <c r="D102" s="49"/>
    </row>
    <row r="103" spans="4:4" s="13" customFormat="1" ht="15" customHeight="1" x14ac:dyDescent="0.2">
      <c r="D103" s="49"/>
    </row>
    <row r="104" spans="4:4" s="13" customFormat="1" ht="15" customHeight="1" x14ac:dyDescent="0.2">
      <c r="D104" s="49"/>
    </row>
    <row r="105" spans="4:4" s="13" customFormat="1" ht="15" customHeight="1" x14ac:dyDescent="0.2">
      <c r="D105" s="49"/>
    </row>
    <row r="106" spans="4:4" s="13" customFormat="1" ht="15" customHeight="1" x14ac:dyDescent="0.2">
      <c r="D106" s="49"/>
    </row>
    <row r="107" spans="4:4" s="13" customFormat="1" ht="15" customHeight="1" x14ac:dyDescent="0.2">
      <c r="D107" s="49"/>
    </row>
    <row r="108" spans="4:4" s="13" customFormat="1" ht="15" customHeight="1" x14ac:dyDescent="0.2">
      <c r="D108" s="49"/>
    </row>
    <row r="109" spans="4:4" s="13" customFormat="1" ht="15" customHeight="1" x14ac:dyDescent="0.2">
      <c r="D109" s="49"/>
    </row>
    <row r="110" spans="4:4" s="13" customFormat="1" ht="15" customHeight="1" x14ac:dyDescent="0.2">
      <c r="D110" s="49"/>
    </row>
    <row r="111" spans="4:4" s="13" customFormat="1" ht="15" customHeight="1" x14ac:dyDescent="0.2">
      <c r="D111" s="49"/>
    </row>
    <row r="112" spans="4:4" s="13" customFormat="1" ht="15" customHeight="1" x14ac:dyDescent="0.2">
      <c r="D112" s="49"/>
    </row>
    <row r="113" spans="4:4" s="13" customFormat="1" ht="15" customHeight="1" x14ac:dyDescent="0.2">
      <c r="D113" s="49"/>
    </row>
    <row r="114" spans="4:4" s="13" customFormat="1" ht="15" customHeight="1" x14ac:dyDescent="0.2">
      <c r="D114" s="49"/>
    </row>
    <row r="115" spans="4:4" s="13" customFormat="1" ht="15" customHeight="1" x14ac:dyDescent="0.2">
      <c r="D115" s="49"/>
    </row>
    <row r="116" spans="4:4" s="13" customFormat="1" ht="15" customHeight="1" x14ac:dyDescent="0.2">
      <c r="D116" s="49"/>
    </row>
    <row r="117" spans="4:4" s="13" customFormat="1" ht="15" customHeight="1" x14ac:dyDescent="0.2">
      <c r="D117" s="49"/>
    </row>
    <row r="118" spans="4:4" s="13" customFormat="1" ht="15" customHeight="1" x14ac:dyDescent="0.2">
      <c r="D118" s="49"/>
    </row>
    <row r="119" spans="4:4" s="13" customFormat="1" ht="15" customHeight="1" x14ac:dyDescent="0.2">
      <c r="D119" s="49"/>
    </row>
    <row r="120" spans="4:4" s="13" customFormat="1" ht="15" customHeight="1" x14ac:dyDescent="0.2">
      <c r="D120" s="49"/>
    </row>
    <row r="121" spans="4:4" s="13" customFormat="1" ht="15" customHeight="1" x14ac:dyDescent="0.2">
      <c r="D121" s="49"/>
    </row>
    <row r="122" spans="4:4" s="13" customFormat="1" ht="15" customHeight="1" x14ac:dyDescent="0.2">
      <c r="D122" s="49"/>
    </row>
    <row r="123" spans="4:4" s="13" customFormat="1" ht="15" customHeight="1" x14ac:dyDescent="0.2">
      <c r="D123" s="49"/>
    </row>
    <row r="124" spans="4:4" s="13" customFormat="1" ht="15" customHeight="1" x14ac:dyDescent="0.2">
      <c r="D124" s="49"/>
    </row>
    <row r="125" spans="4:4" s="13" customFormat="1" ht="15" customHeight="1" x14ac:dyDescent="0.2">
      <c r="D125" s="49"/>
    </row>
    <row r="126" spans="4:4" s="13" customFormat="1" ht="15" customHeight="1" x14ac:dyDescent="0.2">
      <c r="D126" s="49"/>
    </row>
    <row r="127" spans="4:4" s="13" customFormat="1" ht="15" customHeight="1" x14ac:dyDescent="0.2">
      <c r="D127" s="49"/>
    </row>
    <row r="128" spans="4:4" s="13" customFormat="1" ht="15" customHeight="1" x14ac:dyDescent="0.2">
      <c r="D128" s="49"/>
    </row>
    <row r="129" spans="4:4" s="13" customFormat="1" ht="15" customHeight="1" x14ac:dyDescent="0.2">
      <c r="D129" s="49"/>
    </row>
    <row r="130" spans="4:4" s="13" customFormat="1" ht="15" customHeight="1" x14ac:dyDescent="0.2">
      <c r="D130" s="49"/>
    </row>
    <row r="131" spans="4:4" s="13" customFormat="1" ht="15" customHeight="1" x14ac:dyDescent="0.2">
      <c r="D131" s="49"/>
    </row>
    <row r="132" spans="4:4" s="13" customFormat="1" ht="15" customHeight="1" x14ac:dyDescent="0.2">
      <c r="D132" s="49"/>
    </row>
    <row r="133" spans="4:4" s="13" customFormat="1" ht="15" customHeight="1" x14ac:dyDescent="0.2">
      <c r="D133" s="49"/>
    </row>
    <row r="134" spans="4:4" s="13" customFormat="1" ht="15" customHeight="1" x14ac:dyDescent="0.2">
      <c r="D134" s="49"/>
    </row>
    <row r="135" spans="4:4" s="13" customFormat="1" ht="15" customHeight="1" x14ac:dyDescent="0.2">
      <c r="D135" s="49"/>
    </row>
    <row r="136" spans="4:4" s="13" customFormat="1" ht="15" customHeight="1" x14ac:dyDescent="0.2">
      <c r="D136" s="49"/>
    </row>
    <row r="137" spans="4:4" s="13" customFormat="1" ht="15" customHeight="1" x14ac:dyDescent="0.2">
      <c r="D137" s="49"/>
    </row>
    <row r="138" spans="4:4" s="13" customFormat="1" ht="15" customHeight="1" x14ac:dyDescent="0.2">
      <c r="D138" s="49"/>
    </row>
    <row r="139" spans="4:4" s="13" customFormat="1" ht="15" customHeight="1" x14ac:dyDescent="0.2">
      <c r="D139" s="49"/>
    </row>
    <row r="140" spans="4:4" s="13" customFormat="1" ht="15" customHeight="1" x14ac:dyDescent="0.2">
      <c r="D140" s="49"/>
    </row>
    <row r="141" spans="4:4" s="13" customFormat="1" ht="15" customHeight="1" x14ac:dyDescent="0.2">
      <c r="D141" s="49"/>
    </row>
    <row r="142" spans="4:4" s="13" customFormat="1" ht="15" customHeight="1" x14ac:dyDescent="0.2">
      <c r="D142" s="49"/>
    </row>
    <row r="143" spans="4:4" s="13" customFormat="1" ht="15" customHeight="1" x14ac:dyDescent="0.2">
      <c r="D143" s="49"/>
    </row>
    <row r="144" spans="4:4" s="13" customFormat="1" ht="15" customHeight="1" x14ac:dyDescent="0.2">
      <c r="D144" s="49"/>
    </row>
    <row r="145" spans="4:4" s="13" customFormat="1" ht="15" customHeight="1" x14ac:dyDescent="0.2">
      <c r="D145" s="49"/>
    </row>
    <row r="146" spans="4:4" s="13" customFormat="1" ht="15" customHeight="1" x14ac:dyDescent="0.2">
      <c r="D146" s="49"/>
    </row>
    <row r="147" spans="4:4" s="13" customFormat="1" ht="15" customHeight="1" x14ac:dyDescent="0.2">
      <c r="D147" s="49"/>
    </row>
    <row r="148" spans="4:4" s="13" customFormat="1" ht="15" customHeight="1" x14ac:dyDescent="0.2">
      <c r="D148" s="49"/>
    </row>
    <row r="149" spans="4:4" s="13" customFormat="1" ht="15" customHeight="1" x14ac:dyDescent="0.2">
      <c r="D149" s="49"/>
    </row>
    <row r="150" spans="4:4" s="13" customFormat="1" ht="15" customHeight="1" x14ac:dyDescent="0.2">
      <c r="D150" s="49"/>
    </row>
    <row r="151" spans="4:4" s="13" customFormat="1" ht="15" customHeight="1" x14ac:dyDescent="0.2">
      <c r="D151" s="49"/>
    </row>
    <row r="152" spans="4:4" s="13" customFormat="1" ht="15" customHeight="1" x14ac:dyDescent="0.2">
      <c r="D152" s="49"/>
    </row>
    <row r="153" spans="4:4" s="13" customFormat="1" ht="15" customHeight="1" x14ac:dyDescent="0.2">
      <c r="D153" s="49"/>
    </row>
    <row r="154" spans="4:4" s="13" customFormat="1" ht="15" customHeight="1" x14ac:dyDescent="0.2">
      <c r="D154" s="49"/>
    </row>
    <row r="155" spans="4:4" s="13" customFormat="1" ht="15" customHeight="1" x14ac:dyDescent="0.2">
      <c r="D155" s="49"/>
    </row>
    <row r="156" spans="4:4" s="13" customFormat="1" ht="15" customHeight="1" x14ac:dyDescent="0.2">
      <c r="D156" s="49"/>
    </row>
    <row r="157" spans="4:4" s="13" customFormat="1" ht="15" customHeight="1" x14ac:dyDescent="0.2">
      <c r="D157" s="49"/>
    </row>
    <row r="158" spans="4:4" s="13" customFormat="1" ht="15" customHeight="1" x14ac:dyDescent="0.2">
      <c r="D158" s="49"/>
    </row>
    <row r="159" spans="4:4" s="13" customFormat="1" ht="15" customHeight="1" x14ac:dyDescent="0.2">
      <c r="D159" s="49"/>
    </row>
    <row r="160" spans="4:4" s="13" customFormat="1" ht="15" customHeight="1" x14ac:dyDescent="0.2">
      <c r="D160" s="49"/>
    </row>
    <row r="161" spans="4:4" s="13" customFormat="1" ht="15" customHeight="1" x14ac:dyDescent="0.2">
      <c r="D161" s="49"/>
    </row>
    <row r="162" spans="4:4" s="13" customFormat="1" ht="15" customHeight="1" x14ac:dyDescent="0.2">
      <c r="D162" s="49"/>
    </row>
    <row r="163" spans="4:4" s="13" customFormat="1" ht="15" customHeight="1" x14ac:dyDescent="0.2">
      <c r="D163" s="49"/>
    </row>
    <row r="164" spans="4:4" s="13" customFormat="1" ht="15" customHeight="1" x14ac:dyDescent="0.2">
      <c r="D164" s="49"/>
    </row>
    <row r="165" spans="4:4" s="13" customFormat="1" ht="15" customHeight="1" x14ac:dyDescent="0.2">
      <c r="D165" s="49"/>
    </row>
    <row r="166" spans="4:4" s="13" customFormat="1" ht="15" customHeight="1" x14ac:dyDescent="0.2">
      <c r="D166" s="49"/>
    </row>
    <row r="167" spans="4:4" s="13" customFormat="1" ht="15" customHeight="1" x14ac:dyDescent="0.2">
      <c r="D167" s="49"/>
    </row>
    <row r="168" spans="4:4" s="13" customFormat="1" ht="15" customHeight="1" x14ac:dyDescent="0.2">
      <c r="D168" s="49"/>
    </row>
    <row r="169" spans="4:4" s="13" customFormat="1" ht="15" customHeight="1" x14ac:dyDescent="0.2">
      <c r="D169" s="49"/>
    </row>
    <row r="170" spans="4:4" s="13" customFormat="1" ht="15" customHeight="1" x14ac:dyDescent="0.2">
      <c r="D170" s="49"/>
    </row>
    <row r="171" spans="4:4" s="13" customFormat="1" ht="15" customHeight="1" x14ac:dyDescent="0.2">
      <c r="D171" s="49"/>
    </row>
    <row r="172" spans="4:4" s="13" customFormat="1" ht="15" customHeight="1" x14ac:dyDescent="0.2">
      <c r="D172" s="49"/>
    </row>
    <row r="173" spans="4:4" s="13" customFormat="1" ht="15" customHeight="1" x14ac:dyDescent="0.2">
      <c r="D173" s="49"/>
    </row>
    <row r="174" spans="4:4" s="13" customFormat="1" ht="15" customHeight="1" x14ac:dyDescent="0.2">
      <c r="D174" s="49"/>
    </row>
    <row r="175" spans="4:4" s="13" customFormat="1" ht="15" customHeight="1" x14ac:dyDescent="0.2">
      <c r="D175" s="49"/>
    </row>
    <row r="176" spans="4:4" s="13" customFormat="1" ht="15" customHeight="1" x14ac:dyDescent="0.2">
      <c r="D176" s="49"/>
    </row>
    <row r="177" spans="4:4" s="13" customFormat="1" ht="15" customHeight="1" x14ac:dyDescent="0.2">
      <c r="D177" s="49"/>
    </row>
    <row r="178" spans="4:4" s="13" customFormat="1" ht="15" customHeight="1" x14ac:dyDescent="0.2">
      <c r="D178" s="49"/>
    </row>
    <row r="179" spans="4:4" s="13" customFormat="1" ht="15" customHeight="1" x14ac:dyDescent="0.2">
      <c r="D179" s="49"/>
    </row>
    <row r="180" spans="4:4" s="13" customFormat="1" ht="15" customHeight="1" x14ac:dyDescent="0.2">
      <c r="D180" s="49"/>
    </row>
    <row r="181" spans="4:4" s="13" customFormat="1" ht="15" customHeight="1" x14ac:dyDescent="0.2">
      <c r="D181" s="49"/>
    </row>
    <row r="182" spans="4:4" s="13" customFormat="1" ht="15" customHeight="1" x14ac:dyDescent="0.2">
      <c r="D182" s="49"/>
    </row>
    <row r="183" spans="4:4" s="13" customFormat="1" ht="15" customHeight="1" x14ac:dyDescent="0.2">
      <c r="D183" s="49"/>
    </row>
    <row r="184" spans="4:4" s="13" customFormat="1" ht="15" customHeight="1" x14ac:dyDescent="0.2">
      <c r="D184" s="49"/>
    </row>
    <row r="185" spans="4:4" s="13" customFormat="1" ht="15" customHeight="1" x14ac:dyDescent="0.2">
      <c r="D185" s="49"/>
    </row>
    <row r="186" spans="4:4" s="13" customFormat="1" ht="15" customHeight="1" x14ac:dyDescent="0.2">
      <c r="D186" s="49"/>
    </row>
    <row r="187" spans="4:4" s="13" customFormat="1" ht="15" customHeight="1" x14ac:dyDescent="0.2">
      <c r="D187" s="49"/>
    </row>
    <row r="188" spans="4:4" s="13" customFormat="1" ht="15" customHeight="1" x14ac:dyDescent="0.2">
      <c r="D188" s="49"/>
    </row>
    <row r="189" spans="4:4" s="13" customFormat="1" ht="15" customHeight="1" x14ac:dyDescent="0.2">
      <c r="D189" s="49"/>
    </row>
    <row r="190" spans="4:4" s="13" customFormat="1" ht="15" customHeight="1" x14ac:dyDescent="0.2">
      <c r="D190" s="49"/>
    </row>
    <row r="191" spans="4:4" s="13" customFormat="1" ht="15" customHeight="1" x14ac:dyDescent="0.2">
      <c r="D191" s="49"/>
    </row>
    <row r="192" spans="4:4" s="13" customFormat="1" ht="15" customHeight="1" x14ac:dyDescent="0.2">
      <c r="D192" s="49"/>
    </row>
    <row r="193" spans="4:4" s="13" customFormat="1" ht="15" customHeight="1" x14ac:dyDescent="0.2">
      <c r="D193" s="49"/>
    </row>
    <row r="194" spans="4:4" s="13" customFormat="1" ht="15" customHeight="1" x14ac:dyDescent="0.2">
      <c r="D194" s="49"/>
    </row>
    <row r="195" spans="4:4" s="13" customFormat="1" ht="15" customHeight="1" x14ac:dyDescent="0.2">
      <c r="D195" s="49"/>
    </row>
    <row r="196" spans="4:4" s="13" customFormat="1" ht="15" customHeight="1" x14ac:dyDescent="0.2">
      <c r="D196" s="49"/>
    </row>
    <row r="197" spans="4:4" s="13" customFormat="1" ht="15" customHeight="1" x14ac:dyDescent="0.2">
      <c r="D197" s="49"/>
    </row>
    <row r="198" spans="4:4" s="13" customFormat="1" ht="15" customHeight="1" x14ac:dyDescent="0.2">
      <c r="D198" s="49"/>
    </row>
    <row r="199" spans="4:4" s="13" customFormat="1" ht="15" customHeight="1" x14ac:dyDescent="0.2">
      <c r="D199" s="49"/>
    </row>
    <row r="200" spans="4:4" s="13" customFormat="1" ht="15" customHeight="1" x14ac:dyDescent="0.2">
      <c r="D200" s="49"/>
    </row>
    <row r="201" spans="4:4" s="13" customFormat="1" ht="15" customHeight="1" x14ac:dyDescent="0.2">
      <c r="D201" s="49"/>
    </row>
    <row r="202" spans="4:4" s="13" customFormat="1" ht="15" customHeight="1" x14ac:dyDescent="0.2">
      <c r="D202" s="49"/>
    </row>
    <row r="203" spans="4:4" s="13" customFormat="1" ht="15" customHeight="1" x14ac:dyDescent="0.2">
      <c r="D203" s="49"/>
    </row>
    <row r="204" spans="4:4" s="13" customFormat="1" ht="15" customHeight="1" x14ac:dyDescent="0.2">
      <c r="D204" s="49"/>
    </row>
    <row r="205" spans="4:4" s="13" customFormat="1" ht="15" customHeight="1" x14ac:dyDescent="0.2">
      <c r="D205" s="49"/>
    </row>
    <row r="206" spans="4:4" s="13" customFormat="1" ht="15" customHeight="1" x14ac:dyDescent="0.2">
      <c r="D206" s="49"/>
    </row>
    <row r="207" spans="4:4" s="13" customFormat="1" ht="15" customHeight="1" x14ac:dyDescent="0.2">
      <c r="D207" s="49"/>
    </row>
    <row r="208" spans="4:4" s="13" customFormat="1" ht="15" customHeight="1" x14ac:dyDescent="0.2">
      <c r="D208" s="49"/>
    </row>
    <row r="209" spans="4:4" s="13" customFormat="1" ht="15" customHeight="1" x14ac:dyDescent="0.2">
      <c r="D209" s="49"/>
    </row>
    <row r="210" spans="4:4" s="13" customFormat="1" ht="15" customHeight="1" x14ac:dyDescent="0.2">
      <c r="D210" s="49"/>
    </row>
    <row r="211" spans="4:4" s="13" customFormat="1" ht="15" customHeight="1" x14ac:dyDescent="0.2">
      <c r="D211" s="49"/>
    </row>
    <row r="212" spans="4:4" s="13" customFormat="1" ht="15" customHeight="1" x14ac:dyDescent="0.2">
      <c r="D212" s="49"/>
    </row>
    <row r="213" spans="4:4" s="13" customFormat="1" ht="15" customHeight="1" x14ac:dyDescent="0.2">
      <c r="D213" s="49"/>
    </row>
    <row r="214" spans="4:4" s="13" customFormat="1" ht="15" customHeight="1" x14ac:dyDescent="0.2">
      <c r="D214" s="49"/>
    </row>
    <row r="215" spans="4:4" s="13" customFormat="1" ht="15" customHeight="1" x14ac:dyDescent="0.2">
      <c r="D215" s="49"/>
    </row>
    <row r="216" spans="4:4" s="13" customFormat="1" ht="15" customHeight="1" x14ac:dyDescent="0.2">
      <c r="D216" s="49"/>
    </row>
    <row r="217" spans="4:4" s="13" customFormat="1" ht="15" customHeight="1" x14ac:dyDescent="0.2">
      <c r="D217" s="49"/>
    </row>
    <row r="218" spans="4:4" s="13" customFormat="1" ht="15" customHeight="1" x14ac:dyDescent="0.2">
      <c r="D218" s="49"/>
    </row>
    <row r="219" spans="4:4" s="13" customFormat="1" ht="15" customHeight="1" x14ac:dyDescent="0.2">
      <c r="D219" s="49"/>
    </row>
    <row r="220" spans="4:4" s="13" customFormat="1" ht="15" customHeight="1" x14ac:dyDescent="0.2">
      <c r="D220" s="49"/>
    </row>
    <row r="221" spans="4:4" s="13" customFormat="1" ht="15" customHeight="1" x14ac:dyDescent="0.2">
      <c r="D221" s="49"/>
    </row>
    <row r="222" spans="4:4" s="13" customFormat="1" ht="15" customHeight="1" x14ac:dyDescent="0.2">
      <c r="D222" s="49"/>
    </row>
    <row r="223" spans="4:4" s="13" customFormat="1" ht="15" customHeight="1" x14ac:dyDescent="0.2">
      <c r="D223" s="49"/>
    </row>
    <row r="224" spans="4:4" s="13" customFormat="1" ht="15" customHeight="1" x14ac:dyDescent="0.2">
      <c r="D224" s="49"/>
    </row>
    <row r="225" spans="4:4" s="13" customFormat="1" ht="15" customHeight="1" x14ac:dyDescent="0.2">
      <c r="D225" s="49"/>
    </row>
    <row r="226" spans="4:4" s="13" customFormat="1" ht="15" customHeight="1" x14ac:dyDescent="0.2">
      <c r="D226" s="49"/>
    </row>
    <row r="227" spans="4:4" s="13" customFormat="1" ht="15" customHeight="1" x14ac:dyDescent="0.2">
      <c r="D227" s="49"/>
    </row>
    <row r="228" spans="4:4" s="13" customFormat="1" ht="15" customHeight="1" x14ac:dyDescent="0.2">
      <c r="D228" s="49"/>
    </row>
    <row r="229" spans="4:4" s="13" customFormat="1" ht="15" customHeight="1" x14ac:dyDescent="0.2">
      <c r="D229" s="49"/>
    </row>
    <row r="230" spans="4:4" s="13" customFormat="1" ht="15" customHeight="1" x14ac:dyDescent="0.2">
      <c r="D230" s="49"/>
    </row>
    <row r="231" spans="4:4" s="13" customFormat="1" ht="15" customHeight="1" x14ac:dyDescent="0.2">
      <c r="D231" s="49"/>
    </row>
    <row r="232" spans="4:4" s="13" customFormat="1" ht="15" customHeight="1" x14ac:dyDescent="0.2">
      <c r="D232" s="49"/>
    </row>
    <row r="233" spans="4:4" s="13" customFormat="1" ht="15" customHeight="1" x14ac:dyDescent="0.2">
      <c r="D233" s="49"/>
    </row>
    <row r="234" spans="4:4" s="13" customFormat="1" ht="15" customHeight="1" x14ac:dyDescent="0.2">
      <c r="D234" s="49"/>
    </row>
    <row r="235" spans="4:4" s="13" customFormat="1" ht="15" customHeight="1" x14ac:dyDescent="0.2">
      <c r="D235" s="49"/>
    </row>
    <row r="236" spans="4:4" s="13" customFormat="1" ht="15" customHeight="1" x14ac:dyDescent="0.2">
      <c r="D236" s="49"/>
    </row>
    <row r="237" spans="4:4" s="13" customFormat="1" ht="15" customHeight="1" x14ac:dyDescent="0.2">
      <c r="D237" s="49"/>
    </row>
    <row r="238" spans="4:4" s="13" customFormat="1" ht="15" customHeight="1" x14ac:dyDescent="0.2">
      <c r="D238" s="49"/>
    </row>
    <row r="239" spans="4:4" s="13" customFormat="1" ht="15" customHeight="1" x14ac:dyDescent="0.2">
      <c r="D239" s="49"/>
    </row>
    <row r="240" spans="4:4" s="13" customFormat="1" ht="15" customHeight="1" x14ac:dyDescent="0.2">
      <c r="D240" s="49"/>
    </row>
    <row r="241" spans="4:4" s="13" customFormat="1" ht="15" customHeight="1" x14ac:dyDescent="0.2">
      <c r="D241" s="49"/>
    </row>
    <row r="242" spans="4:4" s="13" customFormat="1" ht="15" customHeight="1" x14ac:dyDescent="0.2">
      <c r="D242" s="49"/>
    </row>
    <row r="243" spans="4:4" s="13" customFormat="1" ht="15" customHeight="1" x14ac:dyDescent="0.2">
      <c r="D243" s="49"/>
    </row>
    <row r="244" spans="4:4" s="13" customFormat="1" ht="15" customHeight="1" x14ac:dyDescent="0.2">
      <c r="D244" s="49"/>
    </row>
    <row r="245" spans="4:4" s="13" customFormat="1" ht="15" customHeight="1" x14ac:dyDescent="0.2">
      <c r="D245" s="49"/>
    </row>
    <row r="246" spans="4:4" s="13" customFormat="1" ht="15" customHeight="1" x14ac:dyDescent="0.2">
      <c r="D246" s="49"/>
    </row>
    <row r="247" spans="4:4" s="13" customFormat="1" ht="15" customHeight="1" x14ac:dyDescent="0.2">
      <c r="D247" s="49"/>
    </row>
    <row r="248" spans="4:4" s="13" customFormat="1" ht="15" customHeight="1" x14ac:dyDescent="0.2">
      <c r="D248" s="49"/>
    </row>
    <row r="249" spans="4:4" s="13" customFormat="1" ht="15" customHeight="1" x14ac:dyDescent="0.2">
      <c r="D249" s="49"/>
    </row>
    <row r="250" spans="4:4" s="13" customFormat="1" ht="15" customHeight="1" x14ac:dyDescent="0.2">
      <c r="D250" s="49"/>
    </row>
    <row r="251" spans="4:4" s="13" customFormat="1" ht="15" customHeight="1" x14ac:dyDescent="0.2">
      <c r="D251" s="49"/>
    </row>
    <row r="252" spans="4:4" s="13" customFormat="1" ht="15" customHeight="1" x14ac:dyDescent="0.2">
      <c r="D252" s="49"/>
    </row>
    <row r="253" spans="4:4" s="13" customFormat="1" ht="15" customHeight="1" x14ac:dyDescent="0.2">
      <c r="D253" s="49"/>
    </row>
    <row r="254" spans="4:4" s="13" customFormat="1" ht="15" customHeight="1" x14ac:dyDescent="0.2">
      <c r="D254" s="49"/>
    </row>
    <row r="255" spans="4:4" s="13" customFormat="1" ht="15" customHeight="1" x14ac:dyDescent="0.2">
      <c r="D255" s="49"/>
    </row>
    <row r="256" spans="4:4" s="13" customFormat="1" ht="15" customHeight="1" x14ac:dyDescent="0.2">
      <c r="D256" s="49"/>
    </row>
    <row r="257" spans="4:4" s="13" customFormat="1" ht="15" customHeight="1" x14ac:dyDescent="0.2">
      <c r="D257" s="49"/>
    </row>
    <row r="258" spans="4:4" s="13" customFormat="1" ht="15" customHeight="1" x14ac:dyDescent="0.2">
      <c r="D258" s="49"/>
    </row>
    <row r="259" spans="4:4" s="13" customFormat="1" ht="15" customHeight="1" x14ac:dyDescent="0.2">
      <c r="D259" s="49"/>
    </row>
    <row r="260" spans="4:4" s="13" customFormat="1" ht="15" customHeight="1" x14ac:dyDescent="0.2">
      <c r="D260" s="49"/>
    </row>
    <row r="261" spans="4:4" s="13" customFormat="1" ht="15" customHeight="1" x14ac:dyDescent="0.2">
      <c r="D261" s="49"/>
    </row>
    <row r="262" spans="4:4" s="13" customFormat="1" ht="15" customHeight="1" x14ac:dyDescent="0.2">
      <c r="D262" s="49"/>
    </row>
    <row r="263" spans="4:4" s="13" customFormat="1" ht="15" customHeight="1" x14ac:dyDescent="0.2">
      <c r="D263" s="49"/>
    </row>
    <row r="264" spans="4:4" s="13" customFormat="1" ht="15" customHeight="1" x14ac:dyDescent="0.2">
      <c r="D264" s="49"/>
    </row>
    <row r="265" spans="4:4" s="13" customFormat="1" ht="15" customHeight="1" x14ac:dyDescent="0.2">
      <c r="D265" s="49"/>
    </row>
    <row r="266" spans="4:4" s="13" customFormat="1" ht="15" customHeight="1" x14ac:dyDescent="0.2">
      <c r="D266" s="49"/>
    </row>
    <row r="267" spans="4:4" s="13" customFormat="1" ht="15" customHeight="1" x14ac:dyDescent="0.2">
      <c r="D267" s="49"/>
    </row>
    <row r="268" spans="4:4" s="13" customFormat="1" ht="15" customHeight="1" x14ac:dyDescent="0.2">
      <c r="D268" s="49"/>
    </row>
    <row r="269" spans="4:4" s="13" customFormat="1" ht="15" customHeight="1" x14ac:dyDescent="0.2">
      <c r="D269" s="49"/>
    </row>
    <row r="270" spans="4:4" s="13" customFormat="1" ht="15" customHeight="1" x14ac:dyDescent="0.2">
      <c r="D270" s="49"/>
    </row>
    <row r="271" spans="4:4" s="13" customFormat="1" ht="15" customHeight="1" x14ac:dyDescent="0.2">
      <c r="D271" s="49"/>
    </row>
    <row r="272" spans="4:4" s="13" customFormat="1" ht="15" customHeight="1" x14ac:dyDescent="0.2">
      <c r="D272" s="49"/>
    </row>
    <row r="273" spans="4:4" s="13" customFormat="1" ht="15" customHeight="1" x14ac:dyDescent="0.2">
      <c r="D273" s="49"/>
    </row>
    <row r="274" spans="4:4" s="13" customFormat="1" ht="15" customHeight="1" x14ac:dyDescent="0.2">
      <c r="D274" s="49"/>
    </row>
    <row r="275" spans="4:4" s="13" customFormat="1" ht="15" customHeight="1" x14ac:dyDescent="0.2">
      <c r="D275" s="49"/>
    </row>
    <row r="276" spans="4:4" s="13" customFormat="1" ht="15" customHeight="1" x14ac:dyDescent="0.2">
      <c r="D276" s="49"/>
    </row>
    <row r="277" spans="4:4" s="13" customFormat="1" ht="15" customHeight="1" x14ac:dyDescent="0.2">
      <c r="D277" s="49"/>
    </row>
    <row r="278" spans="4:4" s="13" customFormat="1" ht="15" customHeight="1" x14ac:dyDescent="0.2">
      <c r="D278" s="49"/>
    </row>
    <row r="279" spans="4:4" s="13" customFormat="1" ht="15" customHeight="1" x14ac:dyDescent="0.2">
      <c r="D279" s="49"/>
    </row>
    <row r="280" spans="4:4" s="13" customFormat="1" ht="15" customHeight="1" x14ac:dyDescent="0.2">
      <c r="D280" s="49"/>
    </row>
    <row r="281" spans="4:4" s="13" customFormat="1" ht="15" customHeight="1" x14ac:dyDescent="0.2">
      <c r="D281" s="49"/>
    </row>
    <row r="282" spans="4:4" s="13" customFormat="1" ht="15" customHeight="1" x14ac:dyDescent="0.2">
      <c r="D282" s="49"/>
    </row>
    <row r="283" spans="4:4" s="13" customFormat="1" ht="15" customHeight="1" x14ac:dyDescent="0.2">
      <c r="D283" s="49"/>
    </row>
    <row r="284" spans="4:4" s="13" customFormat="1" ht="15" customHeight="1" x14ac:dyDescent="0.2">
      <c r="D284" s="49"/>
    </row>
    <row r="285" spans="4:4" s="13" customFormat="1" ht="15" customHeight="1" x14ac:dyDescent="0.2">
      <c r="D285" s="49"/>
    </row>
    <row r="286" spans="4:4" s="13" customFormat="1" ht="15" customHeight="1" x14ac:dyDescent="0.2">
      <c r="D286" s="49"/>
    </row>
    <row r="287" spans="4:4" s="13" customFormat="1" ht="15" customHeight="1" x14ac:dyDescent="0.2">
      <c r="D287" s="49"/>
    </row>
    <row r="288" spans="4:4" s="13" customFormat="1" ht="15" customHeight="1" x14ac:dyDescent="0.2">
      <c r="D288" s="49"/>
    </row>
    <row r="289" spans="4:4" s="13" customFormat="1" ht="15" customHeight="1" x14ac:dyDescent="0.2">
      <c r="D289" s="49"/>
    </row>
    <row r="290" spans="4:4" s="13" customFormat="1" ht="15" customHeight="1" x14ac:dyDescent="0.2">
      <c r="D290" s="49"/>
    </row>
    <row r="291" spans="4:4" s="13" customFormat="1" ht="15" customHeight="1" x14ac:dyDescent="0.2">
      <c r="D291" s="49"/>
    </row>
    <row r="292" spans="4:4" s="13" customFormat="1" ht="15" customHeight="1" x14ac:dyDescent="0.2">
      <c r="D292" s="49"/>
    </row>
    <row r="293" spans="4:4" s="13" customFormat="1" ht="15" customHeight="1" x14ac:dyDescent="0.2">
      <c r="D293" s="49"/>
    </row>
    <row r="294" spans="4:4" s="13" customFormat="1" ht="15" customHeight="1" x14ac:dyDescent="0.2">
      <c r="D294" s="49"/>
    </row>
    <row r="295" spans="4:4" s="13" customFormat="1" ht="15" customHeight="1" x14ac:dyDescent="0.2">
      <c r="D295" s="49"/>
    </row>
    <row r="296" spans="4:4" s="13" customFormat="1" ht="15" customHeight="1" x14ac:dyDescent="0.2">
      <c r="D296" s="49"/>
    </row>
    <row r="297" spans="4:4" s="13" customFormat="1" ht="15" customHeight="1" x14ac:dyDescent="0.2">
      <c r="D297" s="49"/>
    </row>
    <row r="298" spans="4:4" s="13" customFormat="1" ht="15" customHeight="1" x14ac:dyDescent="0.2">
      <c r="D298" s="49"/>
    </row>
    <row r="299" spans="4:4" s="13" customFormat="1" ht="15" customHeight="1" x14ac:dyDescent="0.2">
      <c r="D299" s="49"/>
    </row>
    <row r="300" spans="4:4" s="13" customFormat="1" ht="15" customHeight="1" x14ac:dyDescent="0.2">
      <c r="D300" s="49"/>
    </row>
    <row r="301" spans="4:4" s="13" customFormat="1" ht="15" customHeight="1" x14ac:dyDescent="0.2">
      <c r="D301" s="49"/>
    </row>
    <row r="302" spans="4:4" s="13" customFormat="1" ht="15" customHeight="1" x14ac:dyDescent="0.2">
      <c r="D302" s="49"/>
    </row>
    <row r="303" spans="4:4" s="13" customFormat="1" ht="15" customHeight="1" x14ac:dyDescent="0.2">
      <c r="D303" s="49"/>
    </row>
    <row r="304" spans="4:4" s="13" customFormat="1" ht="15" customHeight="1" x14ac:dyDescent="0.2">
      <c r="D304" s="49"/>
    </row>
    <row r="305" spans="4:4" s="13" customFormat="1" ht="15" customHeight="1" x14ac:dyDescent="0.2">
      <c r="D305" s="49"/>
    </row>
    <row r="306" spans="4:4" s="13" customFormat="1" ht="15" customHeight="1" x14ac:dyDescent="0.2">
      <c r="D306" s="49"/>
    </row>
    <row r="307" spans="4:4" s="13" customFormat="1" ht="15" customHeight="1" x14ac:dyDescent="0.2">
      <c r="D307" s="49"/>
    </row>
    <row r="308" spans="4:4" s="13" customFormat="1" ht="15" customHeight="1" x14ac:dyDescent="0.2">
      <c r="D308" s="49"/>
    </row>
    <row r="309" spans="4:4" s="13" customFormat="1" ht="15" customHeight="1" x14ac:dyDescent="0.2">
      <c r="D309" s="49"/>
    </row>
    <row r="310" spans="4:4" s="13" customFormat="1" ht="15" customHeight="1" x14ac:dyDescent="0.2">
      <c r="D310" s="49"/>
    </row>
    <row r="311" spans="4:4" s="13" customFormat="1" ht="15" customHeight="1" x14ac:dyDescent="0.2">
      <c r="D311" s="49"/>
    </row>
  </sheetData>
  <mergeCells count="2">
    <mergeCell ref="A1:E1"/>
    <mergeCell ref="A50:B50"/>
  </mergeCells>
  <conditionalFormatting sqref="F2:AP37">
    <cfRule type="expression" dxfId="4" priority="5">
      <formula>F$45=0</formula>
    </cfRule>
  </conditionalFormatting>
  <conditionalFormatting sqref="F6:AQ37">
    <cfRule type="cellIs" dxfId="3" priority="2" operator="equal">
      <formula>2</formula>
    </cfRule>
    <cfRule type="cellIs" dxfId="2" priority="3" operator="equal">
      <formula>1</formula>
    </cfRule>
    <cfRule type="cellIs" dxfId="1" priority="4" operator="equal">
      <formula>0</formula>
    </cfRule>
  </conditionalFormatting>
  <conditionalFormatting sqref="AR6:AR37">
    <cfRule type="colorScale" priority="6">
      <colorScale>
        <cfvo type="min"/>
        <cfvo type="max"/>
        <color rgb="FFFFFFFF"/>
        <color rgb="FF4472C4"/>
      </colorScale>
    </cfRule>
  </conditionalFormatting>
  <dataValidations count="3">
    <dataValidation type="list" allowBlank="1" sqref="C49:C50" xr:uid="{00000000-0002-0000-0100-000000000000}">
      <formula1>"yes,no"</formula1>
      <formula2>0</formula2>
    </dataValidation>
    <dataValidation type="list" allowBlank="1" sqref="F6:AQ37" xr:uid="{00000000-0002-0000-0100-000001000000}">
      <formula1>"0,1,2"</formula1>
      <formula2>0</formula2>
    </dataValidation>
    <dataValidation type="list" allowBlank="1" showInputMessage="1" showErrorMessage="1" promptTitle="System scope" prompt="Pick wild, aqua, or both. SCORE frameworks switch on/off per row 42." sqref="C51" xr:uid="{8BD75DAE-65EF-7644-91FE-414B2F748473}">
      <formula1>"wild,aqua,both"</formula1>
    </dataValidation>
  </dataValidation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37"/>
  <sheetViews>
    <sheetView showGridLines="0" tabSelected="1" zoomScaleNormal="100" workbookViewId="0">
      <selection activeCell="D45" sqref="D45"/>
    </sheetView>
  </sheetViews>
  <sheetFormatPr baseColWidth="10" defaultColWidth="8.6640625" defaultRowHeight="15" outlineLevelCol="1" x14ac:dyDescent="0.2"/>
  <cols>
    <col min="2" max="2" width="11.83203125" customWidth="1"/>
    <col min="3" max="4" width="46" customWidth="1"/>
    <col min="5" max="5" width="9" customWidth="1"/>
    <col min="6" max="6" width="7" customWidth="1"/>
    <col min="7" max="10" width="6" customWidth="1"/>
    <col min="11" max="11" width="16" customWidth="1"/>
    <col min="13" max="13" width="0" hidden="1" customWidth="1" outlineLevel="1"/>
    <col min="14" max="14" width="8.6640625" collapsed="1"/>
  </cols>
  <sheetData>
    <row r="1" spans="2:13" ht="17.25" customHeight="1" x14ac:dyDescent="0.2">
      <c r="B1" s="52" t="s">
        <v>186</v>
      </c>
    </row>
    <row r="2" spans="2:13" ht="15" customHeight="1" x14ac:dyDescent="0.2">
      <c r="B2" s="53" t="s">
        <v>187</v>
      </c>
      <c r="C2" t="str">
        <f>'Coverage matrix'!C48 &amp; " employees · tuna: " &amp; 'Coverage matrix'!C49 &amp; " · HFC refrigerant: " &amp; 'Coverage matrix'!C50 &amp; " · system: " &amp; 'Coverage matrix'!C51</f>
        <v>150 employees · tuna: no · HFC refrigerant: yes · system: both</v>
      </c>
    </row>
    <row r="3" spans="2:13" ht="15" customHeight="1" x14ac:dyDescent="0.2">
      <c r="B3" s="54" t="s">
        <v>188</v>
      </c>
    </row>
    <row r="5" spans="2:13" ht="15" customHeight="1" x14ac:dyDescent="0.2">
      <c r="B5" s="55" t="s">
        <v>52</v>
      </c>
      <c r="C5" s="55" t="s">
        <v>189</v>
      </c>
      <c r="D5" s="55"/>
      <c r="E5" s="55" t="s">
        <v>190</v>
      </c>
      <c r="F5" s="55" t="s">
        <v>191</v>
      </c>
      <c r="G5" s="55" t="s">
        <v>89</v>
      </c>
      <c r="H5" s="55" t="s">
        <v>90</v>
      </c>
      <c r="I5" s="55" t="s">
        <v>91</v>
      </c>
      <c r="J5" s="55" t="s">
        <v>92</v>
      </c>
      <c r="K5" s="55" t="s">
        <v>94</v>
      </c>
      <c r="M5" s="70" t="s">
        <v>2002</v>
      </c>
    </row>
    <row r="6" spans="2:13" ht="15" customHeight="1" x14ac:dyDescent="0.2">
      <c r="B6" s="71">
        <v>1</v>
      </c>
      <c r="C6" s="72" t="str" cm="1">
        <f t="array" ref="C6">INDEX('Coverage matrix'!$B$6:$B$37,$M6)</f>
        <v>Biodiversity &amp; ecosystems (E4)</v>
      </c>
      <c r="D6" s="72" t="str" cm="1">
        <f t="array" ref="D6">IF(INDEX('Coverage matrix'!$D$6:$D$37,$M6)=0,"",INDEX('Coverage matrix'!$D$6:$D$37,$M6))</f>
        <v/>
      </c>
      <c r="E6" s="71" cm="1">
        <f t="array" ref="E6">INDEX('Coverage matrix'!$AL$6:$AL$37,$M6)</f>
        <v>19</v>
      </c>
      <c r="F6" s="71" cm="1">
        <f t="array" ref="F6">INDEX('Coverage matrix'!$AQ$6:$AQ$37,$M6)</f>
        <v>4</v>
      </c>
      <c r="G6" s="71" t="str" cm="1">
        <f t="array" ref="G6">IF(INDEX('Coverage matrix'!$AM$6:$AM$37,$M6)=1,"✓","")</f>
        <v>✓</v>
      </c>
      <c r="H6" s="71" t="str" cm="1">
        <f t="array" ref="H6">IF(INDEX('Coverage matrix'!$AN$6:$AN$37,$M6)=1,"✓","")</f>
        <v>✓</v>
      </c>
      <c r="I6" s="71" t="str" cm="1">
        <f t="array" ref="I6">IF(INDEX('Coverage matrix'!$AO$6:$AO$37,$M6)=1,"✓","")</f>
        <v>✓</v>
      </c>
      <c r="J6" s="71" t="str" cm="1">
        <f t="array" ref="J6">IF(INDEX('Coverage matrix'!$AP$6:$AP$37,$M6)=1,"✓","")</f>
        <v>✓</v>
      </c>
      <c r="K6" s="71" t="str" cm="1">
        <f t="array" ref="K6">INDEX('Coverage matrix'!$AR$6:$AR$37,$M6)</f>
        <v>1 — Build first</v>
      </c>
      <c r="M6" cm="1">
        <f t="array" ref="M6:M37">_xlfn.SORTBY(_xlfn.SEQUENCE(32),IF(LEFT('Coverage matrix'!$AR$6:$AR$37,1)="1",1,IF(LEFT('Coverage matrix'!$AR$6:$AR$37,1)="2",2,IF(LEFT('Coverage matrix'!$AR$6:$AR$37,1)="3",3,IF(LEFT('Coverage matrix'!$AR$6:$AR$37,1)="—",4,5)))),1,'Coverage matrix'!$AQ$6:$AQ$37,-1,'Coverage matrix'!$AL$6:$AL$37,-1)</f>
        <v>27</v>
      </c>
    </row>
    <row r="7" spans="2:13" ht="15" customHeight="1" x14ac:dyDescent="0.2">
      <c r="B7" s="71">
        <v>2</v>
      </c>
      <c r="C7" s="72" t="str" cm="1">
        <f t="array" ref="C7">INDEX('Coverage matrix'!$B$6:$B$37,$M7)</f>
        <v>E1-6</v>
      </c>
      <c r="D7" s="72" t="str" cm="1">
        <f t="array" ref="D7">IF(INDEX('Coverage matrix'!$D$6:$D$37,$M7)=0,"",INDEX('Coverage matrix'!$D$6:$D$37,$M7))</f>
        <v>Gross scopes 1, 2, 3 and total GHG emissions</v>
      </c>
      <c r="E7" s="71" cm="1">
        <f t="array" ref="E7">INDEX('Coverage matrix'!$AL$6:$AL$37,$M7)</f>
        <v>15</v>
      </c>
      <c r="F7" s="71" cm="1">
        <f t="array" ref="F7">INDEX('Coverage matrix'!$AQ$6:$AQ$37,$M7)</f>
        <v>4</v>
      </c>
      <c r="G7" s="71" t="str" cm="1">
        <f t="array" ref="G7">IF(INDEX('Coverage matrix'!$AM$6:$AM$37,$M7)=1,"✓","")</f>
        <v>✓</v>
      </c>
      <c r="H7" s="71" t="str" cm="1">
        <f t="array" ref="H7">IF(INDEX('Coverage matrix'!$AN$6:$AN$37,$M7)=1,"✓","")</f>
        <v>✓</v>
      </c>
      <c r="I7" s="71" t="str" cm="1">
        <f t="array" ref="I7">IF(INDEX('Coverage matrix'!$AO$6:$AO$37,$M7)=1,"✓","")</f>
        <v>✓</v>
      </c>
      <c r="J7" s="71" t="str" cm="1">
        <f t="array" ref="J7">IF(INDEX('Coverage matrix'!$AP$6:$AP$37,$M7)=1,"✓","")</f>
        <v>✓</v>
      </c>
      <c r="K7" s="71" t="str" cm="1">
        <f t="array" ref="K7">INDEX('Coverage matrix'!$AR$6:$AR$37,$M7)</f>
        <v>1 — Build first</v>
      </c>
      <c r="M7">
        <v>4</v>
      </c>
    </row>
    <row r="8" spans="2:13" ht="15" customHeight="1" x14ac:dyDescent="0.2">
      <c r="B8" s="71">
        <v>3</v>
      </c>
      <c r="C8" s="72" t="str" cm="1">
        <f t="array" ref="C8">INDEX('Coverage matrix'!$B$6:$B$37,$M8)</f>
        <v>E5-5</v>
      </c>
      <c r="D8" s="72" t="str" cm="1">
        <f t="array" ref="D8">IF(INDEX('Coverage matrix'!$D$6:$D$37,$M8)=0,"",INDEX('Coverage matrix'!$D$6:$D$37,$M8))</f>
        <v>Resource outflows</v>
      </c>
      <c r="E8" s="71" cm="1">
        <f t="array" ref="E8">INDEX('Coverage matrix'!$AL$6:$AL$37,$M8)</f>
        <v>12</v>
      </c>
      <c r="F8" s="71" cm="1">
        <f t="array" ref="F8">INDEX('Coverage matrix'!$AQ$6:$AQ$37,$M8)</f>
        <v>4</v>
      </c>
      <c r="G8" s="71" t="str" cm="1">
        <f t="array" ref="G8">IF(INDEX('Coverage matrix'!$AM$6:$AM$37,$M8)=1,"✓","")</f>
        <v>✓</v>
      </c>
      <c r="H8" s="71" t="str" cm="1">
        <f t="array" ref="H8">IF(INDEX('Coverage matrix'!$AN$6:$AN$37,$M8)=1,"✓","")</f>
        <v>✓</v>
      </c>
      <c r="I8" s="71" t="str" cm="1">
        <f t="array" ref="I8">IF(INDEX('Coverage matrix'!$AO$6:$AO$37,$M8)=1,"✓","")</f>
        <v>✓</v>
      </c>
      <c r="J8" s="71" t="str" cm="1">
        <f t="array" ref="J8">IF(INDEX('Coverage matrix'!$AP$6:$AP$37,$M8)=1,"✓","")</f>
        <v>✓</v>
      </c>
      <c r="K8" s="71" t="str" cm="1">
        <f t="array" ref="K8">INDEX('Coverage matrix'!$AR$6:$AR$37,$M8)</f>
        <v>1 — Build first</v>
      </c>
      <c r="M8">
        <v>11</v>
      </c>
    </row>
    <row r="9" spans="2:13" ht="15" customHeight="1" x14ac:dyDescent="0.2">
      <c r="B9" s="71">
        <v>4</v>
      </c>
      <c r="C9" s="72" t="str" cm="1">
        <f t="array" ref="C9">INDEX('Coverage matrix'!$B$6:$B$37,$M9)</f>
        <v>Wild-stock status / sustainable wild sourcing</v>
      </c>
      <c r="D9" s="72" t="str" cm="1">
        <f t="array" ref="D9">IF(INDEX('Coverage matrix'!$D$6:$D$37,$M9)=0,"",INDEX('Coverage matrix'!$D$6:$D$37,$M9))</f>
        <v/>
      </c>
      <c r="E9" s="71" cm="1">
        <f t="array" ref="E9">INDEX('Coverage matrix'!$AL$6:$AL$37,$M9)</f>
        <v>12</v>
      </c>
      <c r="F9" s="71" cm="1">
        <f t="array" ref="F9">INDEX('Coverage matrix'!$AQ$6:$AQ$37,$M9)</f>
        <v>4</v>
      </c>
      <c r="G9" s="71" t="str" cm="1">
        <f t="array" ref="G9">IF(INDEX('Coverage matrix'!$AM$6:$AM$37,$M9)=1,"✓","")</f>
        <v>✓</v>
      </c>
      <c r="H9" s="71" t="str" cm="1">
        <f t="array" ref="H9">IF(INDEX('Coverage matrix'!$AN$6:$AN$37,$M9)=1,"✓","")</f>
        <v>✓</v>
      </c>
      <c r="I9" s="71" t="str" cm="1">
        <f t="array" ref="I9">IF(INDEX('Coverage matrix'!$AO$6:$AO$37,$M9)=1,"✓","")</f>
        <v>✓</v>
      </c>
      <c r="J9" s="71" t="str" cm="1">
        <f t="array" ref="J9">IF(INDEX('Coverage matrix'!$AP$6:$AP$37,$M9)=1,"✓","")</f>
        <v>✓</v>
      </c>
      <c r="K9" s="71" t="str" cm="1">
        <f t="array" ref="K9">INDEX('Coverage matrix'!$AR$6:$AR$37,$M9)</f>
        <v>1 — Build first</v>
      </c>
      <c r="M9">
        <v>30</v>
      </c>
    </row>
    <row r="10" spans="2:13" ht="15" customHeight="1" x14ac:dyDescent="0.2">
      <c r="B10" s="71">
        <v>5</v>
      </c>
      <c r="C10" s="72" t="str" cm="1">
        <f t="array" ref="C10">INDEX('Coverage matrix'!$B$6:$B$37,$M10)</f>
        <v>Supply-chain traceability (chain of custody)</v>
      </c>
      <c r="D10" s="72" t="str" cm="1">
        <f t="array" ref="D10">IF(INDEX('Coverage matrix'!$D$6:$D$37,$M10)=0,"",INDEX('Coverage matrix'!$D$6:$D$37,$M10))</f>
        <v/>
      </c>
      <c r="E10" s="71" cm="1">
        <f t="array" ref="E10">INDEX('Coverage matrix'!$AL$6:$AL$37,$M10)</f>
        <v>22</v>
      </c>
      <c r="F10" s="71" cm="1">
        <f t="array" ref="F10">INDEX('Coverage matrix'!$AQ$6:$AQ$37,$M10)</f>
        <v>3</v>
      </c>
      <c r="G10" s="71" t="str" cm="1">
        <f t="array" ref="G10">IF(INDEX('Coverage matrix'!$AM$6:$AM$37,$M10)=1,"✓","")</f>
        <v>✓</v>
      </c>
      <c r="H10" s="71" t="str" cm="1">
        <f t="array" ref="H10">IF(INDEX('Coverage matrix'!$AN$6:$AN$37,$M10)=1,"✓","")</f>
        <v>✓</v>
      </c>
      <c r="I10" s="71" t="str" cm="1">
        <f t="array" ref="I10">IF(INDEX('Coverage matrix'!$AO$6:$AO$37,$M10)=1,"✓","")</f>
        <v/>
      </c>
      <c r="J10" s="71" t="str" cm="1">
        <f t="array" ref="J10">IF(INDEX('Coverage matrix'!$AP$6:$AP$37,$M10)=1,"✓","")</f>
        <v>✓</v>
      </c>
      <c r="K10" s="71" t="str" cm="1">
        <f t="array" ref="K10">INDEX('Coverage matrix'!$AR$6:$AR$37,$M10)</f>
        <v>1 — Build first</v>
      </c>
      <c r="M10">
        <v>29</v>
      </c>
    </row>
    <row r="11" spans="2:13" ht="15" customHeight="1" x14ac:dyDescent="0.2">
      <c r="B11" s="71">
        <v>6</v>
      </c>
      <c r="C11" s="72" t="str" cm="1">
        <f t="array" ref="C11">INDEX('Coverage matrix'!$B$6:$B$37,$M11)</f>
        <v>E3-4</v>
      </c>
      <c r="D11" s="72" t="str" cm="1">
        <f t="array" ref="D11">IF(INDEX('Coverage matrix'!$D$6:$D$37,$M11)=0,"",INDEX('Coverage matrix'!$D$6:$D$37,$M11))</f>
        <v>Water consumption</v>
      </c>
      <c r="E11" s="71" cm="1">
        <f t="array" ref="E11">INDEX('Coverage matrix'!$AL$6:$AL$37,$M11)</f>
        <v>16</v>
      </c>
      <c r="F11" s="71" cm="1">
        <f t="array" ref="F11">INDEX('Coverage matrix'!$AQ$6:$AQ$37,$M11)</f>
        <v>3</v>
      </c>
      <c r="G11" s="71" t="str" cm="1">
        <f t="array" ref="G11">IF(INDEX('Coverage matrix'!$AM$6:$AM$37,$M11)=1,"✓","")</f>
        <v/>
      </c>
      <c r="H11" s="71" t="str" cm="1">
        <f t="array" ref="H11">IF(INDEX('Coverage matrix'!$AN$6:$AN$37,$M11)=1,"✓","")</f>
        <v>✓</v>
      </c>
      <c r="I11" s="71" t="str" cm="1">
        <f t="array" ref="I11">IF(INDEX('Coverage matrix'!$AO$6:$AO$37,$M11)=1,"✓","")</f>
        <v>✓</v>
      </c>
      <c r="J11" s="71" t="str" cm="1">
        <f t="array" ref="J11">IF(INDEX('Coverage matrix'!$AP$6:$AP$37,$M11)=1,"✓","")</f>
        <v>✓</v>
      </c>
      <c r="K11" s="71" t="str" cm="1">
        <f t="array" ref="K11">INDEX('Coverage matrix'!$AR$6:$AR$37,$M11)</f>
        <v>1 — Build first</v>
      </c>
      <c r="M11">
        <v>8</v>
      </c>
    </row>
    <row r="12" spans="2:13" ht="15" customHeight="1" x14ac:dyDescent="0.2">
      <c r="B12" s="71">
        <v>7</v>
      </c>
      <c r="C12" s="72" t="str" cm="1">
        <f t="array" ref="C12">INDEX('Coverage matrix'!$B$6:$B$37,$M12)</f>
        <v>S2-1</v>
      </c>
      <c r="D12" s="72" t="str" cm="1">
        <f t="array" ref="D12">IF(INDEX('Coverage matrix'!$D$6:$D$37,$M12)=0,"",INDEX('Coverage matrix'!$D$6:$D$37,$M12))</f>
        <v>Policies related to value chain workers</v>
      </c>
      <c r="E12" s="71" cm="1">
        <f t="array" ref="E12">INDEX('Coverage matrix'!$AL$6:$AL$37,$M12)</f>
        <v>15</v>
      </c>
      <c r="F12" s="71" cm="1">
        <f t="array" ref="F12">INDEX('Coverage matrix'!$AQ$6:$AQ$37,$M12)</f>
        <v>3</v>
      </c>
      <c r="G12" s="71" t="str" cm="1">
        <f t="array" ref="G12">IF(INDEX('Coverage matrix'!$AM$6:$AM$37,$M12)=1,"✓","")</f>
        <v>✓</v>
      </c>
      <c r="H12" s="71" t="str" cm="1">
        <f t="array" ref="H12">IF(INDEX('Coverage matrix'!$AN$6:$AN$37,$M12)=1,"✓","")</f>
        <v>✓</v>
      </c>
      <c r="I12" s="71" t="str" cm="1">
        <f t="array" ref="I12">IF(INDEX('Coverage matrix'!$AO$6:$AO$37,$M12)=1,"✓","")</f>
        <v/>
      </c>
      <c r="J12" s="71" t="str" cm="1">
        <f t="array" ref="J12">IF(INDEX('Coverage matrix'!$AP$6:$AP$37,$M12)=1,"✓","")</f>
        <v>✓</v>
      </c>
      <c r="K12" s="71" t="str" cm="1">
        <f t="array" ref="K12">INDEX('Coverage matrix'!$AR$6:$AR$37,$M12)</f>
        <v>1 — Build first</v>
      </c>
      <c r="M12">
        <v>24</v>
      </c>
    </row>
    <row r="13" spans="2:13" ht="15" customHeight="1" x14ac:dyDescent="0.2">
      <c r="B13" s="71">
        <v>8</v>
      </c>
      <c r="C13" s="72" t="str" cm="1">
        <f t="array" ref="C13">INDEX('Coverage matrix'!$B$6:$B$37,$M13)</f>
        <v>E1-5</v>
      </c>
      <c r="D13" s="72" t="str" cm="1">
        <f t="array" ref="D13">IF(INDEX('Coverage matrix'!$D$6:$D$37,$M13)=0,"",INDEX('Coverage matrix'!$D$6:$D$37,$M13))</f>
        <v>Energy consumption and mix</v>
      </c>
      <c r="E13" s="71" cm="1">
        <f t="array" ref="E13">INDEX('Coverage matrix'!$AL$6:$AL$37,$M13)</f>
        <v>12</v>
      </c>
      <c r="F13" s="71" cm="1">
        <f t="array" ref="F13">INDEX('Coverage matrix'!$AQ$6:$AQ$37,$M13)</f>
        <v>3</v>
      </c>
      <c r="G13" s="71" t="str" cm="1">
        <f t="array" ref="G13">IF(INDEX('Coverage matrix'!$AM$6:$AM$37,$M13)=1,"✓","")</f>
        <v/>
      </c>
      <c r="H13" s="71" t="str" cm="1">
        <f t="array" ref="H13">IF(INDEX('Coverage matrix'!$AN$6:$AN$37,$M13)=1,"✓","")</f>
        <v>✓</v>
      </c>
      <c r="I13" s="71" t="str" cm="1">
        <f t="array" ref="I13">IF(INDEX('Coverage matrix'!$AO$6:$AO$37,$M13)=1,"✓","")</f>
        <v>✓</v>
      </c>
      <c r="J13" s="71" t="str" cm="1">
        <f t="array" ref="J13">IF(INDEX('Coverage matrix'!$AP$6:$AP$37,$M13)=1,"✓","")</f>
        <v>✓</v>
      </c>
      <c r="K13" s="71" t="str" cm="1">
        <f t="array" ref="K13">INDEX('Coverage matrix'!$AR$6:$AR$37,$M13)</f>
        <v>1 — Build first</v>
      </c>
      <c r="M13">
        <v>3</v>
      </c>
    </row>
    <row r="14" spans="2:13" ht="15" customHeight="1" x14ac:dyDescent="0.2">
      <c r="B14" s="71">
        <v>9</v>
      </c>
      <c r="C14" s="72" t="str" cm="1">
        <f t="array" ref="C14">INDEX('Coverage matrix'!$B$6:$B$37,$M14)</f>
        <v>S1-14</v>
      </c>
      <c r="D14" s="72" t="str" cm="1">
        <f t="array" ref="D14">IF(INDEX('Coverage matrix'!$D$6:$D$37,$M14)=0,"",INDEX('Coverage matrix'!$D$6:$D$37,$M14))</f>
        <v>Health and safety metrics</v>
      </c>
      <c r="E14" s="71" cm="1">
        <f t="array" ref="E14">INDEX('Coverage matrix'!$AL$6:$AL$37,$M14)</f>
        <v>12</v>
      </c>
      <c r="F14" s="71" cm="1">
        <f t="array" ref="F14">INDEX('Coverage matrix'!$AQ$6:$AQ$37,$M14)</f>
        <v>3</v>
      </c>
      <c r="G14" s="71" t="str" cm="1">
        <f t="array" ref="G14">IF(INDEX('Coverage matrix'!$AM$6:$AM$37,$M14)=1,"✓","")</f>
        <v>✓</v>
      </c>
      <c r="H14" s="71" t="str" cm="1">
        <f t="array" ref="H14">IF(INDEX('Coverage matrix'!$AN$6:$AN$37,$M14)=1,"✓","")</f>
        <v>✓</v>
      </c>
      <c r="I14" s="71" t="str" cm="1">
        <f t="array" ref="I14">IF(INDEX('Coverage matrix'!$AO$6:$AO$37,$M14)=1,"✓","")</f>
        <v/>
      </c>
      <c r="J14" s="71" t="str" cm="1">
        <f t="array" ref="J14">IF(INDEX('Coverage matrix'!$AP$6:$AP$37,$M14)=1,"✓","")</f>
        <v>✓</v>
      </c>
      <c r="K14" s="71" t="str" cm="1">
        <f t="array" ref="K14">INDEX('Coverage matrix'!$AR$6:$AR$37,$M14)</f>
        <v>1 — Build first</v>
      </c>
      <c r="M14">
        <v>17</v>
      </c>
    </row>
    <row r="15" spans="2:13" ht="15" customHeight="1" x14ac:dyDescent="0.2">
      <c r="B15" s="71">
        <v>10</v>
      </c>
      <c r="C15" s="72" t="str" cm="1">
        <f t="array" ref="C15">INDEX('Coverage matrix'!$B$6:$B$37,$M15)</f>
        <v>S1-17</v>
      </c>
      <c r="D15" s="72" t="str" cm="1">
        <f t="array" ref="D15">IF(INDEX('Coverage matrix'!$D$6:$D$37,$M15)=0,"",INDEX('Coverage matrix'!$D$6:$D$37,$M15))</f>
        <v>Incidents, complaints and severe human rights impacts</v>
      </c>
      <c r="E15" s="71" cm="1">
        <f t="array" ref="E15">INDEX('Coverage matrix'!$AL$6:$AL$37,$M15)</f>
        <v>11</v>
      </c>
      <c r="F15" s="71" cm="1">
        <f t="array" ref="F15">INDEX('Coverage matrix'!$AQ$6:$AQ$37,$M15)</f>
        <v>4</v>
      </c>
      <c r="G15" s="71" t="str" cm="1">
        <f t="array" ref="G15">IF(INDEX('Coverage matrix'!$AM$6:$AM$37,$M15)=1,"✓","")</f>
        <v>✓</v>
      </c>
      <c r="H15" s="71" t="str" cm="1">
        <f t="array" ref="H15">IF(INDEX('Coverage matrix'!$AN$6:$AN$37,$M15)=1,"✓","")</f>
        <v>✓</v>
      </c>
      <c r="I15" s="71" t="str" cm="1">
        <f t="array" ref="I15">IF(INDEX('Coverage matrix'!$AO$6:$AO$37,$M15)=1,"✓","")</f>
        <v>✓</v>
      </c>
      <c r="J15" s="71" t="str" cm="1">
        <f t="array" ref="J15">IF(INDEX('Coverage matrix'!$AP$6:$AP$37,$M15)=1,"✓","")</f>
        <v>✓</v>
      </c>
      <c r="K15" s="71" t="str" cm="1">
        <f t="array" ref="K15">INDEX('Coverage matrix'!$AR$6:$AR$37,$M15)</f>
        <v>2 — Next</v>
      </c>
      <c r="M15">
        <v>18</v>
      </c>
    </row>
    <row r="16" spans="2:13" ht="15" customHeight="1" x14ac:dyDescent="0.2">
      <c r="B16" s="71">
        <v>11</v>
      </c>
      <c r="C16" s="72" t="str" cm="1">
        <f t="array" ref="C16">INDEX('Coverage matrix'!$B$6:$B$37,$M16)</f>
        <v>G1-1</v>
      </c>
      <c r="D16" s="72" t="str" cm="1">
        <f t="array" ref="D16">IF(INDEX('Coverage matrix'!$D$6:$D$37,$M16)=0,"",INDEX('Coverage matrix'!$D$6:$D$37,$M16))</f>
        <v>Corporate culture and business conduct policies and corporate culture</v>
      </c>
      <c r="E16" s="71" cm="1">
        <f t="array" ref="E16">INDEX('Coverage matrix'!$AL$6:$AL$37,$M16)</f>
        <v>9</v>
      </c>
      <c r="F16" s="71" cm="1">
        <f t="array" ref="F16">INDEX('Coverage matrix'!$AQ$6:$AQ$37,$M16)</f>
        <v>4</v>
      </c>
      <c r="G16" s="71" t="str" cm="1">
        <f t="array" ref="G16">IF(INDEX('Coverage matrix'!$AM$6:$AM$37,$M16)=1,"✓","")</f>
        <v>✓</v>
      </c>
      <c r="H16" s="71" t="str" cm="1">
        <f t="array" ref="H16">IF(INDEX('Coverage matrix'!$AN$6:$AN$37,$M16)=1,"✓","")</f>
        <v>✓</v>
      </c>
      <c r="I16" s="71" t="str" cm="1">
        <f t="array" ref="I16">IF(INDEX('Coverage matrix'!$AO$6:$AO$37,$M16)=1,"✓","")</f>
        <v>✓</v>
      </c>
      <c r="J16" s="71" t="str" cm="1">
        <f t="array" ref="J16">IF(INDEX('Coverage matrix'!$AP$6:$AP$37,$M16)=1,"✓","")</f>
        <v>✓</v>
      </c>
      <c r="K16" s="71" t="str" cm="1">
        <f t="array" ref="K16">INDEX('Coverage matrix'!$AR$6:$AR$37,$M16)</f>
        <v>2 — Next</v>
      </c>
      <c r="M16">
        <v>12</v>
      </c>
    </row>
    <row r="17" spans="2:13" ht="15" customHeight="1" x14ac:dyDescent="0.2">
      <c r="B17" s="71">
        <v>12</v>
      </c>
      <c r="C17" s="72" t="str" cm="1">
        <f t="array" ref="C17">INDEX('Coverage matrix'!$B$6:$B$37,$M17)</f>
        <v>E1-3</v>
      </c>
      <c r="D17" s="72" t="str" cm="1">
        <f t="array" ref="D17">IF(INDEX('Coverage matrix'!$D$6:$D$37,$M17)=0,"",INDEX('Coverage matrix'!$D$6:$D$37,$M17))</f>
        <v>Actions and resources in relation to climate change policies</v>
      </c>
      <c r="E17" s="71" cm="1">
        <f t="array" ref="E17">INDEX('Coverage matrix'!$AL$6:$AL$37,$M17)</f>
        <v>7</v>
      </c>
      <c r="F17" s="71" cm="1">
        <f t="array" ref="F17">INDEX('Coverage matrix'!$AQ$6:$AQ$37,$M17)</f>
        <v>4</v>
      </c>
      <c r="G17" s="71" t="str" cm="1">
        <f t="array" ref="G17">IF(INDEX('Coverage matrix'!$AM$6:$AM$37,$M17)=1,"✓","")</f>
        <v>✓</v>
      </c>
      <c r="H17" s="71" t="str" cm="1">
        <f t="array" ref="H17">IF(INDEX('Coverage matrix'!$AN$6:$AN$37,$M17)=1,"✓","")</f>
        <v>✓</v>
      </c>
      <c r="I17" s="71" t="str" cm="1">
        <f t="array" ref="I17">IF(INDEX('Coverage matrix'!$AO$6:$AO$37,$M17)=1,"✓","")</f>
        <v>✓</v>
      </c>
      <c r="J17" s="71" t="str" cm="1">
        <f t="array" ref="J17">IF(INDEX('Coverage matrix'!$AP$6:$AP$37,$M17)=1,"✓","")</f>
        <v>✓</v>
      </c>
      <c r="K17" s="71" t="str" cm="1">
        <f t="array" ref="K17">INDEX('Coverage matrix'!$AR$6:$AR$37,$M17)</f>
        <v>2 — Next</v>
      </c>
      <c r="M17">
        <v>1</v>
      </c>
    </row>
    <row r="18" spans="2:13" ht="15" customHeight="1" x14ac:dyDescent="0.2">
      <c r="B18" s="71">
        <v>13</v>
      </c>
      <c r="C18" s="72" t="str" cm="1">
        <f t="array" ref="C18">INDEX('Coverage matrix'!$B$6:$B$37,$M18)</f>
        <v>Feed &amp; marine ingredients sourcing</v>
      </c>
      <c r="D18" s="72" t="str" cm="1">
        <f t="array" ref="D18">IF(INDEX('Coverage matrix'!$D$6:$D$37,$M18)=0,"",INDEX('Coverage matrix'!$D$6:$D$37,$M18))</f>
        <v/>
      </c>
      <c r="E18" s="71" cm="1">
        <f t="array" ref="E18">INDEX('Coverage matrix'!$AL$6:$AL$37,$M18)</f>
        <v>10</v>
      </c>
      <c r="F18" s="71" cm="1">
        <f t="array" ref="F18">INDEX('Coverage matrix'!$AQ$6:$AQ$37,$M18)</f>
        <v>3</v>
      </c>
      <c r="G18" s="71" t="str" cm="1">
        <f t="array" ref="G18">IF(INDEX('Coverage matrix'!$AM$6:$AM$37,$M18)=1,"✓","")</f>
        <v>✓</v>
      </c>
      <c r="H18" s="71" t="str" cm="1">
        <f t="array" ref="H18">IF(INDEX('Coverage matrix'!$AN$6:$AN$37,$M18)=1,"✓","")</f>
        <v>✓</v>
      </c>
      <c r="I18" s="71" t="str" cm="1">
        <f t="array" ref="I18">IF(INDEX('Coverage matrix'!$AO$6:$AO$37,$M18)=1,"✓","")</f>
        <v/>
      </c>
      <c r="J18" s="71" t="str" cm="1">
        <f t="array" ref="J18">IF(INDEX('Coverage matrix'!$AP$6:$AP$37,$M18)=1,"✓","")</f>
        <v>✓</v>
      </c>
      <c r="K18" s="71" t="str" cm="1">
        <f t="array" ref="K18">INDEX('Coverage matrix'!$AR$6:$AR$37,$M18)</f>
        <v>2 — Next</v>
      </c>
      <c r="M18">
        <v>31</v>
      </c>
    </row>
    <row r="19" spans="2:13" ht="15" customHeight="1" x14ac:dyDescent="0.2">
      <c r="B19" s="71">
        <v>14</v>
      </c>
      <c r="C19" s="72" t="str" cm="1">
        <f t="array" ref="C19">INDEX('Coverage matrix'!$B$6:$B$37,$M19)</f>
        <v>E1-4</v>
      </c>
      <c r="D19" s="72" t="str" cm="1">
        <f t="array" ref="D19">IF(INDEX('Coverage matrix'!$D$6:$D$37,$M19)=0,"",INDEX('Coverage matrix'!$D$6:$D$37,$M19))</f>
        <v>Targets related to climate change mitigation and adaptation</v>
      </c>
      <c r="E19" s="71" cm="1">
        <f t="array" ref="E19">INDEX('Coverage matrix'!$AL$6:$AL$37,$M19)</f>
        <v>8</v>
      </c>
      <c r="F19" s="71" cm="1">
        <f t="array" ref="F19">INDEX('Coverage matrix'!$AQ$6:$AQ$37,$M19)</f>
        <v>3</v>
      </c>
      <c r="G19" s="71" t="str" cm="1">
        <f t="array" ref="G19">IF(INDEX('Coverage matrix'!$AM$6:$AM$37,$M19)=1,"✓","")</f>
        <v/>
      </c>
      <c r="H19" s="71" t="str" cm="1">
        <f t="array" ref="H19">IF(INDEX('Coverage matrix'!$AN$6:$AN$37,$M19)=1,"✓","")</f>
        <v>✓</v>
      </c>
      <c r="I19" s="71" t="str" cm="1">
        <f t="array" ref="I19">IF(INDEX('Coverage matrix'!$AO$6:$AO$37,$M19)=1,"✓","")</f>
        <v>✓</v>
      </c>
      <c r="J19" s="71" t="str" cm="1">
        <f t="array" ref="J19">IF(INDEX('Coverage matrix'!$AP$6:$AP$37,$M19)=1,"✓","")</f>
        <v>✓</v>
      </c>
      <c r="K19" s="71" t="str" cm="1">
        <f t="array" ref="K19">INDEX('Coverage matrix'!$AR$6:$AR$37,$M19)</f>
        <v>2 — Next</v>
      </c>
      <c r="M19">
        <v>2</v>
      </c>
    </row>
    <row r="20" spans="2:13" ht="15" customHeight="1" x14ac:dyDescent="0.2">
      <c r="B20" s="71">
        <v>15</v>
      </c>
      <c r="C20" s="72" t="str" cm="1">
        <f t="array" ref="C20">INDEX('Coverage matrix'!$B$6:$B$37,$M20)</f>
        <v>Consumers &amp; end-users (S4)</v>
      </c>
      <c r="D20" s="72" t="str" cm="1">
        <f t="array" ref="D20">IF(INDEX('Coverage matrix'!$D$6:$D$37,$M20)=0,"",INDEX('Coverage matrix'!$D$6:$D$37,$M20))</f>
        <v/>
      </c>
      <c r="E20" s="71" cm="1">
        <f t="array" ref="E20">INDEX('Coverage matrix'!$AL$6:$AL$37,$M20)</f>
        <v>8</v>
      </c>
      <c r="F20" s="71" cm="1">
        <f t="array" ref="F20">INDEX('Coverage matrix'!$AQ$6:$AQ$37,$M20)</f>
        <v>3</v>
      </c>
      <c r="G20" s="71" t="str" cm="1">
        <f t="array" ref="G20">IF(INDEX('Coverage matrix'!$AM$6:$AM$37,$M20)=1,"✓","")</f>
        <v>✓</v>
      </c>
      <c r="H20" s="71" t="str" cm="1">
        <f t="array" ref="H20">IF(INDEX('Coverage matrix'!$AN$6:$AN$37,$M20)=1,"✓","")</f>
        <v>✓</v>
      </c>
      <c r="I20" s="71" t="str" cm="1">
        <f t="array" ref="I20">IF(INDEX('Coverage matrix'!$AO$6:$AO$37,$M20)=1,"✓","")</f>
        <v/>
      </c>
      <c r="J20" s="71" t="str" cm="1">
        <f t="array" ref="J20">IF(INDEX('Coverage matrix'!$AP$6:$AP$37,$M20)=1,"✓","")</f>
        <v>✓</v>
      </c>
      <c r="K20" s="71" t="str" cm="1">
        <f t="array" ref="K20">INDEX('Coverage matrix'!$AR$6:$AR$37,$M20)</f>
        <v>2 — Next</v>
      </c>
      <c r="M20">
        <v>28</v>
      </c>
    </row>
    <row r="21" spans="2:13" ht="15" customHeight="1" x14ac:dyDescent="0.2">
      <c r="B21" s="71">
        <v>16</v>
      </c>
      <c r="C21" s="72" t="str" cm="1">
        <f t="array" ref="C21">INDEX('Coverage matrix'!$B$6:$B$37,$M21)</f>
        <v>S1-9</v>
      </c>
      <c r="D21" s="72" t="str" cm="1">
        <f t="array" ref="D21">IF(INDEX('Coverage matrix'!$D$6:$D$37,$M21)=0,"",INDEX('Coverage matrix'!$D$6:$D$37,$M21))</f>
        <v>Diversity metrics</v>
      </c>
      <c r="E21" s="71" cm="1">
        <f t="array" ref="E21">INDEX('Coverage matrix'!$AL$6:$AL$37,$M21)</f>
        <v>7</v>
      </c>
      <c r="F21" s="71" cm="1">
        <f t="array" ref="F21">INDEX('Coverage matrix'!$AQ$6:$AQ$37,$M21)</f>
        <v>3</v>
      </c>
      <c r="G21" s="71" t="str" cm="1">
        <f t="array" ref="G21">IF(INDEX('Coverage matrix'!$AM$6:$AM$37,$M21)=1,"✓","")</f>
        <v/>
      </c>
      <c r="H21" s="71" t="str" cm="1">
        <f t="array" ref="H21">IF(INDEX('Coverage matrix'!$AN$6:$AN$37,$M21)=1,"✓","")</f>
        <v>✓</v>
      </c>
      <c r="I21" s="71" t="str" cm="1">
        <f t="array" ref="I21">IF(INDEX('Coverage matrix'!$AO$6:$AO$37,$M21)=1,"✓","")</f>
        <v>✓</v>
      </c>
      <c r="J21" s="71" t="str" cm="1">
        <f t="array" ref="J21">IF(INDEX('Coverage matrix'!$AP$6:$AP$37,$M21)=1,"✓","")</f>
        <v>✓</v>
      </c>
      <c r="K21" s="71" t="str" cm="1">
        <f t="array" ref="K21">INDEX('Coverage matrix'!$AR$6:$AR$37,$M21)</f>
        <v>2 — Next</v>
      </c>
      <c r="M21">
        <v>23</v>
      </c>
    </row>
    <row r="22" spans="2:13" ht="15" customHeight="1" x14ac:dyDescent="0.2">
      <c r="B22" s="71">
        <v>17</v>
      </c>
      <c r="C22" s="72" t="str" cm="1">
        <f t="array" ref="C22">INDEX('Coverage matrix'!$B$6:$B$37,$M22)</f>
        <v>E5-2</v>
      </c>
      <c r="D22" s="72" t="str" cm="1">
        <f t="array" ref="D22">IF(INDEX('Coverage matrix'!$D$6:$D$37,$M22)=0,"",INDEX('Coverage matrix'!$D$6:$D$37,$M22))</f>
        <v>Actions and resources related to resource use and circular economy</v>
      </c>
      <c r="E22" s="71" cm="1">
        <f t="array" ref="E22">INDEX('Coverage matrix'!$AL$6:$AL$37,$M22)</f>
        <v>4</v>
      </c>
      <c r="F22" s="71" cm="1">
        <f t="array" ref="F22">INDEX('Coverage matrix'!$AQ$6:$AQ$37,$M22)</f>
        <v>3</v>
      </c>
      <c r="G22" s="71" t="str" cm="1">
        <f t="array" ref="G22">IF(INDEX('Coverage matrix'!$AM$6:$AM$37,$M22)=1,"✓","")</f>
        <v>✓</v>
      </c>
      <c r="H22" s="71" t="str" cm="1">
        <f t="array" ref="H22">IF(INDEX('Coverage matrix'!$AN$6:$AN$37,$M22)=1,"✓","")</f>
        <v>✓</v>
      </c>
      <c r="I22" s="71" t="str" cm="1">
        <f t="array" ref="I22">IF(INDEX('Coverage matrix'!$AO$6:$AO$37,$M22)=1,"✓","")</f>
        <v/>
      </c>
      <c r="J22" s="71" t="str" cm="1">
        <f t="array" ref="J22">IF(INDEX('Coverage matrix'!$AP$6:$AP$37,$M22)=1,"✓","")</f>
        <v>✓</v>
      </c>
      <c r="K22" s="71" t="str" cm="1">
        <f t="array" ref="K22">INDEX('Coverage matrix'!$AR$6:$AR$37,$M22)</f>
        <v>2 — Next</v>
      </c>
      <c r="M22">
        <v>9</v>
      </c>
    </row>
    <row r="23" spans="2:13" ht="15" customHeight="1" x14ac:dyDescent="0.2">
      <c r="B23" s="71">
        <v>18</v>
      </c>
      <c r="C23" s="72" t="str" cm="1">
        <f t="array" ref="C23">INDEX('Coverage matrix'!$B$6:$B$37,$M23)</f>
        <v>E5-4</v>
      </c>
      <c r="D23" s="72" t="str" cm="1">
        <f t="array" ref="D23">IF(INDEX('Coverage matrix'!$D$6:$D$37,$M23)=0,"",INDEX('Coverage matrix'!$D$6:$D$37,$M23))</f>
        <v>Resource inflows</v>
      </c>
      <c r="E23" s="71" cm="1">
        <f t="array" ref="E23">INDEX('Coverage matrix'!$AL$6:$AL$37,$M23)</f>
        <v>4</v>
      </c>
      <c r="F23" s="71" cm="1">
        <f t="array" ref="F23">INDEX('Coverage matrix'!$AQ$6:$AQ$37,$M23)</f>
        <v>3</v>
      </c>
      <c r="G23" s="71" t="str" cm="1">
        <f t="array" ref="G23">IF(INDEX('Coverage matrix'!$AM$6:$AM$37,$M23)=1,"✓","")</f>
        <v>✓</v>
      </c>
      <c r="H23" s="71" t="str" cm="1">
        <f t="array" ref="H23">IF(INDEX('Coverage matrix'!$AN$6:$AN$37,$M23)=1,"✓","")</f>
        <v>✓</v>
      </c>
      <c r="I23" s="71" t="str" cm="1">
        <f t="array" ref="I23">IF(INDEX('Coverage matrix'!$AO$6:$AO$37,$M23)=1,"✓","")</f>
        <v/>
      </c>
      <c r="J23" s="71" t="str" cm="1">
        <f t="array" ref="J23">IF(INDEX('Coverage matrix'!$AP$6:$AP$37,$M23)=1,"✓","")</f>
        <v>✓</v>
      </c>
      <c r="K23" s="71" t="str" cm="1">
        <f t="array" ref="K23">INDEX('Coverage matrix'!$AR$6:$AR$37,$M23)</f>
        <v>2 — Next</v>
      </c>
      <c r="M23">
        <v>10</v>
      </c>
    </row>
    <row r="24" spans="2:13" ht="15" customHeight="1" x14ac:dyDescent="0.2">
      <c r="B24" s="71">
        <v>19</v>
      </c>
      <c r="C24" s="72" t="str" cm="1">
        <f t="array" ref="C24">INDEX('Coverage matrix'!$B$6:$B$37,$M24)</f>
        <v>S1-1</v>
      </c>
      <c r="D24" s="72" t="str" cm="1">
        <f t="array" ref="D24">IF(INDEX('Coverage matrix'!$D$6:$D$37,$M24)=0,"",INDEX('Coverage matrix'!$D$6:$D$37,$M24))</f>
        <v>Policies related to own workforce</v>
      </c>
      <c r="E24" s="71" cm="1">
        <f t="array" ref="E24">INDEX('Coverage matrix'!$AL$6:$AL$37,$M24)</f>
        <v>9</v>
      </c>
      <c r="F24" s="71" cm="1">
        <f t="array" ref="F24">INDEX('Coverage matrix'!$AQ$6:$AQ$37,$M24)</f>
        <v>2</v>
      </c>
      <c r="G24" s="71" t="str" cm="1">
        <f t="array" ref="G24">IF(INDEX('Coverage matrix'!$AM$6:$AM$37,$M24)=1,"✓","")</f>
        <v/>
      </c>
      <c r="H24" s="71" t="str" cm="1">
        <f t="array" ref="H24">IF(INDEX('Coverage matrix'!$AN$6:$AN$37,$M24)=1,"✓","")</f>
        <v>✓</v>
      </c>
      <c r="I24" s="71" t="str" cm="1">
        <f t="array" ref="I24">IF(INDEX('Coverage matrix'!$AO$6:$AO$37,$M24)=1,"✓","")</f>
        <v/>
      </c>
      <c r="J24" s="71" t="str" cm="1">
        <f t="array" ref="J24">IF(INDEX('Coverage matrix'!$AP$6:$AP$37,$M24)=1,"✓","")</f>
        <v>✓</v>
      </c>
      <c r="K24" s="71" t="str" cm="1">
        <f t="array" ref="K24">INDEX('Coverage matrix'!$AR$6:$AR$37,$M24)</f>
        <v>3 — Monitor</v>
      </c>
      <c r="M24">
        <v>16</v>
      </c>
    </row>
    <row r="25" spans="2:13" ht="15" customHeight="1" x14ac:dyDescent="0.2">
      <c r="B25" s="71">
        <v>20</v>
      </c>
      <c r="C25" s="72" t="str" cm="1">
        <f t="array" ref="C25">INDEX('Coverage matrix'!$B$6:$B$37,$M25)</f>
        <v>Animal health &amp; welfare (incl. antimicrobial use)</v>
      </c>
      <c r="D25" s="72" t="str" cm="1">
        <f t="array" ref="D25">IF(INDEX('Coverage matrix'!$D$6:$D$37,$M25)=0,"",INDEX('Coverage matrix'!$D$6:$D$37,$M25))</f>
        <v/>
      </c>
      <c r="E25" s="71" cm="1">
        <f t="array" ref="E25">INDEX('Coverage matrix'!$AL$6:$AL$37,$M25)</f>
        <v>9</v>
      </c>
      <c r="F25" s="71" cm="1">
        <f t="array" ref="F25">INDEX('Coverage matrix'!$AQ$6:$AQ$37,$M25)</f>
        <v>2</v>
      </c>
      <c r="G25" s="71" t="str" cm="1">
        <f t="array" ref="G25">IF(INDEX('Coverage matrix'!$AM$6:$AM$37,$M25)=1,"✓","")</f>
        <v/>
      </c>
      <c r="H25" s="71" t="str" cm="1">
        <f t="array" ref="H25">IF(INDEX('Coverage matrix'!$AN$6:$AN$37,$M25)=1,"✓","")</f>
        <v>✓</v>
      </c>
      <c r="I25" s="71" t="str" cm="1">
        <f t="array" ref="I25">IF(INDEX('Coverage matrix'!$AO$6:$AO$37,$M25)=1,"✓","")</f>
        <v/>
      </c>
      <c r="J25" s="71" t="str" cm="1">
        <f t="array" ref="J25">IF(INDEX('Coverage matrix'!$AP$6:$AP$37,$M25)=1,"✓","")</f>
        <v>✓</v>
      </c>
      <c r="K25" s="71" t="str" cm="1">
        <f t="array" ref="K25">INDEX('Coverage matrix'!$AR$6:$AR$37,$M25)</f>
        <v>3 — Monitor</v>
      </c>
      <c r="M25">
        <v>32</v>
      </c>
    </row>
    <row r="26" spans="2:13" ht="15" customHeight="1" x14ac:dyDescent="0.2">
      <c r="B26" s="71">
        <v>21</v>
      </c>
      <c r="C26" s="72" t="str" cm="1">
        <f t="array" ref="C26">INDEX('Coverage matrix'!$B$6:$B$37,$M26)</f>
        <v>E3-1</v>
      </c>
      <c r="D26" s="72" t="str" cm="1">
        <f t="array" ref="D26">IF(INDEX('Coverage matrix'!$D$6:$D$37,$M26)=0,"",INDEX('Coverage matrix'!$D$6:$D$37,$M26))</f>
        <v>Policies related to water and marine resources</v>
      </c>
      <c r="E26" s="71" cm="1">
        <f t="array" ref="E26">INDEX('Coverage matrix'!$AL$6:$AL$37,$M26)</f>
        <v>6</v>
      </c>
      <c r="F26" s="71" cm="1">
        <f t="array" ref="F26">INDEX('Coverage matrix'!$AQ$6:$AQ$37,$M26)</f>
        <v>2</v>
      </c>
      <c r="G26" s="71" t="str" cm="1">
        <f t="array" ref="G26">IF(INDEX('Coverage matrix'!$AM$6:$AM$37,$M26)=1,"✓","")</f>
        <v/>
      </c>
      <c r="H26" s="71" t="str" cm="1">
        <f t="array" ref="H26">IF(INDEX('Coverage matrix'!$AN$6:$AN$37,$M26)=1,"✓","")</f>
        <v>✓</v>
      </c>
      <c r="I26" s="71" t="str" cm="1">
        <f t="array" ref="I26">IF(INDEX('Coverage matrix'!$AO$6:$AO$37,$M26)=1,"✓","")</f>
        <v/>
      </c>
      <c r="J26" s="71" t="str" cm="1">
        <f t="array" ref="J26">IF(INDEX('Coverage matrix'!$AP$6:$AP$37,$M26)=1,"✓","")</f>
        <v>✓</v>
      </c>
      <c r="K26" s="71" t="str" cm="1">
        <f t="array" ref="K26">INDEX('Coverage matrix'!$AR$6:$AR$37,$M26)</f>
        <v>3 — Monitor</v>
      </c>
      <c r="M26">
        <v>5</v>
      </c>
    </row>
    <row r="27" spans="2:13" ht="15" customHeight="1" x14ac:dyDescent="0.2">
      <c r="B27" s="71">
        <v>22</v>
      </c>
      <c r="C27" s="72" t="str" cm="1">
        <f t="array" ref="C27">INDEX('Coverage matrix'!$B$6:$B$37,$M27)</f>
        <v>S1-6</v>
      </c>
      <c r="D27" s="72" t="str" cm="1">
        <f t="array" ref="D27">IF(INDEX('Coverage matrix'!$D$6:$D$37,$M27)=0,"",INDEX('Coverage matrix'!$D$6:$D$37,$M27))</f>
        <v>Characteristics of the undertaking’s employees</v>
      </c>
      <c r="E27" s="71" cm="1">
        <f t="array" ref="E27">INDEX('Coverage matrix'!$AL$6:$AL$37,$M27)</f>
        <v>6</v>
      </c>
      <c r="F27" s="71" cm="1">
        <f t="array" ref="F27">INDEX('Coverage matrix'!$AQ$6:$AQ$37,$M27)</f>
        <v>2</v>
      </c>
      <c r="G27" s="71" t="str" cm="1">
        <f t="array" ref="G27">IF(INDEX('Coverage matrix'!$AM$6:$AM$37,$M27)=1,"✓","")</f>
        <v/>
      </c>
      <c r="H27" s="71" t="str" cm="1">
        <f t="array" ref="H27">IF(INDEX('Coverage matrix'!$AN$6:$AN$37,$M27)=1,"✓","")</f>
        <v>✓</v>
      </c>
      <c r="I27" s="71" t="str" cm="1">
        <f t="array" ref="I27">IF(INDEX('Coverage matrix'!$AO$6:$AO$37,$M27)=1,"✓","")</f>
        <v/>
      </c>
      <c r="J27" s="71" t="str" cm="1">
        <f t="array" ref="J27">IF(INDEX('Coverage matrix'!$AP$6:$AP$37,$M27)=1,"✓","")</f>
        <v>✓</v>
      </c>
      <c r="K27" s="71" t="str" cm="1">
        <f t="array" ref="K27">INDEX('Coverage matrix'!$AR$6:$AR$37,$M27)</f>
        <v>3 — Monitor</v>
      </c>
      <c r="M27">
        <v>22</v>
      </c>
    </row>
    <row r="28" spans="2:13" ht="15" customHeight="1" x14ac:dyDescent="0.2">
      <c r="B28" s="71">
        <v>23</v>
      </c>
      <c r="C28" s="72" t="str" cm="1">
        <f t="array" ref="C28">INDEX('Coverage matrix'!$B$6:$B$37,$M28)</f>
        <v>G1-3</v>
      </c>
      <c r="D28" s="72" t="str" cm="1">
        <f t="array" ref="D28">IF(INDEX('Coverage matrix'!$D$6:$D$37,$M28)=0,"",INDEX('Coverage matrix'!$D$6:$D$37,$M28))</f>
        <v>Prevention and detection of corruption and bribery</v>
      </c>
      <c r="E28" s="71" cm="1">
        <f t="array" ref="E28">INDEX('Coverage matrix'!$AL$6:$AL$37,$M28)</f>
        <v>5</v>
      </c>
      <c r="F28" s="71" cm="1">
        <f t="array" ref="F28">INDEX('Coverage matrix'!$AQ$6:$AQ$37,$M28)</f>
        <v>2</v>
      </c>
      <c r="G28" s="71" t="str" cm="1">
        <f t="array" ref="G28">IF(INDEX('Coverage matrix'!$AM$6:$AM$37,$M28)=1,"✓","")</f>
        <v/>
      </c>
      <c r="H28" s="71" t="str" cm="1">
        <f t="array" ref="H28">IF(INDEX('Coverage matrix'!$AN$6:$AN$37,$M28)=1,"✓","")</f>
        <v>✓</v>
      </c>
      <c r="I28" s="71" t="str" cm="1">
        <f t="array" ref="I28">IF(INDEX('Coverage matrix'!$AO$6:$AO$37,$M28)=1,"✓","")</f>
        <v/>
      </c>
      <c r="J28" s="71" t="str" cm="1">
        <f t="array" ref="J28">IF(INDEX('Coverage matrix'!$AP$6:$AP$37,$M28)=1,"✓","")</f>
        <v>✓</v>
      </c>
      <c r="K28" s="71" t="str" cm="1">
        <f t="array" ref="K28">INDEX('Coverage matrix'!$AR$6:$AR$37,$M28)</f>
        <v>3 — Monitor</v>
      </c>
      <c r="M28">
        <v>13</v>
      </c>
    </row>
    <row r="29" spans="2:13" ht="15" customHeight="1" x14ac:dyDescent="0.2">
      <c r="B29" s="71">
        <v>24</v>
      </c>
      <c r="C29" s="72" t="str" cm="1">
        <f t="array" ref="C29">INDEX('Coverage matrix'!$B$6:$B$37,$M29)</f>
        <v>S1-2</v>
      </c>
      <c r="D29" s="72" t="str" cm="1">
        <f t="array" ref="D29">IF(INDEX('Coverage matrix'!$D$6:$D$37,$M29)=0,"",INDEX('Coverage matrix'!$D$6:$D$37,$M29))</f>
        <v>Processes for engaging with own workers and workers’ representatives about impacts</v>
      </c>
      <c r="E29" s="71" cm="1">
        <f t="array" ref="E29">INDEX('Coverage matrix'!$AL$6:$AL$37,$M29)</f>
        <v>5</v>
      </c>
      <c r="F29" s="71" cm="1">
        <f t="array" ref="F29">INDEX('Coverage matrix'!$AQ$6:$AQ$37,$M29)</f>
        <v>2</v>
      </c>
      <c r="G29" s="71" t="str" cm="1">
        <f t="array" ref="G29">IF(INDEX('Coverage matrix'!$AM$6:$AM$37,$M29)=1,"✓","")</f>
        <v>✓</v>
      </c>
      <c r="H29" s="71" t="str" cm="1">
        <f t="array" ref="H29">IF(INDEX('Coverage matrix'!$AN$6:$AN$37,$M29)=1,"✓","")</f>
        <v>✓</v>
      </c>
      <c r="I29" s="71" t="str" cm="1">
        <f t="array" ref="I29">IF(INDEX('Coverage matrix'!$AO$6:$AO$37,$M29)=1,"✓","")</f>
        <v/>
      </c>
      <c r="J29" s="71" t="str" cm="1">
        <f t="array" ref="J29">IF(INDEX('Coverage matrix'!$AP$6:$AP$37,$M29)=1,"✓","")</f>
        <v/>
      </c>
      <c r="K29" s="71" t="str" cm="1">
        <f t="array" ref="K29">INDEX('Coverage matrix'!$AR$6:$AR$37,$M29)</f>
        <v>3 — Monitor</v>
      </c>
      <c r="M29">
        <v>19</v>
      </c>
    </row>
    <row r="30" spans="2:13" ht="15" customHeight="1" x14ac:dyDescent="0.2">
      <c r="B30" s="71">
        <v>25</v>
      </c>
      <c r="C30" s="72" t="str" cm="1">
        <f t="array" ref="C30">INDEX('Coverage matrix'!$B$6:$B$37,$M30)</f>
        <v>S1-3</v>
      </c>
      <c r="D30" s="72" t="str" cm="1">
        <f t="array" ref="D30">IF(INDEX('Coverage matrix'!$D$6:$D$37,$M30)=0,"",INDEX('Coverage matrix'!$D$6:$D$37,$M30))</f>
        <v>Processes to remediate negative impacts and channels for own workers to raise concerns</v>
      </c>
      <c r="E30" s="71" cm="1">
        <f t="array" ref="E30">INDEX('Coverage matrix'!$AL$6:$AL$37,$M30)</f>
        <v>5</v>
      </c>
      <c r="F30" s="71" cm="1">
        <f t="array" ref="F30">INDEX('Coverage matrix'!$AQ$6:$AQ$37,$M30)</f>
        <v>2</v>
      </c>
      <c r="G30" s="71" t="str" cm="1">
        <f t="array" ref="G30">IF(INDEX('Coverage matrix'!$AM$6:$AM$37,$M30)=1,"✓","")</f>
        <v>✓</v>
      </c>
      <c r="H30" s="71" t="str" cm="1">
        <f t="array" ref="H30">IF(INDEX('Coverage matrix'!$AN$6:$AN$37,$M30)=1,"✓","")</f>
        <v>✓</v>
      </c>
      <c r="I30" s="71" t="str" cm="1">
        <f t="array" ref="I30">IF(INDEX('Coverage matrix'!$AO$6:$AO$37,$M30)=1,"✓","")</f>
        <v/>
      </c>
      <c r="J30" s="71" t="str" cm="1">
        <f t="array" ref="J30">IF(INDEX('Coverage matrix'!$AP$6:$AP$37,$M30)=1,"✓","")</f>
        <v/>
      </c>
      <c r="K30" s="71" t="str" cm="1">
        <f t="array" ref="K30">INDEX('Coverage matrix'!$AR$6:$AR$37,$M30)</f>
        <v>3 — Monitor</v>
      </c>
      <c r="M30">
        <v>20</v>
      </c>
    </row>
    <row r="31" spans="2:13" ht="15" customHeight="1" x14ac:dyDescent="0.2">
      <c r="B31" s="71">
        <v>26</v>
      </c>
      <c r="C31" s="72" t="str" cm="1">
        <f t="array" ref="C31">INDEX('Coverage matrix'!$B$6:$B$37,$M31)</f>
        <v>G1-4</v>
      </c>
      <c r="D31" s="72" t="str" cm="1">
        <f t="array" ref="D31">IF(INDEX('Coverage matrix'!$D$6:$D$37,$M31)=0,"",INDEX('Coverage matrix'!$D$6:$D$37,$M31))</f>
        <v>Confirmed incidents of corruption or bribery</v>
      </c>
      <c r="E31" s="71" cm="1">
        <f t="array" ref="E31">INDEX('Coverage matrix'!$AL$6:$AL$37,$M31)</f>
        <v>4</v>
      </c>
      <c r="F31" s="71" cm="1">
        <f t="array" ref="F31">INDEX('Coverage matrix'!$AQ$6:$AQ$37,$M31)</f>
        <v>2</v>
      </c>
      <c r="G31" s="71" t="str" cm="1">
        <f t="array" ref="G31">IF(INDEX('Coverage matrix'!$AM$6:$AM$37,$M31)=1,"✓","")</f>
        <v/>
      </c>
      <c r="H31" s="71" t="str" cm="1">
        <f t="array" ref="H31">IF(INDEX('Coverage matrix'!$AN$6:$AN$37,$M31)=1,"✓","")</f>
        <v>✓</v>
      </c>
      <c r="I31" s="71" t="str" cm="1">
        <f t="array" ref="I31">IF(INDEX('Coverage matrix'!$AO$6:$AO$37,$M31)=1,"✓","")</f>
        <v/>
      </c>
      <c r="J31" s="71" t="str" cm="1">
        <f t="array" ref="J31">IF(INDEX('Coverage matrix'!$AP$6:$AP$37,$M31)=1,"✓","")</f>
        <v>✓</v>
      </c>
      <c r="K31" s="71" t="str" cm="1">
        <f t="array" ref="K31">INDEX('Coverage matrix'!$AR$6:$AR$37,$M31)</f>
        <v>3 — Monitor</v>
      </c>
      <c r="M31">
        <v>14</v>
      </c>
    </row>
    <row r="32" spans="2:13" ht="15" customHeight="1" x14ac:dyDescent="0.2">
      <c r="B32" s="71">
        <v>27</v>
      </c>
      <c r="C32" s="72" t="str" cm="1">
        <f t="array" ref="C32">INDEX('Coverage matrix'!$B$6:$B$37,$M32)</f>
        <v>S1-4</v>
      </c>
      <c r="D32" s="72" t="str" cm="1">
        <f t="array" ref="D32">IF(INDEX('Coverage matrix'!$D$6:$D$37,$M32)=0,"",INDEX('Coverage matrix'!$D$6:$D$37,$M32))</f>
        <v>Taking action on material impacts on own workforce, and approaches to mitigating material risks and pursuing material opportunities related to own workforce, and effectiveness of those action</v>
      </c>
      <c r="E32" s="71" cm="1">
        <f t="array" ref="E32">INDEX('Coverage matrix'!$AL$6:$AL$37,$M32)</f>
        <v>4</v>
      </c>
      <c r="F32" s="71" cm="1">
        <f t="array" ref="F32">INDEX('Coverage matrix'!$AQ$6:$AQ$37,$M32)</f>
        <v>2</v>
      </c>
      <c r="G32" s="71" t="str" cm="1">
        <f t="array" ref="G32">IF(INDEX('Coverage matrix'!$AM$6:$AM$37,$M32)=1,"✓","")</f>
        <v>✓</v>
      </c>
      <c r="H32" s="71" t="str" cm="1">
        <f t="array" ref="H32">IF(INDEX('Coverage matrix'!$AN$6:$AN$37,$M32)=1,"✓","")</f>
        <v>✓</v>
      </c>
      <c r="I32" s="71" t="str" cm="1">
        <f t="array" ref="I32">IF(INDEX('Coverage matrix'!$AO$6:$AO$37,$M32)=1,"✓","")</f>
        <v/>
      </c>
      <c r="J32" s="71" t="str" cm="1">
        <f t="array" ref="J32">IF(INDEX('Coverage matrix'!$AP$6:$AP$37,$M32)=1,"✓","")</f>
        <v/>
      </c>
      <c r="K32" s="71" t="str" cm="1">
        <f t="array" ref="K32">INDEX('Coverage matrix'!$AR$6:$AR$37,$M32)</f>
        <v>3 — Monitor</v>
      </c>
      <c r="M32">
        <v>21</v>
      </c>
    </row>
    <row r="33" spans="2:13" ht="15" customHeight="1" x14ac:dyDescent="0.2">
      <c r="B33" s="71">
        <v>28</v>
      </c>
      <c r="C33" s="72" t="str" cm="1">
        <f t="array" ref="C33">INDEX('Coverage matrix'!$B$6:$B$37,$M33)</f>
        <v>S2-3</v>
      </c>
      <c r="D33" s="72" t="str" cm="1">
        <f t="array" ref="D33">IF(INDEX('Coverage matrix'!$D$6:$D$37,$M33)=0,"",INDEX('Coverage matrix'!$D$6:$D$37,$M33))</f>
        <v>Processes to remediate negative impacts and channels for value chain workers to raise concerns</v>
      </c>
      <c r="E33" s="71" cm="1">
        <f t="array" ref="E33">INDEX('Coverage matrix'!$AL$6:$AL$37,$M33)</f>
        <v>3</v>
      </c>
      <c r="F33" s="71" cm="1">
        <f t="array" ref="F33">INDEX('Coverage matrix'!$AQ$6:$AQ$37,$M33)</f>
        <v>2</v>
      </c>
      <c r="G33" s="71" t="str" cm="1">
        <f t="array" ref="G33">IF(INDEX('Coverage matrix'!$AM$6:$AM$37,$M33)=1,"✓","")</f>
        <v>✓</v>
      </c>
      <c r="H33" s="71" t="str" cm="1">
        <f t="array" ref="H33">IF(INDEX('Coverage matrix'!$AN$6:$AN$37,$M33)=1,"✓","")</f>
        <v>✓</v>
      </c>
      <c r="I33" s="71" t="str" cm="1">
        <f t="array" ref="I33">IF(INDEX('Coverage matrix'!$AO$6:$AO$37,$M33)=1,"✓","")</f>
        <v/>
      </c>
      <c r="J33" s="71" t="str" cm="1">
        <f t="array" ref="J33">IF(INDEX('Coverage matrix'!$AP$6:$AP$37,$M33)=1,"✓","")</f>
        <v/>
      </c>
      <c r="K33" s="71" t="str" cm="1">
        <f t="array" ref="K33">INDEX('Coverage matrix'!$AR$6:$AR$37,$M33)</f>
        <v>3 — Monitor</v>
      </c>
      <c r="M33">
        <v>26</v>
      </c>
    </row>
    <row r="34" spans="2:13" ht="15" customHeight="1" x14ac:dyDescent="0.2">
      <c r="B34" s="71">
        <v>29</v>
      </c>
      <c r="C34" s="72" t="str" cm="1">
        <f t="array" ref="C34">INDEX('Coverage matrix'!$B$6:$B$37,$M34)</f>
        <v>E3-3</v>
      </c>
      <c r="D34" s="72" t="str" cm="1">
        <f t="array" ref="D34">IF(INDEX('Coverage matrix'!$D$6:$D$37,$M34)=0,"",INDEX('Coverage matrix'!$D$6:$D$37,$M34))</f>
        <v>Targets related to water and marine resources</v>
      </c>
      <c r="E34" s="71" cm="1">
        <f t="array" ref="E34">INDEX('Coverage matrix'!$AL$6:$AL$37,$M34)</f>
        <v>3</v>
      </c>
      <c r="F34" s="71" cm="1">
        <f t="array" ref="F34">INDEX('Coverage matrix'!$AQ$6:$AQ$37,$M34)</f>
        <v>1</v>
      </c>
      <c r="G34" s="71" t="str" cm="1">
        <f t="array" ref="G34">IF(INDEX('Coverage matrix'!$AM$6:$AM$37,$M34)=1,"✓","")</f>
        <v/>
      </c>
      <c r="H34" s="71" t="str" cm="1">
        <f t="array" ref="H34">IF(INDEX('Coverage matrix'!$AN$6:$AN$37,$M34)=1,"✓","")</f>
        <v>✓</v>
      </c>
      <c r="I34" s="71" t="str" cm="1">
        <f t="array" ref="I34">IF(INDEX('Coverage matrix'!$AO$6:$AO$37,$M34)=1,"✓","")</f>
        <v/>
      </c>
      <c r="J34" s="71" t="str" cm="1">
        <f t="array" ref="J34">IF(INDEX('Coverage matrix'!$AP$6:$AP$37,$M34)=1,"✓","")</f>
        <v/>
      </c>
      <c r="K34" s="71" t="str" cm="1">
        <f t="array" ref="K34">INDEX('Coverage matrix'!$AR$6:$AR$37,$M34)</f>
        <v>3 — Monitor</v>
      </c>
      <c r="M34">
        <v>7</v>
      </c>
    </row>
    <row r="35" spans="2:13" ht="15" customHeight="1" x14ac:dyDescent="0.2">
      <c r="B35" s="71">
        <v>30</v>
      </c>
      <c r="C35" s="72" t="str" cm="1">
        <f t="array" ref="C35">INDEX('Coverage matrix'!$B$6:$B$37,$M35)</f>
        <v>G1-5</v>
      </c>
      <c r="D35" s="72" t="str" cm="1">
        <f t="array" ref="D35">IF(INDEX('Coverage matrix'!$D$6:$D$37,$M35)=0,"",INDEX('Coverage matrix'!$D$6:$D$37,$M35))</f>
        <v>Political influence and lobbying activities</v>
      </c>
      <c r="E35" s="71" cm="1">
        <f t="array" ref="E35">INDEX('Coverage matrix'!$AL$6:$AL$37,$M35)</f>
        <v>2</v>
      </c>
      <c r="F35" s="71" cm="1">
        <f t="array" ref="F35">INDEX('Coverage matrix'!$AQ$6:$AQ$37,$M35)</f>
        <v>1</v>
      </c>
      <c r="G35" s="71" t="str" cm="1">
        <f t="array" ref="G35">IF(INDEX('Coverage matrix'!$AM$6:$AM$37,$M35)=1,"✓","")</f>
        <v/>
      </c>
      <c r="H35" s="71" t="str" cm="1">
        <f t="array" ref="H35">IF(INDEX('Coverage matrix'!$AN$6:$AN$37,$M35)=1,"✓","")</f>
        <v/>
      </c>
      <c r="I35" s="71" t="str" cm="1">
        <f t="array" ref="I35">IF(INDEX('Coverage matrix'!$AO$6:$AO$37,$M35)=1,"✓","")</f>
        <v/>
      </c>
      <c r="J35" s="71" t="str" cm="1">
        <f t="array" ref="J35">IF(INDEX('Coverage matrix'!$AP$6:$AP$37,$M35)=1,"✓","")</f>
        <v>✓</v>
      </c>
      <c r="K35" s="71" t="str" cm="1">
        <f t="array" ref="K35">INDEX('Coverage matrix'!$AR$6:$AR$37,$M35)</f>
        <v>3 — Monitor</v>
      </c>
      <c r="M35">
        <v>15</v>
      </c>
    </row>
    <row r="36" spans="2:13" ht="15" customHeight="1" x14ac:dyDescent="0.2">
      <c r="B36" s="71">
        <v>31</v>
      </c>
      <c r="C36" s="72" t="str" cm="1">
        <f t="array" ref="C36">INDEX('Coverage matrix'!$B$6:$B$37,$M36)</f>
        <v>S2-2</v>
      </c>
      <c r="D36" s="72" t="str" cm="1">
        <f t="array" ref="D36">IF(INDEX('Coverage matrix'!$D$6:$D$37,$M36)=0,"",INDEX('Coverage matrix'!$D$6:$D$37,$M36))</f>
        <v>Processes for engaging with value chain workers about impacts</v>
      </c>
      <c r="E36" s="71" cm="1">
        <f t="array" ref="E36">INDEX('Coverage matrix'!$AL$6:$AL$37,$M36)</f>
        <v>2</v>
      </c>
      <c r="F36" s="71" cm="1">
        <f t="array" ref="F36">INDEX('Coverage matrix'!$AQ$6:$AQ$37,$M36)</f>
        <v>1</v>
      </c>
      <c r="G36" s="71" t="str" cm="1">
        <f t="array" ref="G36">IF(INDEX('Coverage matrix'!$AM$6:$AM$37,$M36)=1,"✓","")</f>
        <v/>
      </c>
      <c r="H36" s="71" t="str" cm="1">
        <f t="array" ref="H36">IF(INDEX('Coverage matrix'!$AN$6:$AN$37,$M36)=1,"✓","")</f>
        <v>✓</v>
      </c>
      <c r="I36" s="71" t="str" cm="1">
        <f t="array" ref="I36">IF(INDEX('Coverage matrix'!$AO$6:$AO$37,$M36)=1,"✓","")</f>
        <v/>
      </c>
      <c r="J36" s="71" t="str" cm="1">
        <f t="array" ref="J36">IF(INDEX('Coverage matrix'!$AP$6:$AP$37,$M36)=1,"✓","")</f>
        <v/>
      </c>
      <c r="K36" s="71" t="str" cm="1">
        <f t="array" ref="K36">INDEX('Coverage matrix'!$AR$6:$AR$37,$M36)</f>
        <v>3 — Monitor</v>
      </c>
      <c r="M36">
        <v>25</v>
      </c>
    </row>
    <row r="37" spans="2:13" ht="15" customHeight="1" x14ac:dyDescent="0.2">
      <c r="B37" s="71">
        <v>32</v>
      </c>
      <c r="C37" s="72" t="str" cm="1">
        <f t="array" ref="C37">INDEX('Coverage matrix'!$B$6:$B$37,$M37)</f>
        <v>E3-2</v>
      </c>
      <c r="D37" s="72" t="str" cm="1">
        <f t="array" ref="D37">IF(INDEX('Coverage matrix'!$D$6:$D$37,$M37)=0,"",INDEX('Coverage matrix'!$D$6:$D$37,$M37))</f>
        <v>Actions and resources related to water and marine resources</v>
      </c>
      <c r="E37" s="71" cm="1">
        <f t="array" ref="E37">INDEX('Coverage matrix'!$AL$6:$AL$37,$M37)</f>
        <v>1</v>
      </c>
      <c r="F37" s="71" cm="1">
        <f t="array" ref="F37">INDEX('Coverage matrix'!$AQ$6:$AQ$37,$M37)</f>
        <v>1</v>
      </c>
      <c r="G37" s="71" t="str" cm="1">
        <f t="array" ref="G37">IF(INDEX('Coverage matrix'!$AM$6:$AM$37,$M37)=1,"✓","")</f>
        <v/>
      </c>
      <c r="H37" s="71" t="str" cm="1">
        <f t="array" ref="H37">IF(INDEX('Coverage matrix'!$AN$6:$AN$37,$M37)=1,"✓","")</f>
        <v>✓</v>
      </c>
      <c r="I37" s="71" t="str" cm="1">
        <f t="array" ref="I37">IF(INDEX('Coverage matrix'!$AO$6:$AO$37,$M37)=1,"✓","")</f>
        <v/>
      </c>
      <c r="J37" s="71" t="str" cm="1">
        <f t="array" ref="J37">IF(INDEX('Coverage matrix'!$AP$6:$AP$37,$M37)=1,"✓","")</f>
        <v/>
      </c>
      <c r="K37" s="71" t="str" cm="1">
        <f t="array" ref="K37">INDEX('Coverage matrix'!$AR$6:$AR$37,$M37)</f>
        <v>3 — Monitor</v>
      </c>
      <c r="M37">
        <v>6</v>
      </c>
    </row>
  </sheetData>
  <conditionalFormatting sqref="B6:K37">
    <cfRule type="expression" dxfId="0" priority="1">
      <formula>LEFT($K6,1)="1"</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FC440"/>
  <sheetViews>
    <sheetView zoomScaleNormal="100" workbookViewId="0">
      <pane ySplit="1" topLeftCell="A172" activePane="bottomLeft" state="frozen"/>
      <selection pane="bottomLeft" activeCell="F154" sqref="F154"/>
    </sheetView>
  </sheetViews>
  <sheetFormatPr baseColWidth="10" defaultColWidth="8.6640625" defaultRowHeight="15" x14ac:dyDescent="0.2"/>
  <cols>
    <col min="1" max="1" width="54.6640625" customWidth="1"/>
    <col min="2" max="2" width="19.6640625" customWidth="1"/>
    <col min="3" max="3" width="30" customWidth="1"/>
    <col min="4" max="4" width="9" customWidth="1"/>
    <col min="5" max="5" width="34.33203125" customWidth="1"/>
    <col min="6" max="6" width="60" customWidth="1"/>
    <col min="7" max="7" width="82.5" customWidth="1"/>
    <col min="8" max="19" width="8.6640625" style="13"/>
    <col min="20" max="20" width="13" style="13" hidden="1" customWidth="1"/>
    <col min="21" max="21" width="8.6640625" style="13"/>
    <col min="22" max="22" width="13" style="13" hidden="1" customWidth="1"/>
    <col min="23" max="85" width="8.6640625" style="13"/>
  </cols>
  <sheetData>
    <row r="1" spans="1:22" ht="30" customHeight="1" x14ac:dyDescent="0.2">
      <c r="A1" s="56" t="s">
        <v>53</v>
      </c>
      <c r="B1" s="56" t="s">
        <v>192</v>
      </c>
      <c r="C1" s="56" t="s">
        <v>193</v>
      </c>
      <c r="D1" s="56" t="s">
        <v>194</v>
      </c>
      <c r="E1" s="56" t="s">
        <v>195</v>
      </c>
      <c r="F1" s="56" t="s">
        <v>196</v>
      </c>
      <c r="G1" s="56" t="s">
        <v>197</v>
      </c>
      <c r="T1" s="13" t="s">
        <v>97</v>
      </c>
      <c r="V1" s="13" t="s">
        <v>56</v>
      </c>
    </row>
    <row r="2" spans="1:22" ht="15" customHeight="1" x14ac:dyDescent="0.2">
      <c r="A2" s="57" t="s">
        <v>108</v>
      </c>
      <c r="B2" s="57" t="s">
        <v>107</v>
      </c>
      <c r="C2" s="57" t="s">
        <v>75</v>
      </c>
      <c r="D2" s="57">
        <v>1</v>
      </c>
      <c r="E2" s="57" t="s">
        <v>198</v>
      </c>
      <c r="F2" s="57" t="s">
        <v>199</v>
      </c>
      <c r="G2" s="57" t="s">
        <v>200</v>
      </c>
      <c r="T2" s="13" t="s">
        <v>103</v>
      </c>
      <c r="V2" s="13" t="s">
        <v>58</v>
      </c>
    </row>
    <row r="3" spans="1:22" ht="15" customHeight="1" x14ac:dyDescent="0.2">
      <c r="A3" s="57" t="s">
        <v>110</v>
      </c>
      <c r="B3" s="57" t="s">
        <v>109</v>
      </c>
      <c r="C3" s="57" t="s">
        <v>75</v>
      </c>
      <c r="D3" s="57">
        <v>1</v>
      </c>
      <c r="E3" s="57" t="s">
        <v>201</v>
      </c>
      <c r="F3" s="57" t="s">
        <v>202</v>
      </c>
      <c r="G3" s="57" t="s">
        <v>200</v>
      </c>
      <c r="T3" s="13" t="s">
        <v>105</v>
      </c>
      <c r="V3" s="13" t="s">
        <v>59</v>
      </c>
    </row>
    <row r="4" spans="1:22" ht="15" customHeight="1" x14ac:dyDescent="0.2">
      <c r="A4" s="57" t="s">
        <v>112</v>
      </c>
      <c r="B4" s="57" t="s">
        <v>111</v>
      </c>
      <c r="C4" s="57" t="s">
        <v>75</v>
      </c>
      <c r="D4" s="57">
        <v>1</v>
      </c>
      <c r="E4" s="57" t="s">
        <v>203</v>
      </c>
      <c r="F4" s="57" t="s">
        <v>204</v>
      </c>
      <c r="G4" s="57" t="s">
        <v>200</v>
      </c>
      <c r="T4" s="13" t="s">
        <v>107</v>
      </c>
      <c r="V4" s="13" t="s">
        <v>60</v>
      </c>
    </row>
    <row r="5" spans="1:22" ht="15" customHeight="1" x14ac:dyDescent="0.2">
      <c r="A5" s="57" t="s">
        <v>114</v>
      </c>
      <c r="B5" s="57" t="s">
        <v>113</v>
      </c>
      <c r="C5" s="57" t="s">
        <v>75</v>
      </c>
      <c r="D5" s="57">
        <v>1</v>
      </c>
      <c r="E5" s="57" t="s">
        <v>205</v>
      </c>
      <c r="F5" s="57" t="s">
        <v>206</v>
      </c>
      <c r="G5" s="57" t="s">
        <v>200</v>
      </c>
      <c r="T5" s="13" t="s">
        <v>109</v>
      </c>
      <c r="V5" s="13" t="s">
        <v>61</v>
      </c>
    </row>
    <row r="6" spans="1:22" ht="15" customHeight="1" x14ac:dyDescent="0.2">
      <c r="A6" s="57" t="s">
        <v>123</v>
      </c>
      <c r="B6" s="57" t="s">
        <v>121</v>
      </c>
      <c r="C6" s="57" t="s">
        <v>75</v>
      </c>
      <c r="D6" s="57">
        <v>1</v>
      </c>
      <c r="E6" s="57" t="s">
        <v>207</v>
      </c>
      <c r="F6" s="57" t="s">
        <v>208</v>
      </c>
      <c r="G6" s="57" t="s">
        <v>200</v>
      </c>
      <c r="T6" s="13" t="s">
        <v>113</v>
      </c>
      <c r="V6" s="13" t="s">
        <v>63</v>
      </c>
    </row>
    <row r="7" spans="1:22" ht="15" customHeight="1" x14ac:dyDescent="0.2">
      <c r="A7" s="57" t="s">
        <v>132</v>
      </c>
      <c r="B7" s="57" t="s">
        <v>130</v>
      </c>
      <c r="C7" s="57" t="s">
        <v>75</v>
      </c>
      <c r="D7" s="57">
        <v>2</v>
      </c>
      <c r="E7" s="57" t="s">
        <v>209</v>
      </c>
      <c r="F7" s="57" t="s">
        <v>210</v>
      </c>
      <c r="G7" s="57" t="s">
        <v>200</v>
      </c>
      <c r="T7" s="13" t="s">
        <v>115</v>
      </c>
      <c r="V7" s="13" t="s">
        <v>64</v>
      </c>
    </row>
    <row r="8" spans="1:22" ht="15" customHeight="1" x14ac:dyDescent="0.2">
      <c r="A8" s="57" t="s">
        <v>134</v>
      </c>
      <c r="B8" s="57" t="s">
        <v>133</v>
      </c>
      <c r="C8" s="57" t="s">
        <v>75</v>
      </c>
      <c r="D8" s="57">
        <v>1</v>
      </c>
      <c r="E8" s="57" t="s">
        <v>211</v>
      </c>
      <c r="F8" s="57" t="s">
        <v>212</v>
      </c>
      <c r="G8" s="57" t="s">
        <v>200</v>
      </c>
      <c r="T8" s="13" t="s">
        <v>117</v>
      </c>
      <c r="V8" s="13" t="s">
        <v>213</v>
      </c>
    </row>
    <row r="9" spans="1:22" ht="15" customHeight="1" x14ac:dyDescent="0.2">
      <c r="A9" s="57" t="s">
        <v>136</v>
      </c>
      <c r="B9" s="57" t="s">
        <v>135</v>
      </c>
      <c r="C9" s="57" t="s">
        <v>75</v>
      </c>
      <c r="D9" s="57">
        <v>1</v>
      </c>
      <c r="E9" s="57" t="s">
        <v>214</v>
      </c>
      <c r="F9" s="57" t="s">
        <v>215</v>
      </c>
      <c r="G9" s="57" t="s">
        <v>200</v>
      </c>
      <c r="T9" s="13" t="s">
        <v>119</v>
      </c>
      <c r="V9" s="13" t="s">
        <v>68</v>
      </c>
    </row>
    <row r="10" spans="1:22" ht="15" customHeight="1" x14ac:dyDescent="0.2">
      <c r="A10" s="57" t="s">
        <v>138</v>
      </c>
      <c r="B10" s="57" t="s">
        <v>137</v>
      </c>
      <c r="C10" s="57" t="s">
        <v>75</v>
      </c>
      <c r="D10" s="57">
        <v>2</v>
      </c>
      <c r="E10" s="57" t="s">
        <v>216</v>
      </c>
      <c r="F10" s="57" t="s">
        <v>217</v>
      </c>
      <c r="G10" s="57" t="s">
        <v>200</v>
      </c>
      <c r="T10" s="13" t="s">
        <v>121</v>
      </c>
      <c r="V10" s="13" t="s">
        <v>69</v>
      </c>
    </row>
    <row r="11" spans="1:22" ht="15" customHeight="1" x14ac:dyDescent="0.2">
      <c r="A11" s="57" t="s">
        <v>140</v>
      </c>
      <c r="B11" s="57" t="s">
        <v>139</v>
      </c>
      <c r="C11" s="57" t="s">
        <v>75</v>
      </c>
      <c r="D11" s="57">
        <v>2</v>
      </c>
      <c r="E11" s="57" t="s">
        <v>218</v>
      </c>
      <c r="F11" s="57" t="s">
        <v>219</v>
      </c>
      <c r="G11" s="57" t="s">
        <v>200</v>
      </c>
      <c r="T11" s="13" t="s">
        <v>124</v>
      </c>
      <c r="V11" s="13" t="s">
        <v>220</v>
      </c>
    </row>
    <row r="12" spans="1:22" ht="15" customHeight="1" x14ac:dyDescent="0.2">
      <c r="A12" s="57" t="s">
        <v>142</v>
      </c>
      <c r="B12" s="57" t="s">
        <v>141</v>
      </c>
      <c r="C12" s="57" t="s">
        <v>75</v>
      </c>
      <c r="D12" s="57">
        <v>2</v>
      </c>
      <c r="E12" s="57" t="s">
        <v>221</v>
      </c>
      <c r="F12" s="57" t="s">
        <v>222</v>
      </c>
      <c r="G12" s="57" t="s">
        <v>200</v>
      </c>
      <c r="T12" s="13" t="s">
        <v>126</v>
      </c>
      <c r="V12" s="13" t="s">
        <v>71</v>
      </c>
    </row>
    <row r="13" spans="1:22" ht="15" customHeight="1" x14ac:dyDescent="0.2">
      <c r="A13" s="57" t="s">
        <v>148</v>
      </c>
      <c r="B13" s="57" t="s">
        <v>147</v>
      </c>
      <c r="C13" s="57" t="s">
        <v>75</v>
      </c>
      <c r="D13" s="57">
        <v>2</v>
      </c>
      <c r="E13" s="57" t="s">
        <v>223</v>
      </c>
      <c r="F13" s="57" t="s">
        <v>224</v>
      </c>
      <c r="G13" s="57" t="s">
        <v>200</v>
      </c>
      <c r="T13" s="13" t="s">
        <v>128</v>
      </c>
      <c r="V13" s="13" t="s">
        <v>72</v>
      </c>
    </row>
    <row r="14" spans="1:22" ht="15" customHeight="1" x14ac:dyDescent="0.2">
      <c r="A14" s="57" t="s">
        <v>150</v>
      </c>
      <c r="B14" s="57" t="s">
        <v>149</v>
      </c>
      <c r="C14" s="57" t="s">
        <v>75</v>
      </c>
      <c r="D14" s="57">
        <v>2</v>
      </c>
      <c r="E14" s="57" t="s">
        <v>225</v>
      </c>
      <c r="F14" s="57" t="s">
        <v>226</v>
      </c>
      <c r="G14" s="57" t="s">
        <v>200</v>
      </c>
      <c r="T14" s="13" t="s">
        <v>130</v>
      </c>
      <c r="V14" s="13" t="s">
        <v>227</v>
      </c>
    </row>
    <row r="15" spans="1:22" ht="15" customHeight="1" x14ac:dyDescent="0.2">
      <c r="A15" s="57" t="s">
        <v>152</v>
      </c>
      <c r="B15" s="57" t="s">
        <v>151</v>
      </c>
      <c r="C15" s="57" t="s">
        <v>75</v>
      </c>
      <c r="D15" s="57">
        <v>2</v>
      </c>
      <c r="E15" s="57" t="s">
        <v>228</v>
      </c>
      <c r="F15" s="57" t="s">
        <v>229</v>
      </c>
      <c r="G15" s="57" t="s">
        <v>200</v>
      </c>
      <c r="T15" s="13" t="s">
        <v>133</v>
      </c>
      <c r="V15" s="13" t="s">
        <v>74</v>
      </c>
    </row>
    <row r="16" spans="1:22" ht="15" customHeight="1" x14ac:dyDescent="0.2">
      <c r="A16" s="57" t="s">
        <v>153</v>
      </c>
      <c r="B16" s="57" t="s">
        <v>230</v>
      </c>
      <c r="C16" s="57" t="s">
        <v>75</v>
      </c>
      <c r="D16" s="57">
        <v>2</v>
      </c>
      <c r="E16" s="57" t="s">
        <v>231</v>
      </c>
      <c r="F16" s="57" t="s">
        <v>232</v>
      </c>
      <c r="G16" s="57" t="s">
        <v>200</v>
      </c>
      <c r="T16" s="13" t="s">
        <v>135</v>
      </c>
      <c r="V16" s="13" t="s">
        <v>233</v>
      </c>
    </row>
    <row r="17" spans="1:22" ht="15" customHeight="1" x14ac:dyDescent="0.2">
      <c r="A17" s="57" t="s">
        <v>157</v>
      </c>
      <c r="B17" s="57" t="s">
        <v>234</v>
      </c>
      <c r="C17" s="57" t="s">
        <v>75</v>
      </c>
      <c r="D17" s="57">
        <v>1</v>
      </c>
      <c r="E17" s="57" t="s">
        <v>235</v>
      </c>
      <c r="F17" s="57" t="s">
        <v>236</v>
      </c>
      <c r="G17" s="57" t="s">
        <v>200</v>
      </c>
      <c r="T17" s="13" t="s">
        <v>137</v>
      </c>
      <c r="V17" s="13" t="s">
        <v>75</v>
      </c>
    </row>
    <row r="18" spans="1:22" ht="15" customHeight="1" x14ac:dyDescent="0.2">
      <c r="A18" s="57" t="s">
        <v>161</v>
      </c>
      <c r="B18" s="57" t="s">
        <v>234</v>
      </c>
      <c r="C18" s="57" t="s">
        <v>75</v>
      </c>
      <c r="D18" s="57">
        <v>1</v>
      </c>
      <c r="E18" s="57" t="s">
        <v>237</v>
      </c>
      <c r="F18" s="57" t="s">
        <v>238</v>
      </c>
      <c r="G18" s="57" t="s">
        <v>200</v>
      </c>
      <c r="T18" s="13" t="s">
        <v>139</v>
      </c>
      <c r="V18" s="13" t="s">
        <v>239</v>
      </c>
    </row>
    <row r="19" spans="1:22" ht="15" customHeight="1" x14ac:dyDescent="0.2">
      <c r="A19" s="57" t="s">
        <v>164</v>
      </c>
      <c r="B19" s="57" t="s">
        <v>234</v>
      </c>
      <c r="C19" s="57" t="s">
        <v>75</v>
      </c>
      <c r="D19" s="57">
        <v>1</v>
      </c>
      <c r="E19" s="57" t="s">
        <v>240</v>
      </c>
      <c r="F19" s="57" t="s">
        <v>241</v>
      </c>
      <c r="G19" s="57" t="s">
        <v>200</v>
      </c>
      <c r="T19" s="13" t="s">
        <v>141</v>
      </c>
      <c r="V19" s="13" t="s">
        <v>79</v>
      </c>
    </row>
    <row r="20" spans="1:22" ht="15" customHeight="1" x14ac:dyDescent="0.2">
      <c r="A20" s="57" t="s">
        <v>157</v>
      </c>
      <c r="B20" s="57" t="s">
        <v>234</v>
      </c>
      <c r="C20" s="57" t="s">
        <v>56</v>
      </c>
      <c r="D20" s="57">
        <v>2</v>
      </c>
      <c r="E20" s="57" t="s">
        <v>242</v>
      </c>
      <c r="F20" s="57" t="s">
        <v>243</v>
      </c>
      <c r="G20" s="57" t="s">
        <v>244</v>
      </c>
      <c r="T20" s="13" t="s">
        <v>143</v>
      </c>
      <c r="V20" s="13" t="s">
        <v>76</v>
      </c>
    </row>
    <row r="21" spans="1:22" ht="15" customHeight="1" x14ac:dyDescent="0.2">
      <c r="A21" s="57" t="s">
        <v>161</v>
      </c>
      <c r="B21" s="57" t="s">
        <v>234</v>
      </c>
      <c r="C21" s="57" t="s">
        <v>56</v>
      </c>
      <c r="D21" s="57">
        <v>1</v>
      </c>
      <c r="E21" s="57" t="s">
        <v>245</v>
      </c>
      <c r="F21" s="57" t="s">
        <v>246</v>
      </c>
      <c r="G21" s="57" t="s">
        <v>244</v>
      </c>
      <c r="T21" s="13" t="s">
        <v>145</v>
      </c>
      <c r="V21" s="13" t="s">
        <v>80</v>
      </c>
    </row>
    <row r="22" spans="1:22" ht="15" customHeight="1" x14ac:dyDescent="0.2">
      <c r="A22" s="57" t="s">
        <v>157</v>
      </c>
      <c r="B22" s="57" t="s">
        <v>234</v>
      </c>
      <c r="C22" s="57" t="s">
        <v>57</v>
      </c>
      <c r="D22" s="57">
        <v>2</v>
      </c>
      <c r="E22" s="57" t="s">
        <v>247</v>
      </c>
      <c r="F22" s="57" t="s">
        <v>248</v>
      </c>
      <c r="G22" s="57" t="s">
        <v>249</v>
      </c>
      <c r="T22" s="13" t="s">
        <v>147</v>
      </c>
      <c r="V22" s="13" t="s">
        <v>81</v>
      </c>
    </row>
    <row r="23" spans="1:22" ht="15" customHeight="1" x14ac:dyDescent="0.2">
      <c r="A23" s="57" t="s">
        <v>161</v>
      </c>
      <c r="B23" s="57" t="s">
        <v>234</v>
      </c>
      <c r="C23" s="57" t="s">
        <v>57</v>
      </c>
      <c r="D23" s="57">
        <v>1</v>
      </c>
      <c r="E23" s="57" t="s">
        <v>250</v>
      </c>
      <c r="F23" s="57" t="s">
        <v>251</v>
      </c>
      <c r="G23" s="57" t="s">
        <v>249</v>
      </c>
      <c r="T23" s="13" t="s">
        <v>149</v>
      </c>
      <c r="V23" s="13" t="s">
        <v>252</v>
      </c>
    </row>
    <row r="24" spans="1:22" ht="15" customHeight="1" x14ac:dyDescent="0.2">
      <c r="A24" s="57" t="s">
        <v>157</v>
      </c>
      <c r="B24" s="57" t="s">
        <v>234</v>
      </c>
      <c r="C24" s="57" t="s">
        <v>58</v>
      </c>
      <c r="D24" s="57">
        <v>2</v>
      </c>
      <c r="E24" s="57" t="s">
        <v>253</v>
      </c>
      <c r="F24" s="57" t="s">
        <v>254</v>
      </c>
      <c r="G24" s="57" t="s">
        <v>255</v>
      </c>
      <c r="T24" s="13" t="s">
        <v>153</v>
      </c>
      <c r="V24" s="13" t="s">
        <v>256</v>
      </c>
    </row>
    <row r="25" spans="1:22" ht="15" customHeight="1" x14ac:dyDescent="0.2">
      <c r="A25" s="57" t="s">
        <v>257</v>
      </c>
      <c r="B25" s="57" t="s">
        <v>258</v>
      </c>
      <c r="C25" s="57" t="s">
        <v>58</v>
      </c>
      <c r="D25" s="57">
        <v>1</v>
      </c>
      <c r="E25" s="57" t="s">
        <v>259</v>
      </c>
      <c r="F25" s="57" t="s">
        <v>260</v>
      </c>
      <c r="G25" s="57" t="s">
        <v>261</v>
      </c>
    </row>
    <row r="26" spans="1:22" ht="15" customHeight="1" x14ac:dyDescent="0.2">
      <c r="A26" s="57" t="s">
        <v>161</v>
      </c>
      <c r="B26" s="57" t="s">
        <v>234</v>
      </c>
      <c r="C26" s="57" t="s">
        <v>58</v>
      </c>
      <c r="D26" s="57">
        <v>1</v>
      </c>
      <c r="E26" s="57" t="s">
        <v>262</v>
      </c>
      <c r="F26" s="57" t="s">
        <v>263</v>
      </c>
      <c r="G26" s="57" t="s">
        <v>255</v>
      </c>
      <c r="T26" s="13" t="s">
        <v>264</v>
      </c>
      <c r="V26" s="13" t="s">
        <v>82</v>
      </c>
    </row>
    <row r="27" spans="1:22" ht="15" customHeight="1" x14ac:dyDescent="0.2">
      <c r="A27" s="57" t="s">
        <v>116</v>
      </c>
      <c r="B27" s="57" t="s">
        <v>115</v>
      </c>
      <c r="C27" s="57" t="s">
        <v>59</v>
      </c>
      <c r="D27" s="57">
        <v>2</v>
      </c>
      <c r="E27" s="57" t="s">
        <v>265</v>
      </c>
      <c r="F27" s="57" t="s">
        <v>266</v>
      </c>
      <c r="G27" s="57" t="s">
        <v>267</v>
      </c>
      <c r="T27" s="13" t="s">
        <v>157</v>
      </c>
      <c r="V27" s="13" t="s">
        <v>268</v>
      </c>
    </row>
    <row r="28" spans="1:22" ht="15" customHeight="1" x14ac:dyDescent="0.2">
      <c r="A28" s="57" t="s">
        <v>118</v>
      </c>
      <c r="B28" s="57" t="s">
        <v>117</v>
      </c>
      <c r="C28" s="57" t="s">
        <v>59</v>
      </c>
      <c r="D28" s="57">
        <v>2</v>
      </c>
      <c r="E28" s="57" t="s">
        <v>269</v>
      </c>
      <c r="F28" s="57" t="s">
        <v>270</v>
      </c>
      <c r="G28" s="57" t="s">
        <v>271</v>
      </c>
      <c r="T28" s="13" t="s">
        <v>161</v>
      </c>
      <c r="V28" s="13" t="s">
        <v>83</v>
      </c>
    </row>
    <row r="29" spans="1:22" ht="15" customHeight="1" x14ac:dyDescent="0.2">
      <c r="A29" s="57" t="s">
        <v>120</v>
      </c>
      <c r="B29" s="57" t="s">
        <v>119</v>
      </c>
      <c r="C29" s="57" t="s">
        <v>59</v>
      </c>
      <c r="D29" s="57">
        <v>2</v>
      </c>
      <c r="E29" s="57" t="s">
        <v>272</v>
      </c>
      <c r="F29" s="57" t="s">
        <v>273</v>
      </c>
      <c r="G29" s="57" t="s">
        <v>271</v>
      </c>
      <c r="T29" s="13" t="s">
        <v>164</v>
      </c>
      <c r="V29" s="13" t="s">
        <v>84</v>
      </c>
    </row>
    <row r="30" spans="1:22" ht="15" customHeight="1" x14ac:dyDescent="0.2">
      <c r="A30" s="57" t="s">
        <v>134</v>
      </c>
      <c r="B30" s="57" t="s">
        <v>133</v>
      </c>
      <c r="C30" s="57" t="s">
        <v>60</v>
      </c>
      <c r="D30" s="57">
        <v>2</v>
      </c>
      <c r="E30" s="57" t="s">
        <v>274</v>
      </c>
      <c r="F30" s="57" t="s">
        <v>275</v>
      </c>
      <c r="G30" s="57" t="s">
        <v>276</v>
      </c>
      <c r="T30" s="13" t="s">
        <v>277</v>
      </c>
      <c r="V30" s="13" t="s">
        <v>278</v>
      </c>
    </row>
    <row r="31" spans="1:22" ht="15" customHeight="1" x14ac:dyDescent="0.2">
      <c r="A31" s="57" t="s">
        <v>279</v>
      </c>
      <c r="B31" s="57" t="s">
        <v>130</v>
      </c>
      <c r="C31" s="57" t="s">
        <v>60</v>
      </c>
      <c r="D31" s="57">
        <v>2</v>
      </c>
      <c r="E31" s="57" t="s">
        <v>280</v>
      </c>
      <c r="F31" s="57" t="s">
        <v>281</v>
      </c>
      <c r="G31" s="57" t="s">
        <v>282</v>
      </c>
    </row>
    <row r="32" spans="1:22" ht="15" customHeight="1" x14ac:dyDescent="0.2">
      <c r="A32" s="57" t="s">
        <v>138</v>
      </c>
      <c r="B32" s="57" t="s">
        <v>137</v>
      </c>
      <c r="C32" s="57" t="s">
        <v>60</v>
      </c>
      <c r="D32" s="57">
        <v>1</v>
      </c>
      <c r="E32" s="57" t="s">
        <v>283</v>
      </c>
      <c r="F32" s="57" t="s">
        <v>284</v>
      </c>
      <c r="G32" s="57" t="s">
        <v>282</v>
      </c>
      <c r="T32" s="13" t="s">
        <v>285</v>
      </c>
      <c r="V32" s="13" t="s">
        <v>85</v>
      </c>
    </row>
    <row r="33" spans="1:85" ht="15" customHeight="1" x14ac:dyDescent="0.2">
      <c r="A33" s="57" t="s">
        <v>142</v>
      </c>
      <c r="B33" s="57" t="s">
        <v>141</v>
      </c>
      <c r="C33" s="57" t="s">
        <v>60</v>
      </c>
      <c r="D33" s="57">
        <v>1</v>
      </c>
      <c r="E33" s="57" t="s">
        <v>286</v>
      </c>
      <c r="F33" s="57" t="s">
        <v>287</v>
      </c>
      <c r="G33" s="57" t="s">
        <v>282</v>
      </c>
      <c r="V33" s="13" t="s">
        <v>288</v>
      </c>
    </row>
    <row r="34" spans="1:85" s="59" customFormat="1" ht="15" customHeight="1" x14ac:dyDescent="0.2">
      <c r="A34" s="58" t="s">
        <v>142</v>
      </c>
      <c r="B34" s="58" t="s">
        <v>141</v>
      </c>
      <c r="C34" s="58" t="s">
        <v>61</v>
      </c>
      <c r="D34" s="58">
        <v>0</v>
      </c>
      <c r="E34" s="58" t="s">
        <v>289</v>
      </c>
      <c r="F34" s="58" t="s">
        <v>290</v>
      </c>
      <c r="G34" s="58" t="s">
        <v>291</v>
      </c>
      <c r="H34" s="13"/>
      <c r="I34" s="13"/>
      <c r="J34" s="13"/>
      <c r="K34" s="13"/>
      <c r="L34" s="13"/>
      <c r="M34" s="13"/>
      <c r="N34" s="13"/>
      <c r="O34" s="13"/>
      <c r="P34" s="13"/>
      <c r="Q34" s="13"/>
      <c r="R34" s="13"/>
      <c r="S34" s="13"/>
      <c r="T34" s="13"/>
      <c r="U34" s="13"/>
      <c r="V34" s="13" t="s">
        <v>292</v>
      </c>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row>
    <row r="35" spans="1:85" ht="15" customHeight="1" x14ac:dyDescent="0.2">
      <c r="A35" s="57" t="s">
        <v>136</v>
      </c>
      <c r="B35" s="57" t="s">
        <v>135</v>
      </c>
      <c r="C35" s="57" t="s">
        <v>62</v>
      </c>
      <c r="D35" s="57">
        <v>1</v>
      </c>
      <c r="E35" s="57" t="s">
        <v>293</v>
      </c>
      <c r="F35" s="57" t="s">
        <v>294</v>
      </c>
      <c r="G35" s="57" t="s">
        <v>295</v>
      </c>
      <c r="V35" s="13" t="s">
        <v>87</v>
      </c>
    </row>
    <row r="36" spans="1:85" ht="15" customHeight="1" x14ac:dyDescent="0.2">
      <c r="A36" s="57" t="s">
        <v>148</v>
      </c>
      <c r="B36" s="57" t="s">
        <v>147</v>
      </c>
      <c r="C36" s="57" t="s">
        <v>62</v>
      </c>
      <c r="D36" s="57">
        <v>2</v>
      </c>
      <c r="E36" s="57" t="s">
        <v>296</v>
      </c>
      <c r="F36" s="57" t="s">
        <v>297</v>
      </c>
      <c r="G36" s="57" t="s">
        <v>295</v>
      </c>
    </row>
    <row r="37" spans="1:85" ht="15" customHeight="1" x14ac:dyDescent="0.2">
      <c r="A37" s="57" t="s">
        <v>153</v>
      </c>
      <c r="B37" s="57" t="s">
        <v>153</v>
      </c>
      <c r="C37" s="57" t="s">
        <v>63</v>
      </c>
      <c r="D37" s="57">
        <v>2</v>
      </c>
      <c r="E37" s="57" t="s">
        <v>298</v>
      </c>
      <c r="F37" s="57" t="s">
        <v>299</v>
      </c>
      <c r="G37" s="57" t="s">
        <v>300</v>
      </c>
    </row>
    <row r="38" spans="1:85" ht="15" customHeight="1" x14ac:dyDescent="0.2">
      <c r="A38" s="57" t="s">
        <v>157</v>
      </c>
      <c r="B38" s="57" t="s">
        <v>234</v>
      </c>
      <c r="C38" s="57" t="s">
        <v>63</v>
      </c>
      <c r="D38" s="57">
        <v>1</v>
      </c>
      <c r="E38" s="57" t="s">
        <v>301</v>
      </c>
      <c r="F38" s="57" t="s">
        <v>302</v>
      </c>
      <c r="G38" s="57" t="s">
        <v>300</v>
      </c>
    </row>
    <row r="39" spans="1:85" ht="15" customHeight="1" x14ac:dyDescent="0.2">
      <c r="A39" s="57" t="s">
        <v>164</v>
      </c>
      <c r="B39" s="57" t="s">
        <v>234</v>
      </c>
      <c r="C39" s="57" t="s">
        <v>63</v>
      </c>
      <c r="D39" s="57">
        <v>1</v>
      </c>
      <c r="E39" s="57" t="s">
        <v>303</v>
      </c>
      <c r="F39" s="57" t="s">
        <v>304</v>
      </c>
      <c r="G39" s="57" t="s">
        <v>300</v>
      </c>
    </row>
    <row r="40" spans="1:85" ht="15" customHeight="1" x14ac:dyDescent="0.2">
      <c r="A40" s="57" t="s">
        <v>257</v>
      </c>
      <c r="B40" s="57" t="s">
        <v>258</v>
      </c>
      <c r="C40" s="57" t="s">
        <v>64</v>
      </c>
      <c r="D40" s="57">
        <v>1</v>
      </c>
      <c r="E40" s="57" t="s">
        <v>305</v>
      </c>
      <c r="F40" s="57" t="s">
        <v>306</v>
      </c>
      <c r="G40" s="57" t="s">
        <v>307</v>
      </c>
    </row>
    <row r="41" spans="1:85" ht="15" customHeight="1" x14ac:dyDescent="0.2">
      <c r="A41" s="57" t="s">
        <v>99</v>
      </c>
      <c r="B41" s="57" t="s">
        <v>97</v>
      </c>
      <c r="C41" s="57" t="s">
        <v>65</v>
      </c>
      <c r="D41" s="57">
        <v>1</v>
      </c>
      <c r="E41" s="57" t="s">
        <v>308</v>
      </c>
      <c r="F41" s="57" t="s">
        <v>309</v>
      </c>
      <c r="G41" s="57" t="s">
        <v>310</v>
      </c>
    </row>
    <row r="42" spans="1:85" ht="15" customHeight="1" x14ac:dyDescent="0.2">
      <c r="A42" s="57" t="s">
        <v>106</v>
      </c>
      <c r="B42" s="57" t="s">
        <v>105</v>
      </c>
      <c r="C42" s="57" t="s">
        <v>65</v>
      </c>
      <c r="D42" s="57">
        <v>1</v>
      </c>
      <c r="E42" s="57" t="s">
        <v>311</v>
      </c>
      <c r="F42" s="57" t="s">
        <v>312</v>
      </c>
      <c r="G42" s="57" t="s">
        <v>310</v>
      </c>
    </row>
    <row r="43" spans="1:85" ht="15" customHeight="1" x14ac:dyDescent="0.2">
      <c r="A43" s="57" t="s">
        <v>140</v>
      </c>
      <c r="B43" s="57" t="s">
        <v>139</v>
      </c>
      <c r="C43" s="57" t="s">
        <v>66</v>
      </c>
      <c r="D43" s="57">
        <v>2</v>
      </c>
      <c r="E43" s="57" t="s">
        <v>313</v>
      </c>
      <c r="F43" s="57" t="s">
        <v>314</v>
      </c>
      <c r="G43" s="57" t="s">
        <v>315</v>
      </c>
    </row>
    <row r="44" spans="1:85" ht="15" customHeight="1" x14ac:dyDescent="0.2">
      <c r="A44" s="57" t="s">
        <v>123</v>
      </c>
      <c r="B44" s="57" t="s">
        <v>121</v>
      </c>
      <c r="C44" s="57" t="s">
        <v>66</v>
      </c>
      <c r="D44" s="57">
        <v>2</v>
      </c>
      <c r="E44" s="57" t="s">
        <v>316</v>
      </c>
      <c r="F44" s="57" t="s">
        <v>317</v>
      </c>
      <c r="G44" s="57" t="s">
        <v>315</v>
      </c>
    </row>
    <row r="45" spans="1:85" ht="15" customHeight="1" x14ac:dyDescent="0.2">
      <c r="A45" s="57" t="s">
        <v>125</v>
      </c>
      <c r="B45" s="57" t="s">
        <v>124</v>
      </c>
      <c r="C45" s="57" t="s">
        <v>66</v>
      </c>
      <c r="D45" s="57">
        <v>0</v>
      </c>
      <c r="E45" s="57" t="s">
        <v>318</v>
      </c>
      <c r="F45" s="57" t="s">
        <v>319</v>
      </c>
      <c r="G45" s="57" t="s">
        <v>315</v>
      </c>
    </row>
    <row r="46" spans="1:85" ht="15" customHeight="1" x14ac:dyDescent="0.2">
      <c r="A46" s="57" t="s">
        <v>152</v>
      </c>
      <c r="B46" s="57" t="s">
        <v>151</v>
      </c>
      <c r="C46" s="57" t="s">
        <v>66</v>
      </c>
      <c r="D46" s="57">
        <v>1</v>
      </c>
      <c r="E46" s="57" t="s">
        <v>320</v>
      </c>
      <c r="F46" s="57" t="s">
        <v>321</v>
      </c>
      <c r="G46" s="57" t="s">
        <v>315</v>
      </c>
    </row>
    <row r="47" spans="1:85" ht="15" customHeight="1" x14ac:dyDescent="0.2">
      <c r="A47" s="57" t="s">
        <v>146</v>
      </c>
      <c r="B47" s="57" t="s">
        <v>145</v>
      </c>
      <c r="C47" s="57" t="s">
        <v>67</v>
      </c>
      <c r="D47" s="57">
        <v>0</v>
      </c>
      <c r="E47" s="57" t="s">
        <v>322</v>
      </c>
      <c r="F47" s="57" t="s">
        <v>323</v>
      </c>
      <c r="G47" s="57" t="s">
        <v>324</v>
      </c>
    </row>
    <row r="48" spans="1:85" s="57" customFormat="1" ht="16.5" customHeight="1" x14ac:dyDescent="0.2">
      <c r="A48" s="57" t="s">
        <v>157</v>
      </c>
      <c r="B48" s="57" t="s">
        <v>234</v>
      </c>
      <c r="C48" s="57" t="s">
        <v>68</v>
      </c>
      <c r="D48" s="57">
        <v>2</v>
      </c>
      <c r="E48" s="57" t="s">
        <v>325</v>
      </c>
      <c r="F48" s="57" t="s">
        <v>326</v>
      </c>
      <c r="G48" s="57" t="s">
        <v>327</v>
      </c>
      <c r="H48" s="60"/>
      <c r="I48" s="60"/>
      <c r="J48" s="60"/>
      <c r="K48" s="60"/>
      <c r="L48" s="60"/>
      <c r="M48" s="60"/>
      <c r="N48" s="60"/>
      <c r="O48" s="60"/>
      <c r="P48" s="60"/>
      <c r="Q48" s="60"/>
      <c r="R48" s="60"/>
      <c r="S48" s="60"/>
      <c r="T48" s="60"/>
      <c r="U48" s="60"/>
      <c r="V48" s="60"/>
      <c r="W48" s="60"/>
      <c r="X48" s="60"/>
      <c r="Y48" s="60"/>
      <c r="Z48" s="60"/>
      <c r="AA48" s="60"/>
      <c r="AB48" s="60"/>
      <c r="AC48" s="60"/>
      <c r="AD48" s="60"/>
      <c r="AE48" s="60"/>
      <c r="AF48" s="60"/>
      <c r="AG48" s="60"/>
      <c r="AH48" s="60"/>
      <c r="AI48" s="60"/>
      <c r="AJ48" s="60"/>
      <c r="AK48" s="60"/>
      <c r="AL48" s="60"/>
      <c r="AM48" s="60"/>
      <c r="AN48" s="60"/>
      <c r="AO48" s="60"/>
      <c r="AP48" s="60"/>
      <c r="AQ48" s="60"/>
      <c r="AR48" s="60"/>
      <c r="AS48" s="60"/>
      <c r="AT48" s="60"/>
      <c r="AU48" s="60"/>
      <c r="AV48" s="60"/>
      <c r="AW48" s="60"/>
      <c r="AX48" s="60"/>
      <c r="AY48" s="60"/>
      <c r="AZ48" s="60"/>
      <c r="BA48" s="60"/>
      <c r="BB48" s="60"/>
      <c r="BC48" s="60"/>
      <c r="BD48" s="60"/>
      <c r="BE48" s="60"/>
      <c r="BF48" s="60"/>
      <c r="BG48" s="60"/>
      <c r="BH48" s="60"/>
      <c r="BI48" s="60"/>
      <c r="BJ48" s="60"/>
      <c r="BK48" s="60"/>
      <c r="BL48" s="60"/>
      <c r="BM48" s="60"/>
      <c r="BN48" s="60"/>
      <c r="BO48" s="60"/>
      <c r="BP48" s="60"/>
      <c r="BQ48" s="60"/>
      <c r="BR48" s="60"/>
      <c r="BS48" s="60"/>
      <c r="BT48" s="60"/>
      <c r="BU48" s="60"/>
      <c r="BV48" s="60"/>
      <c r="BW48" s="60"/>
      <c r="BX48" s="60"/>
      <c r="BY48" s="60"/>
      <c r="BZ48" s="60"/>
      <c r="CA48" s="60"/>
      <c r="CB48" s="60"/>
      <c r="CC48" s="60"/>
      <c r="CD48" s="60"/>
      <c r="CE48" s="60"/>
      <c r="CF48" s="60"/>
      <c r="CG48" s="60"/>
    </row>
    <row r="49" spans="1:85" s="57" customFormat="1" ht="15" customHeight="1" x14ac:dyDescent="0.2">
      <c r="A49" s="57" t="s">
        <v>161</v>
      </c>
      <c r="B49" s="57" t="s">
        <v>234</v>
      </c>
      <c r="C49" s="57" t="s">
        <v>68</v>
      </c>
      <c r="D49" s="57">
        <v>2</v>
      </c>
      <c r="E49" s="57" t="s">
        <v>328</v>
      </c>
      <c r="F49" s="57" t="s">
        <v>329</v>
      </c>
      <c r="G49" s="57" t="s">
        <v>327</v>
      </c>
      <c r="H49" s="60"/>
      <c r="I49" s="60"/>
      <c r="J49" s="60"/>
      <c r="K49" s="60"/>
      <c r="L49" s="60"/>
      <c r="M49" s="60"/>
      <c r="N49" s="60"/>
      <c r="O49" s="60"/>
      <c r="P49" s="60"/>
      <c r="Q49" s="60"/>
      <c r="R49" s="60"/>
      <c r="S49" s="60"/>
      <c r="T49" s="60"/>
      <c r="U49" s="60"/>
      <c r="V49" s="60"/>
      <c r="W49" s="60"/>
      <c r="X49" s="60"/>
      <c r="Y49" s="60"/>
      <c r="Z49" s="60"/>
      <c r="AA49" s="60"/>
      <c r="AB49" s="60"/>
      <c r="AC49" s="60"/>
      <c r="AD49" s="60"/>
      <c r="AE49" s="60"/>
      <c r="AF49" s="60"/>
      <c r="AG49" s="60"/>
      <c r="AH49" s="60"/>
      <c r="AI49" s="60"/>
      <c r="AJ49" s="60"/>
      <c r="AK49" s="60"/>
      <c r="AL49" s="60"/>
      <c r="AM49" s="60"/>
      <c r="AN49" s="60"/>
      <c r="AO49" s="60"/>
      <c r="AP49" s="60"/>
      <c r="AQ49" s="60"/>
      <c r="AR49" s="60"/>
      <c r="AS49" s="60"/>
      <c r="AT49" s="60"/>
      <c r="AU49" s="60"/>
      <c r="AV49" s="60"/>
      <c r="AW49" s="60"/>
      <c r="AX49" s="60"/>
      <c r="AY49" s="60"/>
      <c r="AZ49" s="60"/>
      <c r="BA49" s="60"/>
      <c r="BB49" s="60"/>
      <c r="BC49" s="60"/>
      <c r="BD49" s="60"/>
      <c r="BE49" s="60"/>
      <c r="BF49" s="60"/>
      <c r="BG49" s="60"/>
      <c r="BH49" s="60"/>
      <c r="BI49" s="60"/>
      <c r="BJ49" s="60"/>
      <c r="BK49" s="60"/>
      <c r="BL49" s="60"/>
      <c r="BM49" s="60"/>
      <c r="BN49" s="60"/>
      <c r="BO49" s="60"/>
      <c r="BP49" s="60"/>
      <c r="BQ49" s="60"/>
      <c r="BR49" s="60"/>
      <c r="BS49" s="60"/>
      <c r="BT49" s="60"/>
      <c r="BU49" s="60"/>
      <c r="BV49" s="60"/>
      <c r="BW49" s="60"/>
      <c r="BX49" s="60"/>
      <c r="BY49" s="60"/>
      <c r="BZ49" s="60"/>
      <c r="CA49" s="60"/>
      <c r="CB49" s="60"/>
      <c r="CC49" s="60"/>
      <c r="CD49" s="60"/>
      <c r="CE49" s="60"/>
      <c r="CF49" s="60"/>
      <c r="CG49" s="60"/>
    </row>
    <row r="50" spans="1:85" s="57" customFormat="1" ht="15" customHeight="1" x14ac:dyDescent="0.2">
      <c r="A50" s="57" t="s">
        <v>153</v>
      </c>
      <c r="B50" s="57" t="s">
        <v>330</v>
      </c>
      <c r="C50" s="57" t="s">
        <v>68</v>
      </c>
      <c r="D50" s="57">
        <v>2</v>
      </c>
      <c r="E50" s="57" t="s">
        <v>331</v>
      </c>
      <c r="F50" s="57" t="s">
        <v>332</v>
      </c>
      <c r="G50" s="57" t="s">
        <v>327</v>
      </c>
      <c r="H50" s="60"/>
      <c r="I50" s="60"/>
      <c r="J50" s="60"/>
      <c r="K50" s="60"/>
      <c r="L50" s="60"/>
      <c r="M50" s="60"/>
      <c r="N50" s="60"/>
      <c r="O50" s="60"/>
      <c r="P50" s="60"/>
      <c r="Q50" s="60"/>
      <c r="R50" s="60"/>
      <c r="S50" s="60"/>
      <c r="T50" s="60"/>
      <c r="U50" s="60"/>
      <c r="V50" s="60"/>
      <c r="W50" s="60"/>
      <c r="X50" s="60"/>
      <c r="Y50" s="60"/>
      <c r="Z50" s="60"/>
      <c r="AA50" s="60"/>
      <c r="AB50" s="60"/>
      <c r="AC50" s="60"/>
      <c r="AD50" s="60"/>
      <c r="AE50" s="60"/>
      <c r="AF50" s="60"/>
      <c r="AG50" s="60"/>
      <c r="AH50" s="60"/>
      <c r="AI50" s="60"/>
      <c r="AJ50" s="60"/>
      <c r="AK50" s="60"/>
      <c r="AL50" s="60"/>
      <c r="AM50" s="60"/>
      <c r="AN50" s="60"/>
      <c r="AO50" s="60"/>
      <c r="AP50" s="60"/>
      <c r="AQ50" s="60"/>
      <c r="AR50" s="60"/>
      <c r="AS50" s="60"/>
      <c r="AT50" s="60"/>
      <c r="AU50" s="60"/>
      <c r="AV50" s="60"/>
      <c r="AW50" s="60"/>
      <c r="AX50" s="60"/>
      <c r="AY50" s="60"/>
      <c r="AZ50" s="60"/>
      <c r="BA50" s="60"/>
      <c r="BB50" s="60"/>
      <c r="BC50" s="60"/>
      <c r="BD50" s="60"/>
      <c r="BE50" s="60"/>
      <c r="BF50" s="60"/>
      <c r="BG50" s="60"/>
      <c r="BH50" s="60"/>
      <c r="BI50" s="60"/>
      <c r="BJ50" s="60"/>
      <c r="BK50" s="60"/>
      <c r="BL50" s="60"/>
      <c r="BM50" s="60"/>
      <c r="BN50" s="60"/>
      <c r="BO50" s="60"/>
      <c r="BP50" s="60"/>
      <c r="BQ50" s="60"/>
      <c r="BR50" s="60"/>
      <c r="BS50" s="60"/>
      <c r="BT50" s="60"/>
      <c r="BU50" s="60"/>
      <c r="BV50" s="60"/>
      <c r="BW50" s="60"/>
      <c r="BX50" s="60"/>
      <c r="BY50" s="60"/>
      <c r="BZ50" s="60"/>
      <c r="CA50" s="60"/>
      <c r="CB50" s="60"/>
      <c r="CC50" s="60"/>
      <c r="CD50" s="60"/>
      <c r="CE50" s="60"/>
      <c r="CF50" s="60"/>
      <c r="CG50" s="60"/>
    </row>
    <row r="51" spans="1:85" s="57" customFormat="1" ht="15" customHeight="1" x14ac:dyDescent="0.2">
      <c r="A51" s="57" t="s">
        <v>148</v>
      </c>
      <c r="B51" s="57" t="s">
        <v>147</v>
      </c>
      <c r="C51" s="57" t="s">
        <v>68</v>
      </c>
      <c r="D51" s="57">
        <v>1</v>
      </c>
      <c r="E51" s="57" t="s">
        <v>333</v>
      </c>
      <c r="F51" s="57" t="s">
        <v>334</v>
      </c>
      <c r="G51" s="57" t="s">
        <v>327</v>
      </c>
      <c r="H51" s="60"/>
      <c r="I51" s="60"/>
      <c r="J51" s="60"/>
      <c r="K51" s="60"/>
      <c r="L51" s="60"/>
      <c r="M51" s="60"/>
      <c r="N51" s="60"/>
      <c r="O51" s="60"/>
      <c r="P51" s="60"/>
      <c r="Q51" s="60"/>
      <c r="R51" s="60"/>
      <c r="S51" s="60"/>
      <c r="T51" s="60"/>
      <c r="U51" s="60"/>
      <c r="V51" s="60"/>
      <c r="W51" s="60"/>
      <c r="X51" s="60"/>
      <c r="Y51" s="60"/>
      <c r="Z51" s="60"/>
      <c r="AA51" s="60"/>
      <c r="AB51" s="60"/>
      <c r="AC51" s="60"/>
      <c r="AD51" s="60"/>
      <c r="AE51" s="60"/>
      <c r="AF51" s="60"/>
      <c r="AG51" s="60"/>
      <c r="AH51" s="60"/>
      <c r="AI51" s="60"/>
      <c r="AJ51" s="60"/>
      <c r="AK51" s="60"/>
      <c r="AL51" s="60"/>
      <c r="AM51" s="60"/>
      <c r="AN51" s="60"/>
      <c r="AO51" s="60"/>
      <c r="AP51" s="60"/>
      <c r="AQ51" s="60"/>
      <c r="AR51" s="60"/>
      <c r="AS51" s="60"/>
      <c r="AT51" s="60"/>
      <c r="AU51" s="60"/>
      <c r="AV51" s="60"/>
      <c r="AW51" s="60"/>
      <c r="AX51" s="60"/>
      <c r="AY51" s="60"/>
      <c r="AZ51" s="60"/>
      <c r="BA51" s="60"/>
      <c r="BB51" s="60"/>
      <c r="BC51" s="60"/>
      <c r="BD51" s="60"/>
      <c r="BE51" s="60"/>
      <c r="BF51" s="60"/>
      <c r="BG51" s="60"/>
      <c r="BH51" s="60"/>
      <c r="BI51" s="60"/>
      <c r="BJ51" s="60"/>
      <c r="BK51" s="60"/>
      <c r="BL51" s="60"/>
      <c r="BM51" s="60"/>
      <c r="BN51" s="60"/>
      <c r="BO51" s="60"/>
      <c r="BP51" s="60"/>
      <c r="BQ51" s="60"/>
      <c r="BR51" s="60"/>
      <c r="BS51" s="60"/>
      <c r="BT51" s="60"/>
      <c r="BU51" s="60"/>
      <c r="BV51" s="60"/>
      <c r="BW51" s="60"/>
      <c r="BX51" s="60"/>
      <c r="BY51" s="60"/>
      <c r="BZ51" s="60"/>
      <c r="CA51" s="60"/>
      <c r="CB51" s="60"/>
      <c r="CC51" s="60"/>
      <c r="CD51" s="60"/>
      <c r="CE51" s="60"/>
      <c r="CF51" s="60"/>
      <c r="CG51" s="60"/>
    </row>
    <row r="52" spans="1:85" s="57" customFormat="1" ht="15" customHeight="1" x14ac:dyDescent="0.2">
      <c r="A52" s="57" t="s">
        <v>157</v>
      </c>
      <c r="B52" s="57" t="s">
        <v>234</v>
      </c>
      <c r="C52" s="57" t="s">
        <v>69</v>
      </c>
      <c r="D52" s="57">
        <v>2</v>
      </c>
      <c r="E52" s="57" t="s">
        <v>335</v>
      </c>
      <c r="F52" s="57" t="s">
        <v>336</v>
      </c>
      <c r="G52" s="57" t="s">
        <v>337</v>
      </c>
      <c r="H52" s="60"/>
      <c r="I52" s="60"/>
      <c r="J52" s="60"/>
      <c r="K52" s="60"/>
      <c r="L52" s="60"/>
      <c r="M52" s="60"/>
      <c r="N52" s="60"/>
      <c r="O52" s="60"/>
      <c r="P52" s="60"/>
      <c r="Q52" s="60"/>
      <c r="R52" s="60"/>
      <c r="S52" s="60"/>
      <c r="T52" s="60"/>
      <c r="U52" s="60"/>
      <c r="V52" s="60"/>
      <c r="W52" s="60"/>
      <c r="X52" s="60"/>
      <c r="Y52" s="60"/>
      <c r="Z52" s="60"/>
      <c r="AA52" s="60"/>
      <c r="AB52" s="60"/>
      <c r="AC52" s="60"/>
      <c r="AD52" s="60"/>
      <c r="AE52" s="60"/>
      <c r="AF52" s="60"/>
      <c r="AG52" s="60"/>
      <c r="AH52" s="60"/>
      <c r="AI52" s="60"/>
      <c r="AJ52" s="60"/>
      <c r="AK52" s="60"/>
      <c r="AL52" s="60"/>
      <c r="AM52" s="60"/>
      <c r="AN52" s="60"/>
      <c r="AO52" s="60"/>
      <c r="AP52" s="60"/>
      <c r="AQ52" s="60"/>
      <c r="AR52" s="60"/>
      <c r="AS52" s="60"/>
      <c r="AT52" s="60"/>
      <c r="AU52" s="60"/>
      <c r="AV52" s="60"/>
      <c r="AW52" s="60"/>
      <c r="AX52" s="60"/>
      <c r="AY52" s="60"/>
      <c r="AZ52" s="60"/>
      <c r="BA52" s="60"/>
      <c r="BB52" s="60"/>
      <c r="BC52" s="60"/>
      <c r="BD52" s="60"/>
      <c r="BE52" s="60"/>
      <c r="BF52" s="60"/>
      <c r="BG52" s="60"/>
      <c r="BH52" s="60"/>
      <c r="BI52" s="60"/>
      <c r="BJ52" s="60"/>
      <c r="BK52" s="60"/>
      <c r="BL52" s="60"/>
      <c r="BM52" s="60"/>
      <c r="BN52" s="60"/>
      <c r="BO52" s="60"/>
      <c r="BP52" s="60"/>
      <c r="BQ52" s="60"/>
      <c r="BR52" s="60"/>
      <c r="BS52" s="60"/>
      <c r="BT52" s="60"/>
      <c r="BU52" s="60"/>
      <c r="BV52" s="60"/>
      <c r="BW52" s="60"/>
      <c r="BX52" s="60"/>
      <c r="BY52" s="60"/>
      <c r="BZ52" s="60"/>
      <c r="CA52" s="60"/>
      <c r="CB52" s="60"/>
      <c r="CC52" s="60"/>
      <c r="CD52" s="60"/>
      <c r="CE52" s="60"/>
      <c r="CF52" s="60"/>
      <c r="CG52" s="60"/>
    </row>
    <row r="53" spans="1:85" s="57" customFormat="1" ht="15" customHeight="1" x14ac:dyDescent="0.2">
      <c r="A53" s="57" t="s">
        <v>164</v>
      </c>
      <c r="B53" s="57" t="s">
        <v>234</v>
      </c>
      <c r="C53" s="57" t="s">
        <v>69</v>
      </c>
      <c r="D53" s="57">
        <v>2</v>
      </c>
      <c r="E53" s="57" t="s">
        <v>338</v>
      </c>
      <c r="F53" s="57" t="s">
        <v>339</v>
      </c>
      <c r="G53" s="57" t="s">
        <v>337</v>
      </c>
      <c r="H53" s="60"/>
      <c r="I53" s="60"/>
      <c r="J53" s="60"/>
      <c r="K53" s="60"/>
      <c r="L53" s="60"/>
      <c r="M53" s="60"/>
      <c r="N53" s="60"/>
      <c r="O53" s="60"/>
      <c r="P53" s="60"/>
      <c r="Q53" s="60"/>
      <c r="R53" s="60"/>
      <c r="S53" s="60"/>
      <c r="T53" s="60"/>
      <c r="U53" s="60"/>
      <c r="V53" s="60"/>
      <c r="W53" s="60"/>
      <c r="X53" s="60"/>
      <c r="Y53" s="60"/>
      <c r="Z53" s="60"/>
      <c r="AA53" s="60"/>
      <c r="AB53" s="60"/>
      <c r="AC53" s="60"/>
      <c r="AD53" s="60"/>
      <c r="AE53" s="60"/>
      <c r="AF53" s="60"/>
      <c r="AG53" s="60"/>
      <c r="AH53" s="60"/>
      <c r="AI53" s="60"/>
      <c r="AJ53" s="60"/>
      <c r="AK53" s="60"/>
      <c r="AL53" s="60"/>
      <c r="AM53" s="60"/>
      <c r="AN53" s="60"/>
      <c r="AO53" s="60"/>
      <c r="AP53" s="60"/>
      <c r="AQ53" s="60"/>
      <c r="AR53" s="60"/>
      <c r="AS53" s="60"/>
      <c r="AT53" s="60"/>
      <c r="AU53" s="60"/>
      <c r="AV53" s="60"/>
      <c r="AW53" s="60"/>
      <c r="AX53" s="60"/>
      <c r="AY53" s="60"/>
      <c r="AZ53" s="60"/>
      <c r="BA53" s="60"/>
      <c r="BB53" s="60"/>
      <c r="BC53" s="60"/>
      <c r="BD53" s="60"/>
      <c r="BE53" s="60"/>
      <c r="BF53" s="60"/>
      <c r="BG53" s="60"/>
      <c r="BH53" s="60"/>
      <c r="BI53" s="60"/>
      <c r="BJ53" s="60"/>
      <c r="BK53" s="60"/>
      <c r="BL53" s="60"/>
      <c r="BM53" s="60"/>
      <c r="BN53" s="60"/>
      <c r="BO53" s="60"/>
      <c r="BP53" s="60"/>
      <c r="BQ53" s="60"/>
      <c r="BR53" s="60"/>
      <c r="BS53" s="60"/>
      <c r="BT53" s="60"/>
      <c r="BU53" s="60"/>
      <c r="BV53" s="60"/>
      <c r="BW53" s="60"/>
      <c r="BX53" s="60"/>
      <c r="BY53" s="60"/>
      <c r="BZ53" s="60"/>
      <c r="CA53" s="60"/>
      <c r="CB53" s="60"/>
      <c r="CC53" s="60"/>
      <c r="CD53" s="60"/>
      <c r="CE53" s="60"/>
      <c r="CF53" s="60"/>
      <c r="CG53" s="60"/>
    </row>
    <row r="54" spans="1:85" s="57" customFormat="1" ht="15" customHeight="1" x14ac:dyDescent="0.2">
      <c r="A54" s="57" t="s">
        <v>167</v>
      </c>
      <c r="B54" s="57" t="s">
        <v>234</v>
      </c>
      <c r="C54" s="57" t="s">
        <v>69</v>
      </c>
      <c r="D54" s="57">
        <v>2</v>
      </c>
      <c r="E54" s="57" t="s">
        <v>340</v>
      </c>
      <c r="F54" s="57" t="s">
        <v>341</v>
      </c>
      <c r="G54" s="57" t="s">
        <v>337</v>
      </c>
      <c r="H54" s="60"/>
      <c r="I54" s="60"/>
      <c r="J54" s="60"/>
      <c r="K54" s="60"/>
      <c r="L54" s="60"/>
      <c r="M54" s="60"/>
      <c r="N54" s="60"/>
      <c r="O54" s="60"/>
      <c r="P54" s="60"/>
      <c r="Q54" s="60"/>
      <c r="R54" s="60"/>
      <c r="S54" s="60"/>
      <c r="T54" s="60"/>
      <c r="U54" s="60"/>
      <c r="V54" s="60"/>
      <c r="W54" s="60"/>
      <c r="X54" s="60"/>
      <c r="Y54" s="60"/>
      <c r="Z54" s="60"/>
      <c r="AA54" s="60"/>
      <c r="AB54" s="60"/>
      <c r="AC54" s="60"/>
      <c r="AD54" s="60"/>
      <c r="AE54" s="60"/>
      <c r="AF54" s="60"/>
      <c r="AG54" s="60"/>
      <c r="AH54" s="60"/>
      <c r="AI54" s="60"/>
      <c r="AJ54" s="60"/>
      <c r="AK54" s="60"/>
      <c r="AL54" s="60"/>
      <c r="AM54" s="60"/>
      <c r="AN54" s="60"/>
      <c r="AO54" s="60"/>
      <c r="AP54" s="60"/>
      <c r="AQ54" s="60"/>
      <c r="AR54" s="60"/>
      <c r="AS54" s="60"/>
      <c r="AT54" s="60"/>
      <c r="AU54" s="60"/>
      <c r="AV54" s="60"/>
      <c r="AW54" s="60"/>
      <c r="AX54" s="60"/>
      <c r="AY54" s="60"/>
      <c r="AZ54" s="60"/>
      <c r="BA54" s="60"/>
      <c r="BB54" s="60"/>
      <c r="BC54" s="60"/>
      <c r="BD54" s="60"/>
      <c r="BE54" s="60"/>
      <c r="BF54" s="60"/>
      <c r="BG54" s="60"/>
      <c r="BH54" s="60"/>
      <c r="BI54" s="60"/>
      <c r="BJ54" s="60"/>
      <c r="BK54" s="60"/>
      <c r="BL54" s="60"/>
      <c r="BM54" s="60"/>
      <c r="BN54" s="60"/>
      <c r="BO54" s="60"/>
      <c r="BP54" s="60"/>
      <c r="BQ54" s="60"/>
      <c r="BR54" s="60"/>
      <c r="BS54" s="60"/>
      <c r="BT54" s="60"/>
      <c r="BU54" s="60"/>
      <c r="BV54" s="60"/>
      <c r="BW54" s="60"/>
      <c r="BX54" s="60"/>
      <c r="BY54" s="60"/>
      <c r="BZ54" s="60"/>
      <c r="CA54" s="60"/>
      <c r="CB54" s="60"/>
      <c r="CC54" s="60"/>
      <c r="CD54" s="60"/>
      <c r="CE54" s="60"/>
      <c r="CF54" s="60"/>
      <c r="CG54" s="60"/>
    </row>
    <row r="55" spans="1:85" s="57" customFormat="1" ht="15" customHeight="1" x14ac:dyDescent="0.2">
      <c r="A55" s="57" t="s">
        <v>153</v>
      </c>
      <c r="B55" s="57" t="s">
        <v>330</v>
      </c>
      <c r="C55" s="57" t="s">
        <v>69</v>
      </c>
      <c r="D55" s="57">
        <v>2</v>
      </c>
      <c r="E55" s="57" t="s">
        <v>342</v>
      </c>
      <c r="F55" s="57" t="s">
        <v>343</v>
      </c>
      <c r="G55" s="57" t="s">
        <v>337</v>
      </c>
      <c r="H55" s="60"/>
      <c r="I55" s="60"/>
      <c r="J55" s="60"/>
      <c r="K55" s="60"/>
      <c r="L55" s="60"/>
      <c r="M55" s="60"/>
      <c r="N55" s="60"/>
      <c r="O55" s="60"/>
      <c r="P55" s="60"/>
      <c r="Q55" s="60"/>
      <c r="R55" s="60"/>
      <c r="S55" s="60"/>
      <c r="T55" s="60"/>
      <c r="U55" s="60"/>
      <c r="V55" s="60"/>
      <c r="W55" s="60"/>
      <c r="X55" s="60"/>
      <c r="Y55" s="60"/>
      <c r="Z55" s="60"/>
      <c r="AA55" s="60"/>
      <c r="AB55" s="60"/>
      <c r="AC55" s="60"/>
      <c r="AD55" s="60"/>
      <c r="AE55" s="60"/>
      <c r="AF55" s="60"/>
      <c r="AG55" s="60"/>
      <c r="AH55" s="60"/>
      <c r="AI55" s="60"/>
      <c r="AJ55" s="60"/>
      <c r="AK55" s="60"/>
      <c r="AL55" s="60"/>
      <c r="AM55" s="60"/>
      <c r="AN55" s="60"/>
      <c r="AO55" s="60"/>
      <c r="AP55" s="60"/>
      <c r="AQ55" s="60"/>
      <c r="AR55" s="60"/>
      <c r="AS55" s="60"/>
      <c r="AT55" s="60"/>
      <c r="AU55" s="60"/>
      <c r="AV55" s="60"/>
      <c r="AW55" s="60"/>
      <c r="AX55" s="60"/>
      <c r="AY55" s="60"/>
      <c r="AZ55" s="60"/>
      <c r="BA55" s="60"/>
      <c r="BB55" s="60"/>
      <c r="BC55" s="60"/>
      <c r="BD55" s="60"/>
      <c r="BE55" s="60"/>
      <c r="BF55" s="60"/>
      <c r="BG55" s="60"/>
      <c r="BH55" s="60"/>
      <c r="BI55" s="60"/>
      <c r="BJ55" s="60"/>
      <c r="BK55" s="60"/>
      <c r="BL55" s="60"/>
      <c r="BM55" s="60"/>
      <c r="BN55" s="60"/>
      <c r="BO55" s="60"/>
      <c r="BP55" s="60"/>
      <c r="BQ55" s="60"/>
      <c r="BR55" s="60"/>
      <c r="BS55" s="60"/>
      <c r="BT55" s="60"/>
      <c r="BU55" s="60"/>
      <c r="BV55" s="60"/>
      <c r="BW55" s="60"/>
      <c r="BX55" s="60"/>
      <c r="BY55" s="60"/>
      <c r="BZ55" s="60"/>
      <c r="CA55" s="60"/>
      <c r="CB55" s="60"/>
      <c r="CC55" s="60"/>
      <c r="CD55" s="60"/>
      <c r="CE55" s="60"/>
      <c r="CF55" s="60"/>
      <c r="CG55" s="60"/>
    </row>
    <row r="56" spans="1:85" s="57" customFormat="1" ht="15" customHeight="1" x14ac:dyDescent="0.2">
      <c r="A56" s="57" t="s">
        <v>114</v>
      </c>
      <c r="B56" s="57" t="s">
        <v>113</v>
      </c>
      <c r="C56" s="57" t="s">
        <v>69</v>
      </c>
      <c r="D56" s="57">
        <v>2</v>
      </c>
      <c r="E56" s="57" t="s">
        <v>344</v>
      </c>
      <c r="F56" s="57" t="s">
        <v>345</v>
      </c>
      <c r="G56" s="57" t="s">
        <v>337</v>
      </c>
      <c r="H56" s="60"/>
      <c r="I56" s="60"/>
      <c r="J56" s="60"/>
      <c r="K56" s="60"/>
      <c r="L56" s="60"/>
      <c r="M56" s="60"/>
      <c r="N56" s="60"/>
      <c r="O56" s="60"/>
      <c r="P56" s="60"/>
      <c r="Q56" s="60"/>
      <c r="R56" s="60"/>
      <c r="S56" s="60"/>
      <c r="T56" s="60"/>
      <c r="U56" s="60"/>
      <c r="V56" s="60"/>
      <c r="W56" s="60"/>
      <c r="X56" s="60"/>
      <c r="Y56" s="60"/>
      <c r="Z56" s="60"/>
      <c r="AA56" s="60"/>
      <c r="AB56" s="60"/>
      <c r="AC56" s="60"/>
      <c r="AD56" s="60"/>
      <c r="AE56" s="60"/>
      <c r="AF56" s="60"/>
      <c r="AG56" s="60"/>
      <c r="AH56" s="60"/>
      <c r="AI56" s="60"/>
      <c r="AJ56" s="60"/>
      <c r="AK56" s="60"/>
      <c r="AL56" s="60"/>
      <c r="AM56" s="60"/>
      <c r="AN56" s="60"/>
      <c r="AO56" s="60"/>
      <c r="AP56" s="60"/>
      <c r="AQ56" s="60"/>
      <c r="AR56" s="60"/>
      <c r="AS56" s="60"/>
      <c r="AT56" s="60"/>
      <c r="AU56" s="60"/>
      <c r="AV56" s="60"/>
      <c r="AW56" s="60"/>
      <c r="AX56" s="60"/>
      <c r="AY56" s="60"/>
      <c r="AZ56" s="60"/>
      <c r="BA56" s="60"/>
      <c r="BB56" s="60"/>
      <c r="BC56" s="60"/>
      <c r="BD56" s="60"/>
      <c r="BE56" s="60"/>
      <c r="BF56" s="60"/>
      <c r="BG56" s="60"/>
      <c r="BH56" s="60"/>
      <c r="BI56" s="60"/>
      <c r="BJ56" s="60"/>
      <c r="BK56" s="60"/>
      <c r="BL56" s="60"/>
      <c r="BM56" s="60"/>
      <c r="BN56" s="60"/>
      <c r="BO56" s="60"/>
      <c r="BP56" s="60"/>
      <c r="BQ56" s="60"/>
      <c r="BR56" s="60"/>
      <c r="BS56" s="60"/>
      <c r="BT56" s="60"/>
      <c r="BU56" s="60"/>
      <c r="BV56" s="60"/>
      <c r="BW56" s="60"/>
      <c r="BX56" s="60"/>
      <c r="BY56" s="60"/>
      <c r="BZ56" s="60"/>
      <c r="CA56" s="60"/>
      <c r="CB56" s="60"/>
      <c r="CC56" s="60"/>
      <c r="CD56" s="60"/>
      <c r="CE56" s="60"/>
      <c r="CF56" s="60"/>
      <c r="CG56" s="60"/>
    </row>
    <row r="57" spans="1:85" s="57" customFormat="1" ht="15" customHeight="1" x14ac:dyDescent="0.2">
      <c r="A57" s="57" t="s">
        <v>108</v>
      </c>
      <c r="B57" s="57" t="s">
        <v>107</v>
      </c>
      <c r="C57" s="57" t="s">
        <v>69</v>
      </c>
      <c r="D57" s="57">
        <v>2</v>
      </c>
      <c r="E57" s="57" t="s">
        <v>346</v>
      </c>
      <c r="F57" s="57" t="s">
        <v>347</v>
      </c>
      <c r="G57" s="57" t="s">
        <v>337</v>
      </c>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60"/>
      <c r="AL57" s="60"/>
      <c r="AM57" s="60"/>
      <c r="AN57" s="60"/>
      <c r="AO57" s="60"/>
      <c r="AP57" s="60"/>
      <c r="AQ57" s="60"/>
      <c r="AR57" s="60"/>
      <c r="AS57" s="60"/>
      <c r="AT57" s="60"/>
      <c r="AU57" s="60"/>
      <c r="AV57" s="60"/>
      <c r="AW57" s="60"/>
      <c r="AX57" s="60"/>
      <c r="AY57" s="60"/>
      <c r="AZ57" s="60"/>
      <c r="BA57" s="60"/>
      <c r="BB57" s="60"/>
      <c r="BC57" s="60"/>
      <c r="BD57" s="60"/>
      <c r="BE57" s="60"/>
      <c r="BF57" s="60"/>
      <c r="BG57" s="60"/>
      <c r="BH57" s="60"/>
      <c r="BI57" s="60"/>
      <c r="BJ57" s="60"/>
      <c r="BK57" s="60"/>
      <c r="BL57" s="60"/>
      <c r="BM57" s="60"/>
      <c r="BN57" s="60"/>
      <c r="BO57" s="60"/>
      <c r="BP57" s="60"/>
      <c r="BQ57" s="60"/>
      <c r="BR57" s="60"/>
      <c r="BS57" s="60"/>
      <c r="BT57" s="60"/>
      <c r="BU57" s="60"/>
      <c r="BV57" s="60"/>
      <c r="BW57" s="60"/>
      <c r="BX57" s="60"/>
      <c r="BY57" s="60"/>
      <c r="BZ57" s="60"/>
      <c r="CA57" s="60"/>
      <c r="CB57" s="60"/>
      <c r="CC57" s="60"/>
      <c r="CD57" s="60"/>
      <c r="CE57" s="60"/>
      <c r="CF57" s="60"/>
      <c r="CG57" s="60"/>
    </row>
    <row r="58" spans="1:85" s="57" customFormat="1" ht="15" customHeight="1" x14ac:dyDescent="0.2">
      <c r="A58" s="57" t="s">
        <v>120</v>
      </c>
      <c r="B58" s="57" t="s">
        <v>119</v>
      </c>
      <c r="C58" s="57" t="s">
        <v>69</v>
      </c>
      <c r="D58" s="57">
        <v>1</v>
      </c>
      <c r="E58" s="57" t="s">
        <v>348</v>
      </c>
      <c r="F58" s="57" t="s">
        <v>349</v>
      </c>
      <c r="G58" s="57" t="s">
        <v>337</v>
      </c>
      <c r="H58" s="60"/>
      <c r="I58" s="60"/>
      <c r="J58" s="60"/>
      <c r="K58" s="60"/>
      <c r="L58" s="60"/>
      <c r="M58" s="60"/>
      <c r="N58" s="60"/>
      <c r="O58" s="60"/>
      <c r="P58" s="60"/>
      <c r="Q58" s="60"/>
      <c r="R58" s="60"/>
      <c r="S58" s="60"/>
      <c r="T58" s="60"/>
      <c r="U58" s="60"/>
      <c r="V58" s="60"/>
      <c r="W58" s="60"/>
      <c r="X58" s="60"/>
      <c r="Y58" s="60"/>
      <c r="Z58" s="60"/>
      <c r="AA58" s="60"/>
      <c r="AB58" s="60"/>
      <c r="AC58" s="60"/>
      <c r="AD58" s="60"/>
      <c r="AE58" s="60"/>
      <c r="AF58" s="60"/>
      <c r="AG58" s="60"/>
      <c r="AH58" s="60"/>
      <c r="AI58" s="60"/>
      <c r="AJ58" s="60"/>
      <c r="AK58" s="60"/>
      <c r="AL58" s="60"/>
      <c r="AM58" s="60"/>
      <c r="AN58" s="60"/>
      <c r="AO58" s="60"/>
      <c r="AP58" s="60"/>
      <c r="AQ58" s="60"/>
      <c r="AR58" s="60"/>
      <c r="AS58" s="60"/>
      <c r="AT58" s="60"/>
      <c r="AU58" s="60"/>
      <c r="AV58" s="60"/>
      <c r="AW58" s="60"/>
      <c r="AX58" s="60"/>
      <c r="AY58" s="60"/>
      <c r="AZ58" s="60"/>
      <c r="BA58" s="60"/>
      <c r="BB58" s="60"/>
      <c r="BC58" s="60"/>
      <c r="BD58" s="60"/>
      <c r="BE58" s="60"/>
      <c r="BF58" s="60"/>
      <c r="BG58" s="60"/>
      <c r="BH58" s="60"/>
      <c r="BI58" s="60"/>
      <c r="BJ58" s="60"/>
      <c r="BK58" s="60"/>
      <c r="BL58" s="60"/>
      <c r="BM58" s="60"/>
      <c r="BN58" s="60"/>
      <c r="BO58" s="60"/>
      <c r="BP58" s="60"/>
      <c r="BQ58" s="60"/>
      <c r="BR58" s="60"/>
      <c r="BS58" s="60"/>
      <c r="BT58" s="60"/>
      <c r="BU58" s="60"/>
      <c r="BV58" s="60"/>
      <c r="BW58" s="60"/>
      <c r="BX58" s="60"/>
      <c r="BY58" s="60"/>
      <c r="BZ58" s="60"/>
      <c r="CA58" s="60"/>
      <c r="CB58" s="60"/>
      <c r="CC58" s="60"/>
      <c r="CD58" s="60"/>
      <c r="CE58" s="60"/>
      <c r="CF58" s="60"/>
      <c r="CG58" s="60"/>
    </row>
    <row r="59" spans="1:85" s="57" customFormat="1" ht="15" customHeight="1" x14ac:dyDescent="0.2">
      <c r="A59" s="57" t="s">
        <v>148</v>
      </c>
      <c r="B59" s="57" t="s">
        <v>147</v>
      </c>
      <c r="C59" s="57" t="s">
        <v>69</v>
      </c>
      <c r="D59" s="57">
        <v>2</v>
      </c>
      <c r="E59" s="57" t="s">
        <v>350</v>
      </c>
      <c r="F59" s="57" t="s">
        <v>351</v>
      </c>
      <c r="G59" s="57" t="s">
        <v>337</v>
      </c>
      <c r="H59" s="60"/>
      <c r="I59" s="60"/>
      <c r="J59" s="60"/>
      <c r="K59" s="60"/>
      <c r="L59" s="60"/>
      <c r="M59" s="60"/>
      <c r="N59" s="60"/>
      <c r="O59" s="60"/>
      <c r="P59" s="60"/>
      <c r="Q59" s="60"/>
      <c r="R59" s="60"/>
      <c r="S59" s="60"/>
      <c r="T59" s="60"/>
      <c r="U59" s="60"/>
      <c r="V59" s="60"/>
      <c r="W59" s="60"/>
      <c r="X59" s="60"/>
      <c r="Y59" s="60"/>
      <c r="Z59" s="60"/>
      <c r="AA59" s="60"/>
      <c r="AB59" s="60"/>
      <c r="AC59" s="60"/>
      <c r="AD59" s="60"/>
      <c r="AE59" s="60"/>
      <c r="AF59" s="60"/>
      <c r="AG59" s="60"/>
      <c r="AH59" s="60"/>
      <c r="AI59" s="60"/>
      <c r="AJ59" s="60"/>
      <c r="AK59" s="60"/>
      <c r="AL59" s="60"/>
      <c r="AM59" s="60"/>
      <c r="AN59" s="60"/>
      <c r="AO59" s="60"/>
      <c r="AP59" s="60"/>
      <c r="AQ59" s="60"/>
      <c r="AR59" s="60"/>
      <c r="AS59" s="60"/>
      <c r="AT59" s="60"/>
      <c r="AU59" s="60"/>
      <c r="AV59" s="60"/>
      <c r="AW59" s="60"/>
      <c r="AX59" s="60"/>
      <c r="AY59" s="60"/>
      <c r="AZ59" s="60"/>
      <c r="BA59" s="60"/>
      <c r="BB59" s="60"/>
      <c r="BC59" s="60"/>
      <c r="BD59" s="60"/>
      <c r="BE59" s="60"/>
      <c r="BF59" s="60"/>
      <c r="BG59" s="60"/>
      <c r="BH59" s="60"/>
      <c r="BI59" s="60"/>
      <c r="BJ59" s="60"/>
      <c r="BK59" s="60"/>
      <c r="BL59" s="60"/>
      <c r="BM59" s="60"/>
      <c r="BN59" s="60"/>
      <c r="BO59" s="60"/>
      <c r="BP59" s="60"/>
      <c r="BQ59" s="60"/>
      <c r="BR59" s="60"/>
      <c r="BS59" s="60"/>
      <c r="BT59" s="60"/>
      <c r="BU59" s="60"/>
      <c r="BV59" s="60"/>
      <c r="BW59" s="60"/>
      <c r="BX59" s="60"/>
      <c r="BY59" s="60"/>
      <c r="BZ59" s="60"/>
      <c r="CA59" s="60"/>
      <c r="CB59" s="60"/>
      <c r="CC59" s="60"/>
      <c r="CD59" s="60"/>
      <c r="CE59" s="60"/>
      <c r="CF59" s="60"/>
      <c r="CG59" s="60"/>
    </row>
    <row r="60" spans="1:85" s="57" customFormat="1" ht="15" customHeight="1" x14ac:dyDescent="0.2">
      <c r="A60" s="57" t="s">
        <v>157</v>
      </c>
      <c r="B60" s="57" t="s">
        <v>234</v>
      </c>
      <c r="C60" s="57" t="s">
        <v>352</v>
      </c>
      <c r="D60" s="57">
        <v>2</v>
      </c>
      <c r="E60" s="57" t="s">
        <v>353</v>
      </c>
      <c r="F60" s="57" t="s">
        <v>354</v>
      </c>
      <c r="G60" s="57" t="s">
        <v>355</v>
      </c>
      <c r="H60" s="60"/>
      <c r="I60" s="60"/>
      <c r="J60" s="60"/>
      <c r="K60" s="60"/>
      <c r="L60" s="60"/>
      <c r="M60" s="60"/>
      <c r="N60" s="60"/>
      <c r="O60" s="60"/>
      <c r="P60" s="60"/>
      <c r="Q60" s="60"/>
      <c r="R60" s="60"/>
      <c r="S60" s="60"/>
      <c r="T60" s="60"/>
      <c r="U60" s="60"/>
      <c r="V60" s="60"/>
      <c r="W60" s="60"/>
      <c r="X60" s="60"/>
      <c r="Y60" s="60"/>
      <c r="Z60" s="60"/>
      <c r="AA60" s="60"/>
      <c r="AB60" s="60"/>
      <c r="AC60" s="60"/>
      <c r="AD60" s="60"/>
      <c r="AE60" s="60"/>
      <c r="AF60" s="60"/>
      <c r="AG60" s="60"/>
      <c r="AH60" s="60"/>
      <c r="AI60" s="60"/>
      <c r="AJ60" s="60"/>
      <c r="AK60" s="60"/>
      <c r="AL60" s="60"/>
      <c r="AM60" s="60"/>
      <c r="AN60" s="60"/>
      <c r="AO60" s="60"/>
      <c r="AP60" s="60"/>
      <c r="AQ60" s="60"/>
      <c r="AR60" s="60"/>
      <c r="AS60" s="60"/>
      <c r="AT60" s="60"/>
      <c r="AU60" s="60"/>
      <c r="AV60" s="60"/>
      <c r="AW60" s="60"/>
      <c r="AX60" s="60"/>
      <c r="AY60" s="60"/>
      <c r="AZ60" s="60"/>
      <c r="BA60" s="60"/>
      <c r="BB60" s="60"/>
      <c r="BC60" s="60"/>
      <c r="BD60" s="60"/>
      <c r="BE60" s="60"/>
      <c r="BF60" s="60"/>
      <c r="BG60" s="60"/>
      <c r="BH60" s="60"/>
      <c r="BI60" s="60"/>
      <c r="BJ60" s="60"/>
      <c r="BK60" s="60"/>
      <c r="BL60" s="60"/>
      <c r="BM60" s="60"/>
      <c r="BN60" s="60"/>
      <c r="BO60" s="60"/>
      <c r="BP60" s="60"/>
      <c r="BQ60" s="60"/>
      <c r="BR60" s="60"/>
      <c r="BS60" s="60"/>
      <c r="BT60" s="60"/>
      <c r="BU60" s="60"/>
      <c r="BV60" s="60"/>
      <c r="BW60" s="60"/>
      <c r="BX60" s="60"/>
      <c r="BY60" s="60"/>
      <c r="BZ60" s="60"/>
      <c r="CA60" s="60"/>
      <c r="CB60" s="60"/>
      <c r="CC60" s="60"/>
      <c r="CD60" s="60"/>
      <c r="CE60" s="60"/>
      <c r="CF60" s="60"/>
      <c r="CG60" s="60"/>
    </row>
    <row r="61" spans="1:85" s="57" customFormat="1" ht="15" customHeight="1" x14ac:dyDescent="0.2">
      <c r="A61" s="57" t="s">
        <v>164</v>
      </c>
      <c r="B61" s="57" t="s">
        <v>234</v>
      </c>
      <c r="C61" s="57" t="s">
        <v>352</v>
      </c>
      <c r="D61" s="57">
        <v>2</v>
      </c>
      <c r="E61" s="57" t="s">
        <v>356</v>
      </c>
      <c r="F61" s="57" t="s">
        <v>357</v>
      </c>
      <c r="G61" s="57" t="s">
        <v>355</v>
      </c>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AX61" s="60"/>
      <c r="AY61" s="60"/>
      <c r="AZ61" s="60"/>
      <c r="BA61" s="60"/>
      <c r="BB61" s="60"/>
      <c r="BC61" s="60"/>
      <c r="BD61" s="60"/>
      <c r="BE61" s="60"/>
      <c r="BF61" s="60"/>
      <c r="BG61" s="60"/>
      <c r="BH61" s="60"/>
      <c r="BI61" s="60"/>
      <c r="BJ61" s="60"/>
      <c r="BK61" s="60"/>
      <c r="BL61" s="60"/>
      <c r="BM61" s="60"/>
      <c r="BN61" s="60"/>
      <c r="BO61" s="60"/>
      <c r="BP61" s="60"/>
      <c r="BQ61" s="60"/>
      <c r="BR61" s="60"/>
      <c r="BS61" s="60"/>
      <c r="BT61" s="60"/>
      <c r="BU61" s="60"/>
      <c r="BV61" s="60"/>
      <c r="BW61" s="60"/>
      <c r="BX61" s="60"/>
      <c r="BY61" s="60"/>
      <c r="BZ61" s="60"/>
      <c r="CA61" s="60"/>
      <c r="CB61" s="60"/>
      <c r="CC61" s="60"/>
      <c r="CD61" s="60"/>
      <c r="CE61" s="60"/>
      <c r="CF61" s="60"/>
      <c r="CG61" s="60"/>
    </row>
    <row r="62" spans="1:85" s="57" customFormat="1" ht="15" customHeight="1" x14ac:dyDescent="0.2">
      <c r="A62" s="57" t="s">
        <v>167</v>
      </c>
      <c r="B62" s="57" t="s">
        <v>234</v>
      </c>
      <c r="C62" s="57" t="s">
        <v>352</v>
      </c>
      <c r="D62" s="57">
        <v>2</v>
      </c>
      <c r="E62" s="57" t="s">
        <v>358</v>
      </c>
      <c r="F62" s="57" t="s">
        <v>359</v>
      </c>
      <c r="G62" s="57" t="s">
        <v>355</v>
      </c>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c r="BA62" s="60"/>
      <c r="BB62" s="60"/>
      <c r="BC62" s="60"/>
      <c r="BD62" s="60"/>
      <c r="BE62" s="60"/>
      <c r="BF62" s="60"/>
      <c r="BG62" s="60"/>
      <c r="BH62" s="60"/>
      <c r="BI62" s="60"/>
      <c r="BJ62" s="60"/>
      <c r="BK62" s="60"/>
      <c r="BL62" s="60"/>
      <c r="BM62" s="60"/>
      <c r="BN62" s="60"/>
      <c r="BO62" s="60"/>
      <c r="BP62" s="60"/>
      <c r="BQ62" s="60"/>
      <c r="BR62" s="60"/>
      <c r="BS62" s="60"/>
      <c r="BT62" s="60"/>
      <c r="BU62" s="60"/>
      <c r="BV62" s="60"/>
      <c r="BW62" s="60"/>
      <c r="BX62" s="60"/>
      <c r="BY62" s="60"/>
      <c r="BZ62" s="60"/>
      <c r="CA62" s="60"/>
      <c r="CB62" s="60"/>
      <c r="CC62" s="60"/>
      <c r="CD62" s="60"/>
      <c r="CE62" s="60"/>
      <c r="CF62" s="60"/>
      <c r="CG62" s="60"/>
    </row>
    <row r="63" spans="1:85" s="57" customFormat="1" ht="15" customHeight="1" x14ac:dyDescent="0.2">
      <c r="A63" s="57" t="s">
        <v>264</v>
      </c>
      <c r="B63" s="57" t="s">
        <v>258</v>
      </c>
      <c r="C63" s="57" t="s">
        <v>352</v>
      </c>
      <c r="D63" s="57">
        <v>2</v>
      </c>
      <c r="E63" s="57" t="s">
        <v>360</v>
      </c>
      <c r="F63" s="57" t="s">
        <v>361</v>
      </c>
      <c r="G63" s="57" t="s">
        <v>355</v>
      </c>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c r="AZ63" s="60"/>
      <c r="BA63" s="60"/>
      <c r="BB63" s="60"/>
      <c r="BC63" s="60"/>
      <c r="BD63" s="60"/>
      <c r="BE63" s="60"/>
      <c r="BF63" s="60"/>
      <c r="BG63" s="60"/>
      <c r="BH63" s="60"/>
      <c r="BI63" s="60"/>
      <c r="BJ63" s="60"/>
      <c r="BK63" s="60"/>
      <c r="BL63" s="60"/>
      <c r="BM63" s="60"/>
      <c r="BN63" s="60"/>
      <c r="BO63" s="60"/>
      <c r="BP63" s="60"/>
      <c r="BQ63" s="60"/>
      <c r="BR63" s="60"/>
      <c r="BS63" s="60"/>
      <c r="BT63" s="60"/>
      <c r="BU63" s="60"/>
      <c r="BV63" s="60"/>
      <c r="BW63" s="60"/>
      <c r="BX63" s="60"/>
      <c r="BY63" s="60"/>
      <c r="BZ63" s="60"/>
      <c r="CA63" s="60"/>
      <c r="CB63" s="60"/>
      <c r="CC63" s="60"/>
      <c r="CD63" s="60"/>
      <c r="CE63" s="60"/>
      <c r="CF63" s="60"/>
      <c r="CG63" s="60"/>
    </row>
    <row r="64" spans="1:85" s="57" customFormat="1" ht="15" customHeight="1" x14ac:dyDescent="0.2">
      <c r="A64" s="57" t="s">
        <v>114</v>
      </c>
      <c r="B64" s="57" t="s">
        <v>113</v>
      </c>
      <c r="C64" s="57" t="s">
        <v>352</v>
      </c>
      <c r="D64" s="57">
        <v>2</v>
      </c>
      <c r="E64" s="57" t="s">
        <v>362</v>
      </c>
      <c r="F64" s="57" t="s">
        <v>363</v>
      </c>
      <c r="G64" s="57" t="s">
        <v>355</v>
      </c>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c r="AO64" s="60"/>
      <c r="AP64" s="60"/>
      <c r="AQ64" s="60"/>
      <c r="AR64" s="60"/>
      <c r="AS64" s="60"/>
      <c r="AT64" s="60"/>
      <c r="AU64" s="60"/>
      <c r="AV64" s="60"/>
      <c r="AW64" s="60"/>
      <c r="AX64" s="60"/>
      <c r="AY64" s="60"/>
      <c r="AZ64" s="60"/>
      <c r="BA64" s="60"/>
      <c r="BB64" s="60"/>
      <c r="BC64" s="60"/>
      <c r="BD64" s="60"/>
      <c r="BE64" s="60"/>
      <c r="BF64" s="60"/>
      <c r="BG64" s="60"/>
      <c r="BH64" s="60"/>
      <c r="BI64" s="60"/>
      <c r="BJ64" s="60"/>
      <c r="BK64" s="60"/>
      <c r="BL64" s="60"/>
      <c r="BM64" s="60"/>
      <c r="BN64" s="60"/>
      <c r="BO64" s="60"/>
      <c r="BP64" s="60"/>
      <c r="BQ64" s="60"/>
      <c r="BR64" s="60"/>
      <c r="BS64" s="60"/>
      <c r="BT64" s="60"/>
      <c r="BU64" s="60"/>
      <c r="BV64" s="60"/>
      <c r="BW64" s="60"/>
      <c r="BX64" s="60"/>
      <c r="BY64" s="60"/>
      <c r="BZ64" s="60"/>
      <c r="CA64" s="60"/>
      <c r="CB64" s="60"/>
      <c r="CC64" s="60"/>
      <c r="CD64" s="60"/>
      <c r="CE64" s="60"/>
      <c r="CF64" s="60"/>
      <c r="CG64" s="60"/>
    </row>
    <row r="65" spans="1:85" s="57" customFormat="1" ht="15" customHeight="1" x14ac:dyDescent="0.2">
      <c r="A65" s="57" t="s">
        <v>108</v>
      </c>
      <c r="B65" s="57" t="s">
        <v>107</v>
      </c>
      <c r="C65" s="57" t="s">
        <v>352</v>
      </c>
      <c r="D65" s="57">
        <v>1</v>
      </c>
      <c r="E65" s="57" t="s">
        <v>364</v>
      </c>
      <c r="F65" s="57" t="s">
        <v>365</v>
      </c>
      <c r="G65" s="57" t="s">
        <v>355</v>
      </c>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c r="AO65" s="60"/>
      <c r="AP65" s="60"/>
      <c r="AQ65" s="60"/>
      <c r="AR65" s="60"/>
      <c r="AS65" s="60"/>
      <c r="AT65" s="60"/>
      <c r="AU65" s="60"/>
      <c r="AV65" s="60"/>
      <c r="AW65" s="60"/>
      <c r="AX65" s="60"/>
      <c r="AY65" s="60"/>
      <c r="AZ65" s="60"/>
      <c r="BA65" s="60"/>
      <c r="BB65" s="60"/>
      <c r="BC65" s="60"/>
      <c r="BD65" s="60"/>
      <c r="BE65" s="60"/>
      <c r="BF65" s="60"/>
      <c r="BG65" s="60"/>
      <c r="BH65" s="60"/>
      <c r="BI65" s="60"/>
      <c r="BJ65" s="60"/>
      <c r="BK65" s="60"/>
      <c r="BL65" s="60"/>
      <c r="BM65" s="60"/>
      <c r="BN65" s="60"/>
      <c r="BO65" s="60"/>
      <c r="BP65" s="60"/>
      <c r="BQ65" s="60"/>
      <c r="BR65" s="60"/>
      <c r="BS65" s="60"/>
      <c r="BT65" s="60"/>
      <c r="BU65" s="60"/>
      <c r="BV65" s="60"/>
      <c r="BW65" s="60"/>
      <c r="BX65" s="60"/>
      <c r="BY65" s="60"/>
      <c r="BZ65" s="60"/>
      <c r="CA65" s="60"/>
      <c r="CB65" s="60"/>
      <c r="CC65" s="60"/>
      <c r="CD65" s="60"/>
      <c r="CE65" s="60"/>
      <c r="CF65" s="60"/>
      <c r="CG65" s="60"/>
    </row>
    <row r="66" spans="1:85" s="57" customFormat="1" ht="15" customHeight="1" x14ac:dyDescent="0.2">
      <c r="A66" s="57" t="s">
        <v>153</v>
      </c>
      <c r="B66" s="57" t="s">
        <v>330</v>
      </c>
      <c r="C66" s="57" t="s">
        <v>352</v>
      </c>
      <c r="D66" s="57">
        <v>1</v>
      </c>
      <c r="E66" s="57" t="s">
        <v>366</v>
      </c>
      <c r="F66" s="57" t="s">
        <v>367</v>
      </c>
      <c r="G66" s="57" t="s">
        <v>355</v>
      </c>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AX66" s="60"/>
      <c r="AY66" s="60"/>
      <c r="AZ66" s="60"/>
      <c r="BA66" s="60"/>
      <c r="BB66" s="60"/>
      <c r="BC66" s="60"/>
      <c r="BD66" s="60"/>
      <c r="BE66" s="60"/>
      <c r="BF66" s="60"/>
      <c r="BG66" s="60"/>
      <c r="BH66" s="60"/>
      <c r="BI66" s="60"/>
      <c r="BJ66" s="60"/>
      <c r="BK66" s="60"/>
      <c r="BL66" s="60"/>
      <c r="BM66" s="60"/>
      <c r="BN66" s="60"/>
      <c r="BO66" s="60"/>
      <c r="BP66" s="60"/>
      <c r="BQ66" s="60"/>
      <c r="BR66" s="60"/>
      <c r="BS66" s="60"/>
      <c r="BT66" s="60"/>
      <c r="BU66" s="60"/>
      <c r="BV66" s="60"/>
      <c r="BW66" s="60"/>
      <c r="BX66" s="60"/>
      <c r="BY66" s="60"/>
      <c r="BZ66" s="60"/>
      <c r="CA66" s="60"/>
      <c r="CB66" s="60"/>
      <c r="CC66" s="60"/>
      <c r="CD66" s="60"/>
      <c r="CE66" s="60"/>
      <c r="CF66" s="60"/>
      <c r="CG66" s="60"/>
    </row>
    <row r="67" spans="1:85" s="57" customFormat="1" ht="15" customHeight="1" x14ac:dyDescent="0.2">
      <c r="A67" s="57" t="s">
        <v>134</v>
      </c>
      <c r="B67" s="57" t="s">
        <v>133</v>
      </c>
      <c r="C67" s="57" t="s">
        <v>352</v>
      </c>
      <c r="D67" s="57">
        <v>2</v>
      </c>
      <c r="E67" s="57" t="s">
        <v>368</v>
      </c>
      <c r="F67" s="57" t="s">
        <v>369</v>
      </c>
      <c r="G67" s="57" t="s">
        <v>355</v>
      </c>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60"/>
      <c r="AH67" s="60"/>
      <c r="AI67" s="60"/>
      <c r="AJ67" s="60"/>
      <c r="AK67" s="60"/>
      <c r="AL67" s="60"/>
      <c r="AM67" s="60"/>
      <c r="AN67" s="60"/>
      <c r="AO67" s="60"/>
      <c r="AP67" s="60"/>
      <c r="AQ67" s="60"/>
      <c r="AR67" s="60"/>
      <c r="AS67" s="60"/>
      <c r="AT67" s="60"/>
      <c r="AU67" s="60"/>
      <c r="AV67" s="60"/>
      <c r="AW67" s="60"/>
      <c r="AX67" s="60"/>
      <c r="AY67" s="60"/>
      <c r="AZ67" s="60"/>
      <c r="BA67" s="60"/>
      <c r="BB67" s="60"/>
      <c r="BC67" s="60"/>
      <c r="BD67" s="60"/>
      <c r="BE67" s="60"/>
      <c r="BF67" s="60"/>
      <c r="BG67" s="60"/>
      <c r="BH67" s="60"/>
      <c r="BI67" s="60"/>
      <c r="BJ67" s="60"/>
      <c r="BK67" s="60"/>
      <c r="BL67" s="60"/>
      <c r="BM67" s="60"/>
      <c r="BN67" s="60"/>
      <c r="BO67" s="60"/>
      <c r="BP67" s="60"/>
      <c r="BQ67" s="60"/>
      <c r="BR67" s="60"/>
      <c r="BS67" s="60"/>
      <c r="BT67" s="60"/>
      <c r="BU67" s="60"/>
      <c r="BV67" s="60"/>
      <c r="BW67" s="60"/>
      <c r="BX67" s="60"/>
      <c r="BY67" s="60"/>
      <c r="BZ67" s="60"/>
      <c r="CA67" s="60"/>
      <c r="CB67" s="60"/>
      <c r="CC67" s="60"/>
      <c r="CD67" s="60"/>
      <c r="CE67" s="60"/>
      <c r="CF67" s="60"/>
      <c r="CG67" s="60"/>
    </row>
    <row r="68" spans="1:85" s="57" customFormat="1" ht="15" customHeight="1" x14ac:dyDescent="0.2">
      <c r="A68" s="57" t="s">
        <v>148</v>
      </c>
      <c r="B68" s="57" t="s">
        <v>147</v>
      </c>
      <c r="C68" s="57" t="s">
        <v>352</v>
      </c>
      <c r="D68" s="57">
        <v>1</v>
      </c>
      <c r="E68" s="57" t="s">
        <v>370</v>
      </c>
      <c r="F68" s="57" t="s">
        <v>371</v>
      </c>
      <c r="G68" s="57" t="s">
        <v>355</v>
      </c>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0"/>
      <c r="AS68" s="60"/>
      <c r="AT68" s="60"/>
      <c r="AU68" s="60"/>
      <c r="AV68" s="60"/>
      <c r="AW68" s="60"/>
      <c r="AX68" s="60"/>
      <c r="AY68" s="60"/>
      <c r="AZ68" s="60"/>
      <c r="BA68" s="60"/>
      <c r="BB68" s="60"/>
      <c r="BC68" s="60"/>
      <c r="BD68" s="60"/>
      <c r="BE68" s="60"/>
      <c r="BF68" s="60"/>
      <c r="BG68" s="60"/>
      <c r="BH68" s="60"/>
      <c r="BI68" s="60"/>
      <c r="BJ68" s="60"/>
      <c r="BK68" s="60"/>
      <c r="BL68" s="60"/>
      <c r="BM68" s="60"/>
      <c r="BN68" s="60"/>
      <c r="BO68" s="60"/>
      <c r="BP68" s="60"/>
      <c r="BQ68" s="60"/>
      <c r="BR68" s="60"/>
      <c r="BS68" s="60"/>
      <c r="BT68" s="60"/>
      <c r="BU68" s="60"/>
      <c r="BV68" s="60"/>
      <c r="BW68" s="60"/>
      <c r="BX68" s="60"/>
      <c r="BY68" s="60"/>
      <c r="BZ68" s="60"/>
      <c r="CA68" s="60"/>
      <c r="CB68" s="60"/>
      <c r="CC68" s="60"/>
      <c r="CD68" s="60"/>
      <c r="CE68" s="60"/>
      <c r="CF68" s="60"/>
      <c r="CG68" s="60"/>
    </row>
    <row r="69" spans="1:85" s="57" customFormat="1" ht="15" customHeight="1" x14ac:dyDescent="0.2">
      <c r="A69" s="57" t="s">
        <v>157</v>
      </c>
      <c r="B69" s="57" t="s">
        <v>234</v>
      </c>
      <c r="C69" s="57" t="s">
        <v>71</v>
      </c>
      <c r="D69" s="57">
        <v>2</v>
      </c>
      <c r="E69" s="57" t="s">
        <v>372</v>
      </c>
      <c r="F69" s="57" t="s">
        <v>373</v>
      </c>
      <c r="G69" s="57" t="s">
        <v>374</v>
      </c>
      <c r="H69" s="60"/>
      <c r="I69" s="60"/>
      <c r="J69" s="60"/>
      <c r="K69" s="60"/>
      <c r="L69" s="60"/>
      <c r="M69" s="60"/>
      <c r="N69" s="60"/>
      <c r="O69" s="60"/>
      <c r="P69" s="60"/>
      <c r="Q69" s="60"/>
      <c r="R69" s="60"/>
      <c r="S69" s="60"/>
      <c r="T69" s="60"/>
      <c r="U69" s="60"/>
      <c r="V69" s="60"/>
      <c r="W69" s="60"/>
      <c r="X69" s="60"/>
      <c r="Y69" s="60"/>
      <c r="Z69" s="60"/>
      <c r="AA69" s="60"/>
      <c r="AB69" s="60"/>
      <c r="AC69" s="60"/>
      <c r="AD69" s="60"/>
      <c r="AE69" s="60"/>
      <c r="AF69" s="60"/>
      <c r="AG69" s="60"/>
      <c r="AH69" s="60"/>
      <c r="AI69" s="60"/>
      <c r="AJ69" s="60"/>
      <c r="AK69" s="60"/>
      <c r="AL69" s="60"/>
      <c r="AM69" s="60"/>
      <c r="AN69" s="60"/>
      <c r="AO69" s="60"/>
      <c r="AP69" s="60"/>
      <c r="AQ69" s="60"/>
      <c r="AR69" s="60"/>
      <c r="AS69" s="60"/>
      <c r="AT69" s="60"/>
      <c r="AU69" s="60"/>
      <c r="AV69" s="60"/>
      <c r="AW69" s="60"/>
      <c r="AX69" s="60"/>
      <c r="AY69" s="60"/>
      <c r="AZ69" s="60"/>
      <c r="BA69" s="60"/>
      <c r="BB69" s="60"/>
      <c r="BC69" s="60"/>
      <c r="BD69" s="60"/>
      <c r="BE69" s="60"/>
      <c r="BF69" s="60"/>
      <c r="BG69" s="60"/>
      <c r="BH69" s="60"/>
      <c r="BI69" s="60"/>
      <c r="BJ69" s="60"/>
      <c r="BK69" s="60"/>
      <c r="BL69" s="60"/>
      <c r="BM69" s="60"/>
      <c r="BN69" s="60"/>
      <c r="BO69" s="60"/>
      <c r="BP69" s="60"/>
      <c r="BQ69" s="60"/>
      <c r="BR69" s="60"/>
      <c r="BS69" s="60"/>
      <c r="BT69" s="60"/>
      <c r="BU69" s="60"/>
      <c r="BV69" s="60"/>
      <c r="BW69" s="60"/>
      <c r="BX69" s="60"/>
      <c r="BY69" s="60"/>
      <c r="BZ69" s="60"/>
      <c r="CA69" s="60"/>
      <c r="CB69" s="60"/>
      <c r="CC69" s="60"/>
      <c r="CD69" s="60"/>
      <c r="CE69" s="60"/>
      <c r="CF69" s="60"/>
      <c r="CG69" s="60"/>
    </row>
    <row r="70" spans="1:85" s="57" customFormat="1" ht="15" customHeight="1" x14ac:dyDescent="0.2">
      <c r="A70" s="57" t="s">
        <v>167</v>
      </c>
      <c r="B70" s="57" t="s">
        <v>234</v>
      </c>
      <c r="C70" s="57" t="s">
        <v>71</v>
      </c>
      <c r="D70" s="57">
        <v>2</v>
      </c>
      <c r="E70" s="57" t="s">
        <v>375</v>
      </c>
      <c r="F70" s="57" t="s">
        <v>376</v>
      </c>
      <c r="G70" s="57" t="s">
        <v>374</v>
      </c>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60"/>
      <c r="AK70" s="60"/>
      <c r="AL70" s="60"/>
      <c r="AM70" s="60"/>
      <c r="AN70" s="60"/>
      <c r="AO70" s="60"/>
      <c r="AP70" s="60"/>
      <c r="AQ70" s="60"/>
      <c r="AR70" s="60"/>
      <c r="AS70" s="60"/>
      <c r="AT70" s="60"/>
      <c r="AU70" s="60"/>
      <c r="AV70" s="60"/>
      <c r="AW70" s="60"/>
      <c r="AX70" s="60"/>
      <c r="AY70" s="60"/>
      <c r="AZ70" s="60"/>
      <c r="BA70" s="60"/>
      <c r="BB70" s="60"/>
      <c r="BC70" s="60"/>
      <c r="BD70" s="60"/>
      <c r="BE70" s="60"/>
      <c r="BF70" s="60"/>
      <c r="BG70" s="60"/>
      <c r="BH70" s="60"/>
      <c r="BI70" s="60"/>
      <c r="BJ70" s="60"/>
      <c r="BK70" s="60"/>
      <c r="BL70" s="60"/>
      <c r="BM70" s="60"/>
      <c r="BN70" s="60"/>
      <c r="BO70" s="60"/>
      <c r="BP70" s="60"/>
      <c r="BQ70" s="60"/>
      <c r="BR70" s="60"/>
      <c r="BS70" s="60"/>
      <c r="BT70" s="60"/>
      <c r="BU70" s="60"/>
      <c r="BV70" s="60"/>
      <c r="BW70" s="60"/>
      <c r="BX70" s="60"/>
      <c r="BY70" s="60"/>
      <c r="BZ70" s="60"/>
      <c r="CA70" s="60"/>
      <c r="CB70" s="60"/>
      <c r="CC70" s="60"/>
      <c r="CD70" s="60"/>
      <c r="CE70" s="60"/>
      <c r="CF70" s="60"/>
      <c r="CG70" s="60"/>
    </row>
    <row r="71" spans="1:85" s="57" customFormat="1" ht="15" customHeight="1" x14ac:dyDescent="0.2">
      <c r="A71" s="57" t="s">
        <v>264</v>
      </c>
      <c r="B71" s="57" t="s">
        <v>258</v>
      </c>
      <c r="C71" s="57" t="s">
        <v>71</v>
      </c>
      <c r="D71" s="57">
        <v>2</v>
      </c>
      <c r="E71" s="57" t="s">
        <v>377</v>
      </c>
      <c r="F71" s="57" t="s">
        <v>378</v>
      </c>
      <c r="G71" s="57" t="s">
        <v>374</v>
      </c>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0"/>
      <c r="AS71" s="60"/>
      <c r="AT71" s="60"/>
      <c r="AU71" s="60"/>
      <c r="AV71" s="60"/>
      <c r="AW71" s="60"/>
      <c r="AX71" s="60"/>
      <c r="AY71" s="60"/>
      <c r="AZ71" s="60"/>
      <c r="BA71" s="60"/>
      <c r="BB71" s="60"/>
      <c r="BC71" s="60"/>
      <c r="BD71" s="60"/>
      <c r="BE71" s="60"/>
      <c r="BF71" s="60"/>
      <c r="BG71" s="60"/>
      <c r="BH71" s="60"/>
      <c r="BI71" s="60"/>
      <c r="BJ71" s="60"/>
      <c r="BK71" s="60"/>
      <c r="BL71" s="60"/>
      <c r="BM71" s="60"/>
      <c r="BN71" s="60"/>
      <c r="BO71" s="60"/>
      <c r="BP71" s="60"/>
      <c r="BQ71" s="60"/>
      <c r="BR71" s="60"/>
      <c r="BS71" s="60"/>
      <c r="BT71" s="60"/>
      <c r="BU71" s="60"/>
      <c r="BV71" s="60"/>
      <c r="BW71" s="60"/>
      <c r="BX71" s="60"/>
      <c r="BY71" s="60"/>
      <c r="BZ71" s="60"/>
      <c r="CA71" s="60"/>
      <c r="CB71" s="60"/>
      <c r="CC71" s="60"/>
      <c r="CD71" s="60"/>
      <c r="CE71" s="60"/>
      <c r="CF71" s="60"/>
      <c r="CG71" s="60"/>
    </row>
    <row r="72" spans="1:85" s="57" customFormat="1" ht="15" customHeight="1" x14ac:dyDescent="0.2">
      <c r="A72" s="57" t="s">
        <v>164</v>
      </c>
      <c r="B72" s="57" t="s">
        <v>234</v>
      </c>
      <c r="C72" s="57" t="s">
        <v>71</v>
      </c>
      <c r="D72" s="57">
        <v>1</v>
      </c>
      <c r="E72" s="57" t="s">
        <v>379</v>
      </c>
      <c r="F72" s="57" t="s">
        <v>380</v>
      </c>
      <c r="G72" s="57" t="s">
        <v>374</v>
      </c>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c r="AS72" s="60"/>
      <c r="AT72" s="60"/>
      <c r="AU72" s="60"/>
      <c r="AV72" s="60"/>
      <c r="AW72" s="60"/>
      <c r="AX72" s="60"/>
      <c r="AY72" s="60"/>
      <c r="AZ72" s="60"/>
      <c r="BA72" s="60"/>
      <c r="BB72" s="60"/>
      <c r="BC72" s="60"/>
      <c r="BD72" s="60"/>
      <c r="BE72" s="60"/>
      <c r="BF72" s="60"/>
      <c r="BG72" s="60"/>
      <c r="BH72" s="60"/>
      <c r="BI72" s="60"/>
      <c r="BJ72" s="60"/>
      <c r="BK72" s="60"/>
      <c r="BL72" s="60"/>
      <c r="BM72" s="60"/>
      <c r="BN72" s="60"/>
      <c r="BO72" s="60"/>
      <c r="BP72" s="60"/>
      <c r="BQ72" s="60"/>
      <c r="BR72" s="60"/>
      <c r="BS72" s="60"/>
      <c r="BT72" s="60"/>
      <c r="BU72" s="60"/>
      <c r="BV72" s="60"/>
      <c r="BW72" s="60"/>
      <c r="BX72" s="60"/>
      <c r="BY72" s="60"/>
      <c r="BZ72" s="60"/>
      <c r="CA72" s="60"/>
      <c r="CB72" s="60"/>
      <c r="CC72" s="60"/>
      <c r="CD72" s="60"/>
      <c r="CE72" s="60"/>
      <c r="CF72" s="60"/>
      <c r="CG72" s="60"/>
    </row>
    <row r="73" spans="1:85" s="57" customFormat="1" ht="15" customHeight="1" x14ac:dyDescent="0.2">
      <c r="A73" s="57" t="s">
        <v>148</v>
      </c>
      <c r="B73" s="57" t="s">
        <v>147</v>
      </c>
      <c r="C73" s="57" t="s">
        <v>71</v>
      </c>
      <c r="D73" s="57">
        <v>1</v>
      </c>
      <c r="E73" s="57" t="s">
        <v>381</v>
      </c>
      <c r="F73" s="57" t="s">
        <v>382</v>
      </c>
      <c r="G73" s="57" t="s">
        <v>374</v>
      </c>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0"/>
      <c r="AP73" s="60"/>
      <c r="AQ73" s="60"/>
      <c r="AR73" s="60"/>
      <c r="AS73" s="60"/>
      <c r="AT73" s="60"/>
      <c r="AU73" s="60"/>
      <c r="AV73" s="60"/>
      <c r="AW73" s="60"/>
      <c r="AX73" s="60"/>
      <c r="AY73" s="60"/>
      <c r="AZ73" s="60"/>
      <c r="BA73" s="60"/>
      <c r="BB73" s="60"/>
      <c r="BC73" s="60"/>
      <c r="BD73" s="60"/>
      <c r="BE73" s="60"/>
      <c r="BF73" s="60"/>
      <c r="BG73" s="60"/>
      <c r="BH73" s="60"/>
      <c r="BI73" s="60"/>
      <c r="BJ73" s="60"/>
      <c r="BK73" s="60"/>
      <c r="BL73" s="60"/>
      <c r="BM73" s="60"/>
      <c r="BN73" s="60"/>
      <c r="BO73" s="60"/>
      <c r="BP73" s="60"/>
      <c r="BQ73" s="60"/>
      <c r="BR73" s="60"/>
      <c r="BS73" s="60"/>
      <c r="BT73" s="60"/>
      <c r="BU73" s="60"/>
      <c r="BV73" s="60"/>
      <c r="BW73" s="60"/>
      <c r="BX73" s="60"/>
      <c r="BY73" s="60"/>
      <c r="BZ73" s="60"/>
      <c r="CA73" s="60"/>
      <c r="CB73" s="60"/>
      <c r="CC73" s="60"/>
      <c r="CD73" s="60"/>
      <c r="CE73" s="60"/>
      <c r="CF73" s="60"/>
      <c r="CG73" s="60"/>
    </row>
    <row r="74" spans="1:85" s="57" customFormat="1" ht="15" customHeight="1" x14ac:dyDescent="0.2">
      <c r="A74" s="57" t="s">
        <v>114</v>
      </c>
      <c r="B74" s="57" t="s">
        <v>113</v>
      </c>
      <c r="C74" s="57" t="s">
        <v>71</v>
      </c>
      <c r="D74" s="57">
        <v>1</v>
      </c>
      <c r="E74" s="57" t="s">
        <v>383</v>
      </c>
      <c r="F74" s="57" t="s">
        <v>384</v>
      </c>
      <c r="G74" s="57" t="s">
        <v>374</v>
      </c>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60"/>
      <c r="AH74" s="60"/>
      <c r="AI74" s="60"/>
      <c r="AJ74" s="60"/>
      <c r="AK74" s="60"/>
      <c r="AL74" s="60"/>
      <c r="AM74" s="60"/>
      <c r="AN74" s="60"/>
      <c r="AO74" s="60"/>
      <c r="AP74" s="60"/>
      <c r="AQ74" s="60"/>
      <c r="AR74" s="60"/>
      <c r="AS74" s="60"/>
      <c r="AT74" s="60"/>
      <c r="AU74" s="60"/>
      <c r="AV74" s="60"/>
      <c r="AW74" s="60"/>
      <c r="AX74" s="60"/>
      <c r="AY74" s="60"/>
      <c r="AZ74" s="60"/>
      <c r="BA74" s="60"/>
      <c r="BB74" s="60"/>
      <c r="BC74" s="60"/>
      <c r="BD74" s="60"/>
      <c r="BE74" s="60"/>
      <c r="BF74" s="60"/>
      <c r="BG74" s="60"/>
      <c r="BH74" s="60"/>
      <c r="BI74" s="60"/>
      <c r="BJ74" s="60"/>
      <c r="BK74" s="60"/>
      <c r="BL74" s="60"/>
      <c r="BM74" s="60"/>
      <c r="BN74" s="60"/>
      <c r="BO74" s="60"/>
      <c r="BP74" s="60"/>
      <c r="BQ74" s="60"/>
      <c r="BR74" s="60"/>
      <c r="BS74" s="60"/>
      <c r="BT74" s="60"/>
      <c r="BU74" s="60"/>
      <c r="BV74" s="60"/>
      <c r="BW74" s="60"/>
      <c r="BX74" s="60"/>
      <c r="BY74" s="60"/>
      <c r="BZ74" s="60"/>
      <c r="CA74" s="60"/>
      <c r="CB74" s="60"/>
      <c r="CC74" s="60"/>
      <c r="CD74" s="60"/>
      <c r="CE74" s="60"/>
      <c r="CF74" s="60"/>
      <c r="CG74" s="60"/>
    </row>
    <row r="75" spans="1:85" s="57" customFormat="1" ht="15" customHeight="1" x14ac:dyDescent="0.2">
      <c r="A75" s="57" t="s">
        <v>153</v>
      </c>
      <c r="B75" s="57" t="s">
        <v>330</v>
      </c>
      <c r="C75" s="57" t="s">
        <v>71</v>
      </c>
      <c r="D75" s="57">
        <v>1</v>
      </c>
      <c r="E75" s="57" t="s">
        <v>385</v>
      </c>
      <c r="F75" s="57" t="s">
        <v>386</v>
      </c>
      <c r="G75" s="57" t="s">
        <v>374</v>
      </c>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60"/>
      <c r="AM75" s="60"/>
      <c r="AN75" s="60"/>
      <c r="AO75" s="60"/>
      <c r="AP75" s="60"/>
      <c r="AQ75" s="60"/>
      <c r="AR75" s="60"/>
      <c r="AS75" s="60"/>
      <c r="AT75" s="60"/>
      <c r="AU75" s="60"/>
      <c r="AV75" s="60"/>
      <c r="AW75" s="60"/>
      <c r="AX75" s="60"/>
      <c r="AY75" s="60"/>
      <c r="AZ75" s="60"/>
      <c r="BA75" s="60"/>
      <c r="BB75" s="60"/>
      <c r="BC75" s="60"/>
      <c r="BD75" s="60"/>
      <c r="BE75" s="60"/>
      <c r="BF75" s="60"/>
      <c r="BG75" s="60"/>
      <c r="BH75" s="60"/>
      <c r="BI75" s="60"/>
      <c r="BJ75" s="60"/>
      <c r="BK75" s="60"/>
      <c r="BL75" s="60"/>
      <c r="BM75" s="60"/>
      <c r="BN75" s="60"/>
      <c r="BO75" s="60"/>
      <c r="BP75" s="60"/>
      <c r="BQ75" s="60"/>
      <c r="BR75" s="60"/>
      <c r="BS75" s="60"/>
      <c r="BT75" s="60"/>
      <c r="BU75" s="60"/>
      <c r="BV75" s="60"/>
      <c r="BW75" s="60"/>
      <c r="BX75" s="60"/>
      <c r="BY75" s="60"/>
      <c r="BZ75" s="60"/>
      <c r="CA75" s="60"/>
      <c r="CB75" s="60"/>
      <c r="CC75" s="60"/>
      <c r="CD75" s="60"/>
      <c r="CE75" s="60"/>
      <c r="CF75" s="60"/>
      <c r="CG75" s="60"/>
    </row>
    <row r="76" spans="1:85" s="57" customFormat="1" ht="15" customHeight="1" x14ac:dyDescent="0.2">
      <c r="A76" s="57" t="s">
        <v>157</v>
      </c>
      <c r="B76" s="57" t="s">
        <v>234</v>
      </c>
      <c r="C76" s="57" t="s">
        <v>72</v>
      </c>
      <c r="D76" s="57">
        <v>2</v>
      </c>
      <c r="E76" s="57" t="s">
        <v>387</v>
      </c>
      <c r="F76" s="57" t="s">
        <v>388</v>
      </c>
      <c r="G76" s="57" t="s">
        <v>389</v>
      </c>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0"/>
      <c r="AZ76" s="60"/>
      <c r="BA76" s="60"/>
      <c r="BB76" s="60"/>
      <c r="BC76" s="60"/>
      <c r="BD76" s="60"/>
      <c r="BE76" s="60"/>
      <c r="BF76" s="60"/>
      <c r="BG76" s="60"/>
      <c r="BH76" s="60"/>
      <c r="BI76" s="60"/>
      <c r="BJ76" s="60"/>
      <c r="BK76" s="60"/>
      <c r="BL76" s="60"/>
      <c r="BM76" s="60"/>
      <c r="BN76" s="60"/>
      <c r="BO76" s="60"/>
      <c r="BP76" s="60"/>
      <c r="BQ76" s="60"/>
      <c r="BR76" s="60"/>
      <c r="BS76" s="60"/>
      <c r="BT76" s="60"/>
      <c r="BU76" s="60"/>
      <c r="BV76" s="60"/>
      <c r="BW76" s="60"/>
      <c r="BX76" s="60"/>
      <c r="BY76" s="60"/>
      <c r="BZ76" s="60"/>
      <c r="CA76" s="60"/>
      <c r="CB76" s="60"/>
      <c r="CC76" s="60"/>
      <c r="CD76" s="60"/>
      <c r="CE76" s="60"/>
      <c r="CF76" s="60"/>
      <c r="CG76" s="60"/>
    </row>
    <row r="77" spans="1:85" s="57" customFormat="1" ht="15" customHeight="1" x14ac:dyDescent="0.2">
      <c r="A77" s="57" t="s">
        <v>161</v>
      </c>
      <c r="B77" s="57" t="s">
        <v>234</v>
      </c>
      <c r="C77" s="57" t="s">
        <v>72</v>
      </c>
      <c r="D77" s="57">
        <v>2</v>
      </c>
      <c r="E77" s="57" t="s">
        <v>390</v>
      </c>
      <c r="F77" s="57" t="s">
        <v>391</v>
      </c>
      <c r="G77" s="57" t="s">
        <v>389</v>
      </c>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0"/>
      <c r="AZ77" s="60"/>
      <c r="BA77" s="60"/>
      <c r="BB77" s="60"/>
      <c r="BC77" s="60"/>
      <c r="BD77" s="60"/>
      <c r="BE77" s="60"/>
      <c r="BF77" s="60"/>
      <c r="BG77" s="60"/>
      <c r="BH77" s="60"/>
      <c r="BI77" s="60"/>
      <c r="BJ77" s="60"/>
      <c r="BK77" s="60"/>
      <c r="BL77" s="60"/>
      <c r="BM77" s="60"/>
      <c r="BN77" s="60"/>
      <c r="BO77" s="60"/>
      <c r="BP77" s="60"/>
      <c r="BQ77" s="60"/>
      <c r="BR77" s="60"/>
      <c r="BS77" s="60"/>
      <c r="BT77" s="60"/>
      <c r="BU77" s="60"/>
      <c r="BV77" s="60"/>
      <c r="BW77" s="60"/>
      <c r="BX77" s="60"/>
      <c r="BY77" s="60"/>
      <c r="BZ77" s="60"/>
      <c r="CA77" s="60"/>
      <c r="CB77" s="60"/>
      <c r="CC77" s="60"/>
      <c r="CD77" s="60"/>
      <c r="CE77" s="60"/>
      <c r="CF77" s="60"/>
      <c r="CG77" s="60"/>
    </row>
    <row r="78" spans="1:85" s="57" customFormat="1" ht="15" customHeight="1" x14ac:dyDescent="0.2">
      <c r="A78" s="57" t="s">
        <v>164</v>
      </c>
      <c r="B78" s="57" t="s">
        <v>234</v>
      </c>
      <c r="C78" s="57" t="s">
        <v>72</v>
      </c>
      <c r="D78" s="57">
        <v>1</v>
      </c>
      <c r="E78" s="57" t="s">
        <v>392</v>
      </c>
      <c r="F78" s="57" t="s">
        <v>393</v>
      </c>
      <c r="G78" s="57" t="s">
        <v>389</v>
      </c>
      <c r="H78" s="60"/>
      <c r="I78" s="60"/>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0"/>
      <c r="AZ78" s="60"/>
      <c r="BA78" s="60"/>
      <c r="BB78" s="60"/>
      <c r="BC78" s="60"/>
      <c r="BD78" s="60"/>
      <c r="BE78" s="60"/>
      <c r="BF78" s="60"/>
      <c r="BG78" s="60"/>
      <c r="BH78" s="60"/>
      <c r="BI78" s="60"/>
      <c r="BJ78" s="60"/>
      <c r="BK78" s="60"/>
      <c r="BL78" s="60"/>
      <c r="BM78" s="60"/>
      <c r="BN78" s="60"/>
      <c r="BO78" s="60"/>
      <c r="BP78" s="60"/>
      <c r="BQ78" s="60"/>
      <c r="BR78" s="60"/>
      <c r="BS78" s="60"/>
      <c r="BT78" s="60"/>
      <c r="BU78" s="60"/>
      <c r="BV78" s="60"/>
      <c r="BW78" s="60"/>
      <c r="BX78" s="60"/>
      <c r="BY78" s="60"/>
      <c r="BZ78" s="60"/>
      <c r="CA78" s="60"/>
      <c r="CB78" s="60"/>
      <c r="CC78" s="60"/>
      <c r="CD78" s="60"/>
      <c r="CE78" s="60"/>
      <c r="CF78" s="60"/>
      <c r="CG78" s="60"/>
    </row>
    <row r="79" spans="1:85" s="57" customFormat="1" ht="15" customHeight="1" x14ac:dyDescent="0.2">
      <c r="A79" s="57" t="s">
        <v>167</v>
      </c>
      <c r="B79" s="57" t="s">
        <v>234</v>
      </c>
      <c r="C79" s="57" t="s">
        <v>72</v>
      </c>
      <c r="D79" s="57">
        <v>1</v>
      </c>
      <c r="E79" s="57" t="s">
        <v>394</v>
      </c>
      <c r="F79" s="57" t="s">
        <v>395</v>
      </c>
      <c r="G79" s="57" t="s">
        <v>389</v>
      </c>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0"/>
      <c r="AZ79" s="60"/>
      <c r="BA79" s="60"/>
      <c r="BB79" s="60"/>
      <c r="BC79" s="60"/>
      <c r="BD79" s="60"/>
      <c r="BE79" s="60"/>
      <c r="BF79" s="60"/>
      <c r="BG79" s="60"/>
      <c r="BH79" s="60"/>
      <c r="BI79" s="60"/>
      <c r="BJ79" s="60"/>
      <c r="BK79" s="60"/>
      <c r="BL79" s="60"/>
      <c r="BM79" s="60"/>
      <c r="BN79" s="60"/>
      <c r="BO79" s="60"/>
      <c r="BP79" s="60"/>
      <c r="BQ79" s="60"/>
      <c r="BR79" s="60"/>
      <c r="BS79" s="60"/>
      <c r="BT79" s="60"/>
      <c r="BU79" s="60"/>
      <c r="BV79" s="60"/>
      <c r="BW79" s="60"/>
      <c r="BX79" s="60"/>
      <c r="BY79" s="60"/>
      <c r="BZ79" s="60"/>
      <c r="CA79" s="60"/>
      <c r="CB79" s="60"/>
      <c r="CC79" s="60"/>
      <c r="CD79" s="60"/>
      <c r="CE79" s="60"/>
      <c r="CF79" s="60"/>
      <c r="CG79" s="60"/>
    </row>
    <row r="80" spans="1:85" s="57" customFormat="1" ht="15" customHeight="1" x14ac:dyDescent="0.2">
      <c r="A80" s="57" t="s">
        <v>153</v>
      </c>
      <c r="B80" s="57" t="s">
        <v>330</v>
      </c>
      <c r="C80" s="57" t="s">
        <v>72</v>
      </c>
      <c r="D80" s="57">
        <v>1</v>
      </c>
      <c r="E80" s="57" t="s">
        <v>396</v>
      </c>
      <c r="F80" s="57" t="s">
        <v>397</v>
      </c>
      <c r="G80" s="57" t="s">
        <v>389</v>
      </c>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X80" s="60"/>
      <c r="AY80" s="60"/>
      <c r="AZ80" s="60"/>
      <c r="BA80" s="60"/>
      <c r="BB80" s="60"/>
      <c r="BC80" s="60"/>
      <c r="BD80" s="60"/>
      <c r="BE80" s="60"/>
      <c r="BF80" s="60"/>
      <c r="BG80" s="60"/>
      <c r="BH80" s="60"/>
      <c r="BI80" s="60"/>
      <c r="BJ80" s="60"/>
      <c r="BK80" s="60"/>
      <c r="BL80" s="60"/>
      <c r="BM80" s="60"/>
      <c r="BN80" s="60"/>
      <c r="BO80" s="60"/>
      <c r="BP80" s="60"/>
      <c r="BQ80" s="60"/>
      <c r="BR80" s="60"/>
      <c r="BS80" s="60"/>
      <c r="BT80" s="60"/>
      <c r="BU80" s="60"/>
      <c r="BV80" s="60"/>
      <c r="BW80" s="60"/>
      <c r="BX80" s="60"/>
      <c r="BY80" s="60"/>
      <c r="BZ80" s="60"/>
      <c r="CA80" s="60"/>
      <c r="CB80" s="60"/>
      <c r="CC80" s="60"/>
      <c r="CD80" s="60"/>
      <c r="CE80" s="60"/>
      <c r="CF80" s="60"/>
      <c r="CG80" s="60"/>
    </row>
    <row r="81" spans="1:1023 1025:2047 2049:3071 3073:4095 4097:5119 5121:6143 6145:7167 7169:8191 8193:9215 9217:10239 10241:11263 11265:12287 12289:13311 13313:14335 14337:15359 15361:16383" ht="15" customHeight="1" x14ac:dyDescent="0.2">
      <c r="A81" s="57" t="s">
        <v>132</v>
      </c>
      <c r="B81" s="57" t="s">
        <v>130</v>
      </c>
      <c r="C81" s="57" t="s">
        <v>398</v>
      </c>
      <c r="D81" s="57">
        <v>2</v>
      </c>
      <c r="E81" s="57" t="s">
        <v>399</v>
      </c>
      <c r="F81" s="57" t="s">
        <v>400</v>
      </c>
      <c r="G81" s="57" t="s">
        <v>401</v>
      </c>
    </row>
    <row r="82" spans="1:1023 1025:2047 2049:3071 3073:4095 4097:5119 5121:6143 6145:7167 7169:8191 8193:9215 9217:10239 10241:11263 11265:12287 12289:13311 13313:14335 14337:15359 15361:16383" ht="15" customHeight="1" x14ac:dyDescent="0.2">
      <c r="A82" s="57" t="s">
        <v>134</v>
      </c>
      <c r="B82" s="57" t="s">
        <v>133</v>
      </c>
      <c r="C82" s="57" t="s">
        <v>398</v>
      </c>
      <c r="D82" s="57">
        <v>2</v>
      </c>
      <c r="E82" s="57" t="s">
        <v>402</v>
      </c>
      <c r="F82" s="57" t="s">
        <v>403</v>
      </c>
      <c r="G82" s="57" t="s">
        <v>401</v>
      </c>
    </row>
    <row r="83" spans="1:1023 1025:2047 2049:3071 3073:4095 4097:5119 5121:6143 6145:7167 7169:8191 8193:9215 9217:10239 10241:11263 11265:12287 12289:13311 13313:14335 14337:15359 15361:16383" ht="15" customHeight="1" x14ac:dyDescent="0.2">
      <c r="A83" s="57" t="s">
        <v>404</v>
      </c>
      <c r="B83" s="57" t="s">
        <v>139</v>
      </c>
      <c r="C83" s="57" t="s">
        <v>398</v>
      </c>
      <c r="D83" s="57">
        <v>1</v>
      </c>
      <c r="E83" s="57" t="s">
        <v>405</v>
      </c>
      <c r="F83" s="57" t="s">
        <v>406</v>
      </c>
      <c r="G83" s="57" t="s">
        <v>401</v>
      </c>
    </row>
    <row r="84" spans="1:1023 1025:2047 2049:3071 3073:4095 4097:5119 5121:6143 6145:7167 7169:8191 8193:9215 9217:10239 10241:11263 11265:12287 12289:13311 13313:14335 14337:15359 15361:16383" ht="15" customHeight="1" x14ac:dyDescent="0.2">
      <c r="A84" s="57" t="s">
        <v>407</v>
      </c>
      <c r="B84" s="57" t="s">
        <v>141</v>
      </c>
      <c r="C84" s="57" t="s">
        <v>398</v>
      </c>
      <c r="D84" s="57">
        <v>1</v>
      </c>
      <c r="E84" s="57" t="s">
        <v>408</v>
      </c>
      <c r="F84" s="57" t="s">
        <v>409</v>
      </c>
      <c r="G84" s="57" t="s">
        <v>401</v>
      </c>
    </row>
    <row r="85" spans="1:1023 1025:2047 2049:3071 3073:4095 4097:5119 5121:6143 6145:7167 7169:8191 8193:9215 9217:10239 10241:11263 11265:12287 12289:13311 13313:14335 14337:15359 15361:16383" ht="15" customHeight="1" x14ac:dyDescent="0.2">
      <c r="A85" s="57" t="s">
        <v>410</v>
      </c>
      <c r="B85" s="57" t="s">
        <v>135</v>
      </c>
      <c r="C85" s="57" t="s">
        <v>398</v>
      </c>
      <c r="D85" s="57">
        <v>1</v>
      </c>
      <c r="E85" s="57" t="s">
        <v>411</v>
      </c>
      <c r="F85" s="57" t="s">
        <v>412</v>
      </c>
      <c r="G85" s="57" t="s">
        <v>401</v>
      </c>
    </row>
    <row r="86" spans="1:1023 1025:2047 2049:3071 3073:4095 4097:5119 5121:6143 6145:7167 7169:8191 8193:9215 9217:10239 10241:11263 11265:12287 12289:13311 13313:14335 14337:15359 15361:16383" ht="15" customHeight="1" x14ac:dyDescent="0.2">
      <c r="A86" s="57" t="s">
        <v>413</v>
      </c>
      <c r="B86" s="57" t="s">
        <v>147</v>
      </c>
      <c r="C86" s="57" t="s">
        <v>398</v>
      </c>
      <c r="D86" s="57">
        <v>1</v>
      </c>
      <c r="E86" s="57" t="s">
        <v>414</v>
      </c>
      <c r="F86" s="57" t="s">
        <v>415</v>
      </c>
      <c r="G86" s="57" t="s">
        <v>416</v>
      </c>
    </row>
    <row r="87" spans="1:1023 1025:2047 2049:3071 3073:4095 4097:5119 5121:6143 6145:7167 7169:8191 8193:9215 9217:10239 10241:11263 11265:12287 12289:13311 13313:14335 14337:15359 15361:16383" ht="15" customHeight="1" x14ac:dyDescent="0.2">
      <c r="A87" s="57" t="s">
        <v>417</v>
      </c>
      <c r="B87" s="57" t="s">
        <v>121</v>
      </c>
      <c r="C87" s="57" t="s">
        <v>398</v>
      </c>
      <c r="D87" s="57">
        <v>1</v>
      </c>
      <c r="E87" s="57" t="s">
        <v>418</v>
      </c>
      <c r="F87" s="57" t="s">
        <v>419</v>
      </c>
      <c r="G87" s="57" t="s">
        <v>420</v>
      </c>
    </row>
    <row r="88" spans="1:1023 1025:2047 2049:3071 3073:4095 4097:5119 5121:6143 6145:7167 7169:8191 8193:9215 9217:10239 10241:11263 11265:12287 12289:13311 13313:14335 14337:15359 15361:16383" ht="15" customHeight="1" x14ac:dyDescent="0.2">
      <c r="A88" s="57" t="s">
        <v>421</v>
      </c>
      <c r="B88" s="57" t="s">
        <v>124</v>
      </c>
      <c r="C88" s="57" t="s">
        <v>398</v>
      </c>
      <c r="D88" s="57">
        <v>1</v>
      </c>
      <c r="E88" s="57" t="s">
        <v>418</v>
      </c>
      <c r="F88" s="57" t="s">
        <v>422</v>
      </c>
      <c r="G88" s="57" t="s">
        <v>420</v>
      </c>
    </row>
    <row r="89" spans="1:1023 1025:2047 2049:3071 3073:4095 4097:5119 5121:6143 6145:7167 7169:8191 8193:9215 9217:10239 10241:11263 11265:12287 12289:13311 13313:14335 14337:15359 15361:16383" ht="15" customHeight="1" x14ac:dyDescent="0.2">
      <c r="A89" s="57" t="s">
        <v>120</v>
      </c>
      <c r="B89" s="57" t="s">
        <v>119</v>
      </c>
      <c r="C89" s="57" t="s">
        <v>398</v>
      </c>
      <c r="D89" s="57">
        <v>1</v>
      </c>
      <c r="E89" s="57" t="s">
        <v>423</v>
      </c>
      <c r="F89" s="57" t="s">
        <v>424</v>
      </c>
      <c r="G89" s="57" t="s">
        <v>420</v>
      </c>
    </row>
    <row r="90" spans="1:1023 1025:2047 2049:3071 3073:4095 4097:5119 5121:6143 6145:7167 7169:8191 8193:9215 9217:10239 10241:11263 11265:12287 12289:13311 13313:14335 14337:15359 15361:16383" ht="15" customHeight="1" x14ac:dyDescent="0.2">
      <c r="A90" s="57" t="s">
        <v>425</v>
      </c>
      <c r="B90" s="57" t="s">
        <v>105</v>
      </c>
      <c r="C90" s="57" t="s">
        <v>398</v>
      </c>
      <c r="D90" s="57">
        <v>1</v>
      </c>
      <c r="E90" s="57" t="s">
        <v>426</v>
      </c>
      <c r="F90" s="57" t="s">
        <v>427</v>
      </c>
      <c r="G90" s="57" t="s">
        <v>428</v>
      </c>
      <c r="I90" s="13" t="s">
        <v>429</v>
      </c>
      <c r="J90" s="13" t="s">
        <v>143</v>
      </c>
      <c r="K90" s="13" t="s">
        <v>398</v>
      </c>
      <c r="L90" s="13">
        <v>1</v>
      </c>
      <c r="M90" s="13" t="s">
        <v>430</v>
      </c>
      <c r="N90" s="13" t="s">
        <v>431</v>
      </c>
      <c r="O90" s="13" t="s">
        <v>432</v>
      </c>
      <c r="Q90" s="13" t="s">
        <v>429</v>
      </c>
      <c r="R90" s="13" t="s">
        <v>143</v>
      </c>
      <c r="S90" s="13" t="s">
        <v>398</v>
      </c>
      <c r="T90" s="13">
        <v>1</v>
      </c>
      <c r="U90" s="13" t="s">
        <v>430</v>
      </c>
      <c r="V90" s="13" t="s">
        <v>431</v>
      </c>
      <c r="W90" s="13" t="s">
        <v>432</v>
      </c>
      <c r="Y90" s="13" t="s">
        <v>429</v>
      </c>
      <c r="Z90" s="13" t="s">
        <v>143</v>
      </c>
      <c r="AA90" s="13" t="s">
        <v>398</v>
      </c>
      <c r="AB90" s="13">
        <v>1</v>
      </c>
      <c r="AC90" s="13" t="s">
        <v>430</v>
      </c>
      <c r="AD90" s="13" t="s">
        <v>431</v>
      </c>
      <c r="AE90" s="13" t="s">
        <v>432</v>
      </c>
      <c r="AG90" s="13" t="s">
        <v>429</v>
      </c>
      <c r="AH90" s="13" t="s">
        <v>143</v>
      </c>
      <c r="AI90" s="13" t="s">
        <v>398</v>
      </c>
      <c r="AJ90" s="13">
        <v>1</v>
      </c>
      <c r="AK90" s="13" t="s">
        <v>430</v>
      </c>
      <c r="AL90" s="13" t="s">
        <v>431</v>
      </c>
      <c r="AM90" s="13" t="s">
        <v>432</v>
      </c>
      <c r="AO90" s="13" t="s">
        <v>429</v>
      </c>
      <c r="AP90" s="13" t="s">
        <v>143</v>
      </c>
      <c r="AQ90" s="13" t="s">
        <v>398</v>
      </c>
      <c r="AR90" s="13">
        <v>1</v>
      </c>
      <c r="AS90" s="13" t="s">
        <v>430</v>
      </c>
      <c r="AT90" s="13" t="s">
        <v>431</v>
      </c>
      <c r="AU90" s="13" t="s">
        <v>432</v>
      </c>
      <c r="AW90" s="13" t="s">
        <v>429</v>
      </c>
      <c r="AX90" s="13" t="s">
        <v>143</v>
      </c>
      <c r="AY90" s="13" t="s">
        <v>398</v>
      </c>
      <c r="AZ90" s="13">
        <v>1</v>
      </c>
      <c r="BA90" s="13" t="s">
        <v>430</v>
      </c>
      <c r="BB90" s="13" t="s">
        <v>431</v>
      </c>
      <c r="BC90" s="13" t="s">
        <v>432</v>
      </c>
      <c r="BE90" s="13" t="s">
        <v>429</v>
      </c>
      <c r="BF90" s="13" t="s">
        <v>143</v>
      </c>
      <c r="BG90" s="13" t="s">
        <v>398</v>
      </c>
      <c r="BH90" s="13">
        <v>1</v>
      </c>
      <c r="BI90" s="13" t="s">
        <v>430</v>
      </c>
      <c r="BJ90" s="13" t="s">
        <v>431</v>
      </c>
      <c r="BK90" s="13" t="s">
        <v>432</v>
      </c>
      <c r="BM90" s="13" t="s">
        <v>429</v>
      </c>
      <c r="BN90" s="13" t="s">
        <v>143</v>
      </c>
      <c r="BO90" s="13" t="s">
        <v>398</v>
      </c>
      <c r="BP90" s="13">
        <v>1</v>
      </c>
      <c r="BQ90" s="13" t="s">
        <v>430</v>
      </c>
      <c r="BR90" s="13" t="s">
        <v>431</v>
      </c>
      <c r="BS90" s="13" t="s">
        <v>432</v>
      </c>
      <c r="BU90" s="13" t="s">
        <v>429</v>
      </c>
      <c r="BV90" s="13" t="s">
        <v>143</v>
      </c>
      <c r="BW90" s="13" t="s">
        <v>398</v>
      </c>
      <c r="BX90" s="13">
        <v>1</v>
      </c>
      <c r="BY90" s="13" t="s">
        <v>430</v>
      </c>
      <c r="BZ90" s="13" t="s">
        <v>431</v>
      </c>
      <c r="CA90" s="13" t="s">
        <v>432</v>
      </c>
      <c r="CC90" s="13" t="s">
        <v>429</v>
      </c>
      <c r="CD90" s="13" t="s">
        <v>143</v>
      </c>
      <c r="CE90" s="13" t="s">
        <v>398</v>
      </c>
      <c r="CF90" s="13">
        <v>1</v>
      </c>
      <c r="CG90" s="13" t="s">
        <v>430</v>
      </c>
      <c r="CH90" t="s">
        <v>431</v>
      </c>
      <c r="CI90" t="s">
        <v>432</v>
      </c>
      <c r="CK90" t="s">
        <v>429</v>
      </c>
      <c r="CL90" t="s">
        <v>143</v>
      </c>
      <c r="CM90" t="s">
        <v>398</v>
      </c>
      <c r="CN90">
        <v>1</v>
      </c>
      <c r="CO90" t="s">
        <v>430</v>
      </c>
      <c r="CP90" t="s">
        <v>431</v>
      </c>
      <c r="CQ90" t="s">
        <v>432</v>
      </c>
      <c r="CS90" t="s">
        <v>429</v>
      </c>
      <c r="CT90" t="s">
        <v>143</v>
      </c>
      <c r="CU90" t="s">
        <v>398</v>
      </c>
      <c r="CV90">
        <v>1</v>
      </c>
      <c r="CW90" t="s">
        <v>430</v>
      </c>
      <c r="CX90" t="s">
        <v>431</v>
      </c>
      <c r="CY90" t="s">
        <v>432</v>
      </c>
      <c r="DA90" t="s">
        <v>429</v>
      </c>
      <c r="DB90" t="s">
        <v>143</v>
      </c>
      <c r="DC90" t="s">
        <v>398</v>
      </c>
      <c r="DD90">
        <v>1</v>
      </c>
      <c r="DE90" t="s">
        <v>430</v>
      </c>
      <c r="DF90" t="s">
        <v>431</v>
      </c>
      <c r="DG90" t="s">
        <v>432</v>
      </c>
      <c r="DI90" t="s">
        <v>429</v>
      </c>
      <c r="DJ90" t="s">
        <v>143</v>
      </c>
      <c r="DK90" t="s">
        <v>398</v>
      </c>
      <c r="DL90">
        <v>1</v>
      </c>
      <c r="DM90" t="s">
        <v>430</v>
      </c>
      <c r="DN90" t="s">
        <v>431</v>
      </c>
      <c r="DO90" t="s">
        <v>432</v>
      </c>
      <c r="DQ90" t="s">
        <v>429</v>
      </c>
      <c r="DR90" t="s">
        <v>143</v>
      </c>
      <c r="DS90" t="s">
        <v>398</v>
      </c>
      <c r="DT90">
        <v>1</v>
      </c>
      <c r="DU90" t="s">
        <v>430</v>
      </c>
      <c r="DV90" t="s">
        <v>431</v>
      </c>
      <c r="DW90" t="s">
        <v>432</v>
      </c>
      <c r="DY90" t="s">
        <v>429</v>
      </c>
      <c r="DZ90" t="s">
        <v>143</v>
      </c>
      <c r="EA90" t="s">
        <v>398</v>
      </c>
      <c r="EB90">
        <v>1</v>
      </c>
      <c r="EC90" t="s">
        <v>430</v>
      </c>
      <c r="ED90" t="s">
        <v>431</v>
      </c>
      <c r="EE90" t="s">
        <v>432</v>
      </c>
      <c r="EG90" t="s">
        <v>429</v>
      </c>
      <c r="EH90" t="s">
        <v>143</v>
      </c>
      <c r="EI90" t="s">
        <v>398</v>
      </c>
      <c r="EJ90">
        <v>1</v>
      </c>
      <c r="EK90" t="s">
        <v>430</v>
      </c>
      <c r="EL90" t="s">
        <v>431</v>
      </c>
      <c r="EM90" t="s">
        <v>432</v>
      </c>
      <c r="EO90" t="s">
        <v>429</v>
      </c>
      <c r="EP90" t="s">
        <v>143</v>
      </c>
      <c r="EQ90" t="s">
        <v>398</v>
      </c>
      <c r="ER90">
        <v>1</v>
      </c>
      <c r="ES90" t="s">
        <v>430</v>
      </c>
      <c r="ET90" t="s">
        <v>431</v>
      </c>
      <c r="EU90" t="s">
        <v>432</v>
      </c>
      <c r="EW90" t="s">
        <v>429</v>
      </c>
      <c r="EX90" t="s">
        <v>143</v>
      </c>
      <c r="EY90" t="s">
        <v>398</v>
      </c>
      <c r="EZ90">
        <v>1</v>
      </c>
      <c r="FA90" t="s">
        <v>430</v>
      </c>
      <c r="FB90" t="s">
        <v>431</v>
      </c>
      <c r="FC90" t="s">
        <v>432</v>
      </c>
      <c r="FE90" t="s">
        <v>429</v>
      </c>
      <c r="FF90" t="s">
        <v>143</v>
      </c>
      <c r="FG90" t="s">
        <v>398</v>
      </c>
      <c r="FH90">
        <v>1</v>
      </c>
      <c r="FI90" t="s">
        <v>430</v>
      </c>
      <c r="FJ90" t="s">
        <v>431</v>
      </c>
      <c r="FK90" t="s">
        <v>432</v>
      </c>
      <c r="FM90" t="s">
        <v>429</v>
      </c>
      <c r="FN90" t="s">
        <v>143</v>
      </c>
      <c r="FO90" t="s">
        <v>398</v>
      </c>
      <c r="FP90">
        <v>1</v>
      </c>
      <c r="FQ90" t="s">
        <v>430</v>
      </c>
      <c r="FR90" t="s">
        <v>431</v>
      </c>
      <c r="FS90" t="s">
        <v>432</v>
      </c>
      <c r="FU90" t="s">
        <v>429</v>
      </c>
      <c r="FV90" t="s">
        <v>143</v>
      </c>
      <c r="FW90" t="s">
        <v>398</v>
      </c>
      <c r="FX90">
        <v>1</v>
      </c>
      <c r="FY90" t="s">
        <v>430</v>
      </c>
      <c r="FZ90" t="s">
        <v>431</v>
      </c>
      <c r="GA90" t="s">
        <v>432</v>
      </c>
      <c r="GC90" t="s">
        <v>429</v>
      </c>
      <c r="GD90" t="s">
        <v>143</v>
      </c>
      <c r="GE90" t="s">
        <v>398</v>
      </c>
      <c r="GF90">
        <v>1</v>
      </c>
      <c r="GG90" t="s">
        <v>430</v>
      </c>
      <c r="GH90" t="s">
        <v>431</v>
      </c>
      <c r="GI90" t="s">
        <v>432</v>
      </c>
      <c r="GK90" t="s">
        <v>429</v>
      </c>
      <c r="GL90" t="s">
        <v>143</v>
      </c>
      <c r="GM90" t="s">
        <v>398</v>
      </c>
      <c r="GN90">
        <v>1</v>
      </c>
      <c r="GO90" t="s">
        <v>430</v>
      </c>
      <c r="GP90" t="s">
        <v>431</v>
      </c>
      <c r="GQ90" t="s">
        <v>432</v>
      </c>
      <c r="GS90" t="s">
        <v>429</v>
      </c>
      <c r="GT90" t="s">
        <v>143</v>
      </c>
      <c r="GU90" t="s">
        <v>398</v>
      </c>
      <c r="GV90">
        <v>1</v>
      </c>
      <c r="GW90" t="s">
        <v>430</v>
      </c>
      <c r="GX90" t="s">
        <v>431</v>
      </c>
      <c r="GY90" t="s">
        <v>432</v>
      </c>
      <c r="HA90" t="s">
        <v>429</v>
      </c>
      <c r="HB90" t="s">
        <v>143</v>
      </c>
      <c r="HC90" t="s">
        <v>398</v>
      </c>
      <c r="HD90">
        <v>1</v>
      </c>
      <c r="HE90" t="s">
        <v>430</v>
      </c>
      <c r="HF90" t="s">
        <v>431</v>
      </c>
      <c r="HG90" t="s">
        <v>432</v>
      </c>
      <c r="HI90" t="s">
        <v>429</v>
      </c>
      <c r="HJ90" t="s">
        <v>143</v>
      </c>
      <c r="HK90" t="s">
        <v>398</v>
      </c>
      <c r="HL90">
        <v>1</v>
      </c>
      <c r="HM90" t="s">
        <v>430</v>
      </c>
      <c r="HN90" t="s">
        <v>431</v>
      </c>
      <c r="HO90" t="s">
        <v>432</v>
      </c>
      <c r="HQ90" t="s">
        <v>429</v>
      </c>
      <c r="HR90" t="s">
        <v>143</v>
      </c>
      <c r="HS90" t="s">
        <v>398</v>
      </c>
      <c r="HT90">
        <v>1</v>
      </c>
      <c r="HU90" t="s">
        <v>430</v>
      </c>
      <c r="HV90" t="s">
        <v>431</v>
      </c>
      <c r="HW90" t="s">
        <v>432</v>
      </c>
      <c r="HY90" t="s">
        <v>429</v>
      </c>
      <c r="HZ90" t="s">
        <v>143</v>
      </c>
      <c r="IA90" t="s">
        <v>398</v>
      </c>
      <c r="IB90">
        <v>1</v>
      </c>
      <c r="IC90" t="s">
        <v>430</v>
      </c>
      <c r="ID90" t="s">
        <v>431</v>
      </c>
      <c r="IE90" t="s">
        <v>432</v>
      </c>
      <c r="IG90" t="s">
        <v>429</v>
      </c>
      <c r="IH90" t="s">
        <v>143</v>
      </c>
      <c r="II90" t="s">
        <v>398</v>
      </c>
      <c r="IJ90">
        <v>1</v>
      </c>
      <c r="IK90" t="s">
        <v>430</v>
      </c>
      <c r="IL90" t="s">
        <v>431</v>
      </c>
      <c r="IM90" t="s">
        <v>432</v>
      </c>
      <c r="IO90" t="s">
        <v>429</v>
      </c>
      <c r="IP90" t="s">
        <v>143</v>
      </c>
      <c r="IQ90" t="s">
        <v>398</v>
      </c>
      <c r="IR90">
        <v>1</v>
      </c>
      <c r="IS90" t="s">
        <v>430</v>
      </c>
      <c r="IT90" t="s">
        <v>431</v>
      </c>
      <c r="IU90" t="s">
        <v>432</v>
      </c>
      <c r="IW90" t="s">
        <v>429</v>
      </c>
      <c r="IX90" t="s">
        <v>143</v>
      </c>
      <c r="IY90" t="s">
        <v>398</v>
      </c>
      <c r="IZ90">
        <v>1</v>
      </c>
      <c r="JA90" t="s">
        <v>430</v>
      </c>
      <c r="JB90" t="s">
        <v>431</v>
      </c>
      <c r="JC90" t="s">
        <v>432</v>
      </c>
      <c r="JE90" t="s">
        <v>429</v>
      </c>
      <c r="JF90" t="s">
        <v>143</v>
      </c>
      <c r="JG90" t="s">
        <v>398</v>
      </c>
      <c r="JH90">
        <v>1</v>
      </c>
      <c r="JI90" t="s">
        <v>430</v>
      </c>
      <c r="JJ90" t="s">
        <v>431</v>
      </c>
      <c r="JK90" t="s">
        <v>432</v>
      </c>
      <c r="JM90" t="s">
        <v>429</v>
      </c>
      <c r="JN90" t="s">
        <v>143</v>
      </c>
      <c r="JO90" t="s">
        <v>398</v>
      </c>
      <c r="JP90">
        <v>1</v>
      </c>
      <c r="JQ90" t="s">
        <v>430</v>
      </c>
      <c r="JR90" t="s">
        <v>431</v>
      </c>
      <c r="JS90" t="s">
        <v>432</v>
      </c>
      <c r="JU90" t="s">
        <v>429</v>
      </c>
      <c r="JV90" t="s">
        <v>143</v>
      </c>
      <c r="JW90" t="s">
        <v>398</v>
      </c>
      <c r="JX90">
        <v>1</v>
      </c>
      <c r="JY90" t="s">
        <v>430</v>
      </c>
      <c r="JZ90" t="s">
        <v>431</v>
      </c>
      <c r="KA90" t="s">
        <v>432</v>
      </c>
      <c r="KC90" t="s">
        <v>429</v>
      </c>
      <c r="KD90" t="s">
        <v>143</v>
      </c>
      <c r="KE90" t="s">
        <v>398</v>
      </c>
      <c r="KF90">
        <v>1</v>
      </c>
      <c r="KG90" t="s">
        <v>430</v>
      </c>
      <c r="KH90" t="s">
        <v>431</v>
      </c>
      <c r="KI90" t="s">
        <v>432</v>
      </c>
      <c r="KK90" t="s">
        <v>429</v>
      </c>
      <c r="KL90" t="s">
        <v>143</v>
      </c>
      <c r="KM90" t="s">
        <v>398</v>
      </c>
      <c r="KN90">
        <v>1</v>
      </c>
      <c r="KO90" t="s">
        <v>430</v>
      </c>
      <c r="KP90" t="s">
        <v>431</v>
      </c>
      <c r="KQ90" t="s">
        <v>432</v>
      </c>
      <c r="KS90" t="s">
        <v>429</v>
      </c>
      <c r="KT90" t="s">
        <v>143</v>
      </c>
      <c r="KU90" t="s">
        <v>398</v>
      </c>
      <c r="KV90">
        <v>1</v>
      </c>
      <c r="KW90" t="s">
        <v>430</v>
      </c>
      <c r="KX90" t="s">
        <v>431</v>
      </c>
      <c r="KY90" t="s">
        <v>432</v>
      </c>
      <c r="LA90" t="s">
        <v>429</v>
      </c>
      <c r="LB90" t="s">
        <v>143</v>
      </c>
      <c r="LC90" t="s">
        <v>398</v>
      </c>
      <c r="LD90">
        <v>1</v>
      </c>
      <c r="LE90" t="s">
        <v>430</v>
      </c>
      <c r="LF90" t="s">
        <v>431</v>
      </c>
      <c r="LG90" t="s">
        <v>432</v>
      </c>
      <c r="LI90" t="s">
        <v>429</v>
      </c>
      <c r="LJ90" t="s">
        <v>143</v>
      </c>
      <c r="LK90" t="s">
        <v>398</v>
      </c>
      <c r="LL90">
        <v>1</v>
      </c>
      <c r="LM90" t="s">
        <v>430</v>
      </c>
      <c r="LN90" t="s">
        <v>431</v>
      </c>
      <c r="LO90" t="s">
        <v>432</v>
      </c>
      <c r="LQ90" t="s">
        <v>429</v>
      </c>
      <c r="LR90" t="s">
        <v>143</v>
      </c>
      <c r="LS90" t="s">
        <v>398</v>
      </c>
      <c r="LT90">
        <v>1</v>
      </c>
      <c r="LU90" t="s">
        <v>430</v>
      </c>
      <c r="LV90" t="s">
        <v>431</v>
      </c>
      <c r="LW90" t="s">
        <v>432</v>
      </c>
      <c r="LY90" t="s">
        <v>429</v>
      </c>
      <c r="LZ90" t="s">
        <v>143</v>
      </c>
      <c r="MA90" t="s">
        <v>398</v>
      </c>
      <c r="MB90">
        <v>1</v>
      </c>
      <c r="MC90" t="s">
        <v>430</v>
      </c>
      <c r="MD90" t="s">
        <v>431</v>
      </c>
      <c r="ME90" t="s">
        <v>432</v>
      </c>
      <c r="MG90" t="s">
        <v>429</v>
      </c>
      <c r="MH90" t="s">
        <v>143</v>
      </c>
      <c r="MI90" t="s">
        <v>398</v>
      </c>
      <c r="MJ90">
        <v>1</v>
      </c>
      <c r="MK90" t="s">
        <v>430</v>
      </c>
      <c r="ML90" t="s">
        <v>431</v>
      </c>
      <c r="MM90" t="s">
        <v>432</v>
      </c>
      <c r="MO90" t="s">
        <v>429</v>
      </c>
      <c r="MP90" t="s">
        <v>143</v>
      </c>
      <c r="MQ90" t="s">
        <v>398</v>
      </c>
      <c r="MR90">
        <v>1</v>
      </c>
      <c r="MS90" t="s">
        <v>430</v>
      </c>
      <c r="MT90" t="s">
        <v>431</v>
      </c>
      <c r="MU90" t="s">
        <v>432</v>
      </c>
      <c r="MW90" t="s">
        <v>429</v>
      </c>
      <c r="MX90" t="s">
        <v>143</v>
      </c>
      <c r="MY90" t="s">
        <v>398</v>
      </c>
      <c r="MZ90">
        <v>1</v>
      </c>
      <c r="NA90" t="s">
        <v>430</v>
      </c>
      <c r="NB90" t="s">
        <v>431</v>
      </c>
      <c r="NC90" t="s">
        <v>432</v>
      </c>
      <c r="NE90" t="s">
        <v>429</v>
      </c>
      <c r="NF90" t="s">
        <v>143</v>
      </c>
      <c r="NG90" t="s">
        <v>398</v>
      </c>
      <c r="NH90">
        <v>1</v>
      </c>
      <c r="NI90" t="s">
        <v>430</v>
      </c>
      <c r="NJ90" t="s">
        <v>431</v>
      </c>
      <c r="NK90" t="s">
        <v>432</v>
      </c>
      <c r="NM90" t="s">
        <v>429</v>
      </c>
      <c r="NN90" t="s">
        <v>143</v>
      </c>
      <c r="NO90" t="s">
        <v>398</v>
      </c>
      <c r="NP90">
        <v>1</v>
      </c>
      <c r="NQ90" t="s">
        <v>430</v>
      </c>
      <c r="NR90" t="s">
        <v>431</v>
      </c>
      <c r="NS90" t="s">
        <v>432</v>
      </c>
      <c r="NU90" t="s">
        <v>429</v>
      </c>
      <c r="NV90" t="s">
        <v>143</v>
      </c>
      <c r="NW90" t="s">
        <v>398</v>
      </c>
      <c r="NX90">
        <v>1</v>
      </c>
      <c r="NY90" t="s">
        <v>430</v>
      </c>
      <c r="NZ90" t="s">
        <v>431</v>
      </c>
      <c r="OA90" t="s">
        <v>432</v>
      </c>
      <c r="OC90" t="s">
        <v>429</v>
      </c>
      <c r="OD90" t="s">
        <v>143</v>
      </c>
      <c r="OE90" t="s">
        <v>398</v>
      </c>
      <c r="OF90">
        <v>1</v>
      </c>
      <c r="OG90" t="s">
        <v>430</v>
      </c>
      <c r="OH90" t="s">
        <v>431</v>
      </c>
      <c r="OI90" t="s">
        <v>432</v>
      </c>
      <c r="OK90" t="s">
        <v>429</v>
      </c>
      <c r="OL90" t="s">
        <v>143</v>
      </c>
      <c r="OM90" t="s">
        <v>398</v>
      </c>
      <c r="ON90">
        <v>1</v>
      </c>
      <c r="OO90" t="s">
        <v>430</v>
      </c>
      <c r="OP90" t="s">
        <v>431</v>
      </c>
      <c r="OQ90" t="s">
        <v>432</v>
      </c>
      <c r="OS90" t="s">
        <v>429</v>
      </c>
      <c r="OT90" t="s">
        <v>143</v>
      </c>
      <c r="OU90" t="s">
        <v>398</v>
      </c>
      <c r="OV90">
        <v>1</v>
      </c>
      <c r="OW90" t="s">
        <v>430</v>
      </c>
      <c r="OX90" t="s">
        <v>431</v>
      </c>
      <c r="OY90" t="s">
        <v>432</v>
      </c>
      <c r="PA90" t="s">
        <v>429</v>
      </c>
      <c r="PB90" t="s">
        <v>143</v>
      </c>
      <c r="PC90" t="s">
        <v>398</v>
      </c>
      <c r="PD90">
        <v>1</v>
      </c>
      <c r="PE90" t="s">
        <v>430</v>
      </c>
      <c r="PF90" t="s">
        <v>431</v>
      </c>
      <c r="PG90" t="s">
        <v>432</v>
      </c>
      <c r="PI90" t="s">
        <v>429</v>
      </c>
      <c r="PJ90" t="s">
        <v>143</v>
      </c>
      <c r="PK90" t="s">
        <v>398</v>
      </c>
      <c r="PL90">
        <v>1</v>
      </c>
      <c r="PM90" t="s">
        <v>430</v>
      </c>
      <c r="PN90" t="s">
        <v>431</v>
      </c>
      <c r="PO90" t="s">
        <v>432</v>
      </c>
      <c r="PQ90" t="s">
        <v>429</v>
      </c>
      <c r="PR90" t="s">
        <v>143</v>
      </c>
      <c r="PS90" t="s">
        <v>398</v>
      </c>
      <c r="PT90">
        <v>1</v>
      </c>
      <c r="PU90" t="s">
        <v>430</v>
      </c>
      <c r="PV90" t="s">
        <v>431</v>
      </c>
      <c r="PW90" t="s">
        <v>432</v>
      </c>
      <c r="PY90" t="s">
        <v>429</v>
      </c>
      <c r="PZ90" t="s">
        <v>143</v>
      </c>
      <c r="QA90" t="s">
        <v>398</v>
      </c>
      <c r="QB90">
        <v>1</v>
      </c>
      <c r="QC90" t="s">
        <v>430</v>
      </c>
      <c r="QD90" t="s">
        <v>431</v>
      </c>
      <c r="QE90" t="s">
        <v>432</v>
      </c>
      <c r="QG90" t="s">
        <v>429</v>
      </c>
      <c r="QH90" t="s">
        <v>143</v>
      </c>
      <c r="QI90" t="s">
        <v>398</v>
      </c>
      <c r="QJ90">
        <v>1</v>
      </c>
      <c r="QK90" t="s">
        <v>430</v>
      </c>
      <c r="QL90" t="s">
        <v>431</v>
      </c>
      <c r="QM90" t="s">
        <v>432</v>
      </c>
      <c r="QO90" t="s">
        <v>429</v>
      </c>
      <c r="QP90" t="s">
        <v>143</v>
      </c>
      <c r="QQ90" t="s">
        <v>398</v>
      </c>
      <c r="QR90">
        <v>1</v>
      </c>
      <c r="QS90" t="s">
        <v>430</v>
      </c>
      <c r="QT90" t="s">
        <v>431</v>
      </c>
      <c r="QU90" t="s">
        <v>432</v>
      </c>
      <c r="QW90" t="s">
        <v>429</v>
      </c>
      <c r="QX90" t="s">
        <v>143</v>
      </c>
      <c r="QY90" t="s">
        <v>398</v>
      </c>
      <c r="QZ90">
        <v>1</v>
      </c>
      <c r="RA90" t="s">
        <v>430</v>
      </c>
      <c r="RB90" t="s">
        <v>431</v>
      </c>
      <c r="RC90" t="s">
        <v>432</v>
      </c>
      <c r="RE90" t="s">
        <v>429</v>
      </c>
      <c r="RF90" t="s">
        <v>143</v>
      </c>
      <c r="RG90" t="s">
        <v>398</v>
      </c>
      <c r="RH90">
        <v>1</v>
      </c>
      <c r="RI90" t="s">
        <v>430</v>
      </c>
      <c r="RJ90" t="s">
        <v>431</v>
      </c>
      <c r="RK90" t="s">
        <v>432</v>
      </c>
      <c r="RM90" t="s">
        <v>429</v>
      </c>
      <c r="RN90" t="s">
        <v>143</v>
      </c>
      <c r="RO90" t="s">
        <v>398</v>
      </c>
      <c r="RP90">
        <v>1</v>
      </c>
      <c r="RQ90" t="s">
        <v>430</v>
      </c>
      <c r="RR90" t="s">
        <v>431</v>
      </c>
      <c r="RS90" t="s">
        <v>432</v>
      </c>
      <c r="RU90" t="s">
        <v>429</v>
      </c>
      <c r="RV90" t="s">
        <v>143</v>
      </c>
      <c r="RW90" t="s">
        <v>398</v>
      </c>
      <c r="RX90">
        <v>1</v>
      </c>
      <c r="RY90" t="s">
        <v>430</v>
      </c>
      <c r="RZ90" t="s">
        <v>431</v>
      </c>
      <c r="SA90" t="s">
        <v>432</v>
      </c>
      <c r="SC90" t="s">
        <v>429</v>
      </c>
      <c r="SD90" t="s">
        <v>143</v>
      </c>
      <c r="SE90" t="s">
        <v>398</v>
      </c>
      <c r="SF90">
        <v>1</v>
      </c>
      <c r="SG90" t="s">
        <v>430</v>
      </c>
      <c r="SH90" t="s">
        <v>431</v>
      </c>
      <c r="SI90" t="s">
        <v>432</v>
      </c>
      <c r="SK90" t="s">
        <v>429</v>
      </c>
      <c r="SL90" t="s">
        <v>143</v>
      </c>
      <c r="SM90" t="s">
        <v>398</v>
      </c>
      <c r="SN90">
        <v>1</v>
      </c>
      <c r="SO90" t="s">
        <v>430</v>
      </c>
      <c r="SP90" t="s">
        <v>431</v>
      </c>
      <c r="SQ90" t="s">
        <v>432</v>
      </c>
      <c r="SS90" t="s">
        <v>429</v>
      </c>
      <c r="ST90" t="s">
        <v>143</v>
      </c>
      <c r="SU90" t="s">
        <v>398</v>
      </c>
      <c r="SV90">
        <v>1</v>
      </c>
      <c r="SW90" t="s">
        <v>430</v>
      </c>
      <c r="SX90" t="s">
        <v>431</v>
      </c>
      <c r="SY90" t="s">
        <v>432</v>
      </c>
      <c r="TA90" t="s">
        <v>429</v>
      </c>
      <c r="TB90" t="s">
        <v>143</v>
      </c>
      <c r="TC90" t="s">
        <v>398</v>
      </c>
      <c r="TD90">
        <v>1</v>
      </c>
      <c r="TE90" t="s">
        <v>430</v>
      </c>
      <c r="TF90" t="s">
        <v>431</v>
      </c>
      <c r="TG90" t="s">
        <v>432</v>
      </c>
      <c r="TI90" t="s">
        <v>429</v>
      </c>
      <c r="TJ90" t="s">
        <v>143</v>
      </c>
      <c r="TK90" t="s">
        <v>398</v>
      </c>
      <c r="TL90">
        <v>1</v>
      </c>
      <c r="TM90" t="s">
        <v>430</v>
      </c>
      <c r="TN90" t="s">
        <v>431</v>
      </c>
      <c r="TO90" t="s">
        <v>432</v>
      </c>
      <c r="TQ90" t="s">
        <v>429</v>
      </c>
      <c r="TR90" t="s">
        <v>143</v>
      </c>
      <c r="TS90" t="s">
        <v>398</v>
      </c>
      <c r="TT90">
        <v>1</v>
      </c>
      <c r="TU90" t="s">
        <v>430</v>
      </c>
      <c r="TV90" t="s">
        <v>431</v>
      </c>
      <c r="TW90" t="s">
        <v>432</v>
      </c>
      <c r="TY90" t="s">
        <v>429</v>
      </c>
      <c r="TZ90" t="s">
        <v>143</v>
      </c>
      <c r="UA90" t="s">
        <v>398</v>
      </c>
      <c r="UB90">
        <v>1</v>
      </c>
      <c r="UC90" t="s">
        <v>430</v>
      </c>
      <c r="UD90" t="s">
        <v>431</v>
      </c>
      <c r="UE90" t="s">
        <v>432</v>
      </c>
      <c r="UG90" t="s">
        <v>429</v>
      </c>
      <c r="UH90" t="s">
        <v>143</v>
      </c>
      <c r="UI90" t="s">
        <v>398</v>
      </c>
      <c r="UJ90">
        <v>1</v>
      </c>
      <c r="UK90" t="s">
        <v>430</v>
      </c>
      <c r="UL90" t="s">
        <v>431</v>
      </c>
      <c r="UM90" t="s">
        <v>432</v>
      </c>
      <c r="UO90" t="s">
        <v>429</v>
      </c>
      <c r="UP90" t="s">
        <v>143</v>
      </c>
      <c r="UQ90" t="s">
        <v>398</v>
      </c>
      <c r="UR90">
        <v>1</v>
      </c>
      <c r="US90" t="s">
        <v>430</v>
      </c>
      <c r="UT90" t="s">
        <v>431</v>
      </c>
      <c r="UU90" t="s">
        <v>432</v>
      </c>
      <c r="UW90" t="s">
        <v>429</v>
      </c>
      <c r="UX90" t="s">
        <v>143</v>
      </c>
      <c r="UY90" t="s">
        <v>398</v>
      </c>
      <c r="UZ90">
        <v>1</v>
      </c>
      <c r="VA90" t="s">
        <v>430</v>
      </c>
      <c r="VB90" t="s">
        <v>431</v>
      </c>
      <c r="VC90" t="s">
        <v>432</v>
      </c>
      <c r="VE90" t="s">
        <v>429</v>
      </c>
      <c r="VF90" t="s">
        <v>143</v>
      </c>
      <c r="VG90" t="s">
        <v>398</v>
      </c>
      <c r="VH90">
        <v>1</v>
      </c>
      <c r="VI90" t="s">
        <v>430</v>
      </c>
      <c r="VJ90" t="s">
        <v>431</v>
      </c>
      <c r="VK90" t="s">
        <v>432</v>
      </c>
      <c r="VM90" t="s">
        <v>429</v>
      </c>
      <c r="VN90" t="s">
        <v>143</v>
      </c>
      <c r="VO90" t="s">
        <v>398</v>
      </c>
      <c r="VP90">
        <v>1</v>
      </c>
      <c r="VQ90" t="s">
        <v>430</v>
      </c>
      <c r="VR90" t="s">
        <v>431</v>
      </c>
      <c r="VS90" t="s">
        <v>432</v>
      </c>
      <c r="VU90" t="s">
        <v>429</v>
      </c>
      <c r="VV90" t="s">
        <v>143</v>
      </c>
      <c r="VW90" t="s">
        <v>398</v>
      </c>
      <c r="VX90">
        <v>1</v>
      </c>
      <c r="VY90" t="s">
        <v>430</v>
      </c>
      <c r="VZ90" t="s">
        <v>431</v>
      </c>
      <c r="WA90" t="s">
        <v>432</v>
      </c>
      <c r="WC90" t="s">
        <v>429</v>
      </c>
      <c r="WD90" t="s">
        <v>143</v>
      </c>
      <c r="WE90" t="s">
        <v>398</v>
      </c>
      <c r="WF90">
        <v>1</v>
      </c>
      <c r="WG90" t="s">
        <v>430</v>
      </c>
      <c r="WH90" t="s">
        <v>431</v>
      </c>
      <c r="WI90" t="s">
        <v>432</v>
      </c>
      <c r="WK90" t="s">
        <v>429</v>
      </c>
      <c r="WL90" t="s">
        <v>143</v>
      </c>
      <c r="WM90" t="s">
        <v>398</v>
      </c>
      <c r="WN90">
        <v>1</v>
      </c>
      <c r="WO90" t="s">
        <v>430</v>
      </c>
      <c r="WP90" t="s">
        <v>431</v>
      </c>
      <c r="WQ90" t="s">
        <v>432</v>
      </c>
      <c r="WS90" t="s">
        <v>429</v>
      </c>
      <c r="WT90" t="s">
        <v>143</v>
      </c>
      <c r="WU90" t="s">
        <v>398</v>
      </c>
      <c r="WV90">
        <v>1</v>
      </c>
      <c r="WW90" t="s">
        <v>430</v>
      </c>
      <c r="WX90" t="s">
        <v>431</v>
      </c>
      <c r="WY90" t="s">
        <v>432</v>
      </c>
      <c r="XA90" t="s">
        <v>429</v>
      </c>
      <c r="XB90" t="s">
        <v>143</v>
      </c>
      <c r="XC90" t="s">
        <v>398</v>
      </c>
      <c r="XD90">
        <v>1</v>
      </c>
      <c r="XE90" t="s">
        <v>430</v>
      </c>
      <c r="XF90" t="s">
        <v>431</v>
      </c>
      <c r="XG90" t="s">
        <v>432</v>
      </c>
      <c r="XI90" t="s">
        <v>429</v>
      </c>
      <c r="XJ90" t="s">
        <v>143</v>
      </c>
      <c r="XK90" t="s">
        <v>398</v>
      </c>
      <c r="XL90">
        <v>1</v>
      </c>
      <c r="XM90" t="s">
        <v>430</v>
      </c>
      <c r="XN90" t="s">
        <v>431</v>
      </c>
      <c r="XO90" t="s">
        <v>432</v>
      </c>
      <c r="XQ90" t="s">
        <v>429</v>
      </c>
      <c r="XR90" t="s">
        <v>143</v>
      </c>
      <c r="XS90" t="s">
        <v>398</v>
      </c>
      <c r="XT90">
        <v>1</v>
      </c>
      <c r="XU90" t="s">
        <v>430</v>
      </c>
      <c r="XV90" t="s">
        <v>431</v>
      </c>
      <c r="XW90" t="s">
        <v>432</v>
      </c>
      <c r="XY90" t="s">
        <v>429</v>
      </c>
      <c r="XZ90" t="s">
        <v>143</v>
      </c>
      <c r="YA90" t="s">
        <v>398</v>
      </c>
      <c r="YB90">
        <v>1</v>
      </c>
      <c r="YC90" t="s">
        <v>430</v>
      </c>
      <c r="YD90" t="s">
        <v>431</v>
      </c>
      <c r="YE90" t="s">
        <v>432</v>
      </c>
      <c r="YG90" t="s">
        <v>429</v>
      </c>
      <c r="YH90" t="s">
        <v>143</v>
      </c>
      <c r="YI90" t="s">
        <v>398</v>
      </c>
      <c r="YJ90">
        <v>1</v>
      </c>
      <c r="YK90" t="s">
        <v>430</v>
      </c>
      <c r="YL90" t="s">
        <v>431</v>
      </c>
      <c r="YM90" t="s">
        <v>432</v>
      </c>
      <c r="YO90" t="s">
        <v>429</v>
      </c>
      <c r="YP90" t="s">
        <v>143</v>
      </c>
      <c r="YQ90" t="s">
        <v>398</v>
      </c>
      <c r="YR90">
        <v>1</v>
      </c>
      <c r="YS90" t="s">
        <v>430</v>
      </c>
      <c r="YT90" t="s">
        <v>431</v>
      </c>
      <c r="YU90" t="s">
        <v>432</v>
      </c>
      <c r="YW90" t="s">
        <v>429</v>
      </c>
      <c r="YX90" t="s">
        <v>143</v>
      </c>
      <c r="YY90" t="s">
        <v>398</v>
      </c>
      <c r="YZ90">
        <v>1</v>
      </c>
      <c r="ZA90" t="s">
        <v>430</v>
      </c>
      <c r="ZB90" t="s">
        <v>431</v>
      </c>
      <c r="ZC90" t="s">
        <v>432</v>
      </c>
      <c r="ZE90" t="s">
        <v>429</v>
      </c>
      <c r="ZF90" t="s">
        <v>143</v>
      </c>
      <c r="ZG90" t="s">
        <v>398</v>
      </c>
      <c r="ZH90">
        <v>1</v>
      </c>
      <c r="ZI90" t="s">
        <v>430</v>
      </c>
      <c r="ZJ90" t="s">
        <v>431</v>
      </c>
      <c r="ZK90" t="s">
        <v>432</v>
      </c>
      <c r="ZM90" t="s">
        <v>429</v>
      </c>
      <c r="ZN90" t="s">
        <v>143</v>
      </c>
      <c r="ZO90" t="s">
        <v>398</v>
      </c>
      <c r="ZP90">
        <v>1</v>
      </c>
      <c r="ZQ90" t="s">
        <v>430</v>
      </c>
      <c r="ZR90" t="s">
        <v>431</v>
      </c>
      <c r="ZS90" t="s">
        <v>432</v>
      </c>
      <c r="ZU90" t="s">
        <v>429</v>
      </c>
      <c r="ZV90" t="s">
        <v>143</v>
      </c>
      <c r="ZW90" t="s">
        <v>398</v>
      </c>
      <c r="ZX90">
        <v>1</v>
      </c>
      <c r="ZY90" t="s">
        <v>430</v>
      </c>
      <c r="ZZ90" t="s">
        <v>431</v>
      </c>
      <c r="AAA90" t="s">
        <v>432</v>
      </c>
      <c r="AAC90" t="s">
        <v>429</v>
      </c>
      <c r="AAD90" t="s">
        <v>143</v>
      </c>
      <c r="AAE90" t="s">
        <v>398</v>
      </c>
      <c r="AAF90">
        <v>1</v>
      </c>
      <c r="AAG90" t="s">
        <v>430</v>
      </c>
      <c r="AAH90" t="s">
        <v>431</v>
      </c>
      <c r="AAI90" t="s">
        <v>432</v>
      </c>
      <c r="AAK90" t="s">
        <v>429</v>
      </c>
      <c r="AAL90" t="s">
        <v>143</v>
      </c>
      <c r="AAM90" t="s">
        <v>398</v>
      </c>
      <c r="AAN90">
        <v>1</v>
      </c>
      <c r="AAO90" t="s">
        <v>430</v>
      </c>
      <c r="AAP90" t="s">
        <v>431</v>
      </c>
      <c r="AAQ90" t="s">
        <v>432</v>
      </c>
      <c r="AAS90" t="s">
        <v>429</v>
      </c>
      <c r="AAT90" t="s">
        <v>143</v>
      </c>
      <c r="AAU90" t="s">
        <v>398</v>
      </c>
      <c r="AAV90">
        <v>1</v>
      </c>
      <c r="AAW90" t="s">
        <v>430</v>
      </c>
      <c r="AAX90" t="s">
        <v>431</v>
      </c>
      <c r="AAY90" t="s">
        <v>432</v>
      </c>
      <c r="ABA90" t="s">
        <v>429</v>
      </c>
      <c r="ABB90" t="s">
        <v>143</v>
      </c>
      <c r="ABC90" t="s">
        <v>398</v>
      </c>
      <c r="ABD90">
        <v>1</v>
      </c>
      <c r="ABE90" t="s">
        <v>430</v>
      </c>
      <c r="ABF90" t="s">
        <v>431</v>
      </c>
      <c r="ABG90" t="s">
        <v>432</v>
      </c>
      <c r="ABI90" t="s">
        <v>429</v>
      </c>
      <c r="ABJ90" t="s">
        <v>143</v>
      </c>
      <c r="ABK90" t="s">
        <v>398</v>
      </c>
      <c r="ABL90">
        <v>1</v>
      </c>
      <c r="ABM90" t="s">
        <v>430</v>
      </c>
      <c r="ABN90" t="s">
        <v>431</v>
      </c>
      <c r="ABO90" t="s">
        <v>432</v>
      </c>
      <c r="ABQ90" t="s">
        <v>429</v>
      </c>
      <c r="ABR90" t="s">
        <v>143</v>
      </c>
      <c r="ABS90" t="s">
        <v>398</v>
      </c>
      <c r="ABT90">
        <v>1</v>
      </c>
      <c r="ABU90" t="s">
        <v>430</v>
      </c>
      <c r="ABV90" t="s">
        <v>431</v>
      </c>
      <c r="ABW90" t="s">
        <v>432</v>
      </c>
      <c r="ABY90" t="s">
        <v>429</v>
      </c>
      <c r="ABZ90" t="s">
        <v>143</v>
      </c>
      <c r="ACA90" t="s">
        <v>398</v>
      </c>
      <c r="ACB90">
        <v>1</v>
      </c>
      <c r="ACC90" t="s">
        <v>430</v>
      </c>
      <c r="ACD90" t="s">
        <v>431</v>
      </c>
      <c r="ACE90" t="s">
        <v>432</v>
      </c>
      <c r="ACG90" t="s">
        <v>429</v>
      </c>
      <c r="ACH90" t="s">
        <v>143</v>
      </c>
      <c r="ACI90" t="s">
        <v>398</v>
      </c>
      <c r="ACJ90">
        <v>1</v>
      </c>
      <c r="ACK90" t="s">
        <v>430</v>
      </c>
      <c r="ACL90" t="s">
        <v>431</v>
      </c>
      <c r="ACM90" t="s">
        <v>432</v>
      </c>
      <c r="ACO90" t="s">
        <v>429</v>
      </c>
      <c r="ACP90" t="s">
        <v>143</v>
      </c>
      <c r="ACQ90" t="s">
        <v>398</v>
      </c>
      <c r="ACR90">
        <v>1</v>
      </c>
      <c r="ACS90" t="s">
        <v>430</v>
      </c>
      <c r="ACT90" t="s">
        <v>431</v>
      </c>
      <c r="ACU90" t="s">
        <v>432</v>
      </c>
      <c r="ACW90" t="s">
        <v>429</v>
      </c>
      <c r="ACX90" t="s">
        <v>143</v>
      </c>
      <c r="ACY90" t="s">
        <v>398</v>
      </c>
      <c r="ACZ90">
        <v>1</v>
      </c>
      <c r="ADA90" t="s">
        <v>430</v>
      </c>
      <c r="ADB90" t="s">
        <v>431</v>
      </c>
      <c r="ADC90" t="s">
        <v>432</v>
      </c>
      <c r="ADE90" t="s">
        <v>429</v>
      </c>
      <c r="ADF90" t="s">
        <v>143</v>
      </c>
      <c r="ADG90" t="s">
        <v>398</v>
      </c>
      <c r="ADH90">
        <v>1</v>
      </c>
      <c r="ADI90" t="s">
        <v>430</v>
      </c>
      <c r="ADJ90" t="s">
        <v>431</v>
      </c>
      <c r="ADK90" t="s">
        <v>432</v>
      </c>
      <c r="ADM90" t="s">
        <v>429</v>
      </c>
      <c r="ADN90" t="s">
        <v>143</v>
      </c>
      <c r="ADO90" t="s">
        <v>398</v>
      </c>
      <c r="ADP90">
        <v>1</v>
      </c>
      <c r="ADQ90" t="s">
        <v>430</v>
      </c>
      <c r="ADR90" t="s">
        <v>431</v>
      </c>
      <c r="ADS90" t="s">
        <v>432</v>
      </c>
      <c r="ADU90" t="s">
        <v>429</v>
      </c>
      <c r="ADV90" t="s">
        <v>143</v>
      </c>
      <c r="ADW90" t="s">
        <v>398</v>
      </c>
      <c r="ADX90">
        <v>1</v>
      </c>
      <c r="ADY90" t="s">
        <v>430</v>
      </c>
      <c r="ADZ90" t="s">
        <v>431</v>
      </c>
      <c r="AEA90" t="s">
        <v>432</v>
      </c>
      <c r="AEC90" t="s">
        <v>429</v>
      </c>
      <c r="AED90" t="s">
        <v>143</v>
      </c>
      <c r="AEE90" t="s">
        <v>398</v>
      </c>
      <c r="AEF90">
        <v>1</v>
      </c>
      <c r="AEG90" t="s">
        <v>430</v>
      </c>
      <c r="AEH90" t="s">
        <v>431</v>
      </c>
      <c r="AEI90" t="s">
        <v>432</v>
      </c>
      <c r="AEK90" t="s">
        <v>429</v>
      </c>
      <c r="AEL90" t="s">
        <v>143</v>
      </c>
      <c r="AEM90" t="s">
        <v>398</v>
      </c>
      <c r="AEN90">
        <v>1</v>
      </c>
      <c r="AEO90" t="s">
        <v>430</v>
      </c>
      <c r="AEP90" t="s">
        <v>431</v>
      </c>
      <c r="AEQ90" t="s">
        <v>432</v>
      </c>
      <c r="AES90" t="s">
        <v>429</v>
      </c>
      <c r="AET90" t="s">
        <v>143</v>
      </c>
      <c r="AEU90" t="s">
        <v>398</v>
      </c>
      <c r="AEV90">
        <v>1</v>
      </c>
      <c r="AEW90" t="s">
        <v>430</v>
      </c>
      <c r="AEX90" t="s">
        <v>431</v>
      </c>
      <c r="AEY90" t="s">
        <v>432</v>
      </c>
      <c r="AFA90" t="s">
        <v>429</v>
      </c>
      <c r="AFB90" t="s">
        <v>143</v>
      </c>
      <c r="AFC90" t="s">
        <v>398</v>
      </c>
      <c r="AFD90">
        <v>1</v>
      </c>
      <c r="AFE90" t="s">
        <v>430</v>
      </c>
      <c r="AFF90" t="s">
        <v>431</v>
      </c>
      <c r="AFG90" t="s">
        <v>432</v>
      </c>
      <c r="AFI90" t="s">
        <v>429</v>
      </c>
      <c r="AFJ90" t="s">
        <v>143</v>
      </c>
      <c r="AFK90" t="s">
        <v>398</v>
      </c>
      <c r="AFL90">
        <v>1</v>
      </c>
      <c r="AFM90" t="s">
        <v>430</v>
      </c>
      <c r="AFN90" t="s">
        <v>431</v>
      </c>
      <c r="AFO90" t="s">
        <v>432</v>
      </c>
      <c r="AFQ90" t="s">
        <v>429</v>
      </c>
      <c r="AFR90" t="s">
        <v>143</v>
      </c>
      <c r="AFS90" t="s">
        <v>398</v>
      </c>
      <c r="AFT90">
        <v>1</v>
      </c>
      <c r="AFU90" t="s">
        <v>430</v>
      </c>
      <c r="AFV90" t="s">
        <v>431</v>
      </c>
      <c r="AFW90" t="s">
        <v>432</v>
      </c>
      <c r="AFY90" t="s">
        <v>429</v>
      </c>
      <c r="AFZ90" t="s">
        <v>143</v>
      </c>
      <c r="AGA90" t="s">
        <v>398</v>
      </c>
      <c r="AGB90">
        <v>1</v>
      </c>
      <c r="AGC90" t="s">
        <v>430</v>
      </c>
      <c r="AGD90" t="s">
        <v>431</v>
      </c>
      <c r="AGE90" t="s">
        <v>432</v>
      </c>
      <c r="AGG90" t="s">
        <v>429</v>
      </c>
      <c r="AGH90" t="s">
        <v>143</v>
      </c>
      <c r="AGI90" t="s">
        <v>398</v>
      </c>
      <c r="AGJ90">
        <v>1</v>
      </c>
      <c r="AGK90" t="s">
        <v>430</v>
      </c>
      <c r="AGL90" t="s">
        <v>431</v>
      </c>
      <c r="AGM90" t="s">
        <v>432</v>
      </c>
      <c r="AGO90" t="s">
        <v>429</v>
      </c>
      <c r="AGP90" t="s">
        <v>143</v>
      </c>
      <c r="AGQ90" t="s">
        <v>398</v>
      </c>
      <c r="AGR90">
        <v>1</v>
      </c>
      <c r="AGS90" t="s">
        <v>430</v>
      </c>
      <c r="AGT90" t="s">
        <v>431</v>
      </c>
      <c r="AGU90" t="s">
        <v>432</v>
      </c>
      <c r="AGW90" t="s">
        <v>429</v>
      </c>
      <c r="AGX90" t="s">
        <v>143</v>
      </c>
      <c r="AGY90" t="s">
        <v>398</v>
      </c>
      <c r="AGZ90">
        <v>1</v>
      </c>
      <c r="AHA90" t="s">
        <v>430</v>
      </c>
      <c r="AHB90" t="s">
        <v>431</v>
      </c>
      <c r="AHC90" t="s">
        <v>432</v>
      </c>
      <c r="AHE90" t="s">
        <v>429</v>
      </c>
      <c r="AHF90" t="s">
        <v>143</v>
      </c>
      <c r="AHG90" t="s">
        <v>398</v>
      </c>
      <c r="AHH90">
        <v>1</v>
      </c>
      <c r="AHI90" t="s">
        <v>430</v>
      </c>
      <c r="AHJ90" t="s">
        <v>431</v>
      </c>
      <c r="AHK90" t="s">
        <v>432</v>
      </c>
      <c r="AHM90" t="s">
        <v>429</v>
      </c>
      <c r="AHN90" t="s">
        <v>143</v>
      </c>
      <c r="AHO90" t="s">
        <v>398</v>
      </c>
      <c r="AHP90">
        <v>1</v>
      </c>
      <c r="AHQ90" t="s">
        <v>430</v>
      </c>
      <c r="AHR90" t="s">
        <v>431</v>
      </c>
      <c r="AHS90" t="s">
        <v>432</v>
      </c>
      <c r="AHU90" t="s">
        <v>429</v>
      </c>
      <c r="AHV90" t="s">
        <v>143</v>
      </c>
      <c r="AHW90" t="s">
        <v>398</v>
      </c>
      <c r="AHX90">
        <v>1</v>
      </c>
      <c r="AHY90" t="s">
        <v>430</v>
      </c>
      <c r="AHZ90" t="s">
        <v>431</v>
      </c>
      <c r="AIA90" t="s">
        <v>432</v>
      </c>
      <c r="AIC90" t="s">
        <v>429</v>
      </c>
      <c r="AID90" t="s">
        <v>143</v>
      </c>
      <c r="AIE90" t="s">
        <v>398</v>
      </c>
      <c r="AIF90">
        <v>1</v>
      </c>
      <c r="AIG90" t="s">
        <v>430</v>
      </c>
      <c r="AIH90" t="s">
        <v>431</v>
      </c>
      <c r="AII90" t="s">
        <v>432</v>
      </c>
      <c r="AIK90" t="s">
        <v>429</v>
      </c>
      <c r="AIL90" t="s">
        <v>143</v>
      </c>
      <c r="AIM90" t="s">
        <v>398</v>
      </c>
      <c r="AIN90">
        <v>1</v>
      </c>
      <c r="AIO90" t="s">
        <v>430</v>
      </c>
      <c r="AIP90" t="s">
        <v>431</v>
      </c>
      <c r="AIQ90" t="s">
        <v>432</v>
      </c>
      <c r="AIS90" t="s">
        <v>429</v>
      </c>
      <c r="AIT90" t="s">
        <v>143</v>
      </c>
      <c r="AIU90" t="s">
        <v>398</v>
      </c>
      <c r="AIV90">
        <v>1</v>
      </c>
      <c r="AIW90" t="s">
        <v>430</v>
      </c>
      <c r="AIX90" t="s">
        <v>431</v>
      </c>
      <c r="AIY90" t="s">
        <v>432</v>
      </c>
      <c r="AJA90" t="s">
        <v>429</v>
      </c>
      <c r="AJB90" t="s">
        <v>143</v>
      </c>
      <c r="AJC90" t="s">
        <v>398</v>
      </c>
      <c r="AJD90">
        <v>1</v>
      </c>
      <c r="AJE90" t="s">
        <v>430</v>
      </c>
      <c r="AJF90" t="s">
        <v>431</v>
      </c>
      <c r="AJG90" t="s">
        <v>432</v>
      </c>
      <c r="AJI90" t="s">
        <v>429</v>
      </c>
      <c r="AJJ90" t="s">
        <v>143</v>
      </c>
      <c r="AJK90" t="s">
        <v>398</v>
      </c>
      <c r="AJL90">
        <v>1</v>
      </c>
      <c r="AJM90" t="s">
        <v>430</v>
      </c>
      <c r="AJN90" t="s">
        <v>431</v>
      </c>
      <c r="AJO90" t="s">
        <v>432</v>
      </c>
      <c r="AJQ90" t="s">
        <v>429</v>
      </c>
      <c r="AJR90" t="s">
        <v>143</v>
      </c>
      <c r="AJS90" t="s">
        <v>398</v>
      </c>
      <c r="AJT90">
        <v>1</v>
      </c>
      <c r="AJU90" t="s">
        <v>430</v>
      </c>
      <c r="AJV90" t="s">
        <v>431</v>
      </c>
      <c r="AJW90" t="s">
        <v>432</v>
      </c>
      <c r="AJY90" t="s">
        <v>429</v>
      </c>
      <c r="AJZ90" t="s">
        <v>143</v>
      </c>
      <c r="AKA90" t="s">
        <v>398</v>
      </c>
      <c r="AKB90">
        <v>1</v>
      </c>
      <c r="AKC90" t="s">
        <v>430</v>
      </c>
      <c r="AKD90" t="s">
        <v>431</v>
      </c>
      <c r="AKE90" t="s">
        <v>432</v>
      </c>
      <c r="AKG90" t="s">
        <v>429</v>
      </c>
      <c r="AKH90" t="s">
        <v>143</v>
      </c>
      <c r="AKI90" t="s">
        <v>398</v>
      </c>
      <c r="AKJ90">
        <v>1</v>
      </c>
      <c r="AKK90" t="s">
        <v>430</v>
      </c>
      <c r="AKL90" t="s">
        <v>431</v>
      </c>
      <c r="AKM90" t="s">
        <v>432</v>
      </c>
      <c r="AKO90" t="s">
        <v>429</v>
      </c>
      <c r="AKP90" t="s">
        <v>143</v>
      </c>
      <c r="AKQ90" t="s">
        <v>398</v>
      </c>
      <c r="AKR90">
        <v>1</v>
      </c>
      <c r="AKS90" t="s">
        <v>430</v>
      </c>
      <c r="AKT90" t="s">
        <v>431</v>
      </c>
      <c r="AKU90" t="s">
        <v>432</v>
      </c>
      <c r="AKW90" t="s">
        <v>429</v>
      </c>
      <c r="AKX90" t="s">
        <v>143</v>
      </c>
      <c r="AKY90" t="s">
        <v>398</v>
      </c>
      <c r="AKZ90">
        <v>1</v>
      </c>
      <c r="ALA90" t="s">
        <v>430</v>
      </c>
      <c r="ALB90" t="s">
        <v>431</v>
      </c>
      <c r="ALC90" t="s">
        <v>432</v>
      </c>
      <c r="ALE90" t="s">
        <v>429</v>
      </c>
      <c r="ALF90" t="s">
        <v>143</v>
      </c>
      <c r="ALG90" t="s">
        <v>398</v>
      </c>
      <c r="ALH90">
        <v>1</v>
      </c>
      <c r="ALI90" t="s">
        <v>430</v>
      </c>
      <c r="ALJ90" t="s">
        <v>431</v>
      </c>
      <c r="ALK90" t="s">
        <v>432</v>
      </c>
      <c r="ALM90" t="s">
        <v>429</v>
      </c>
      <c r="ALN90" t="s">
        <v>143</v>
      </c>
      <c r="ALO90" t="s">
        <v>398</v>
      </c>
      <c r="ALP90">
        <v>1</v>
      </c>
      <c r="ALQ90" t="s">
        <v>430</v>
      </c>
      <c r="ALR90" t="s">
        <v>431</v>
      </c>
      <c r="ALS90" t="s">
        <v>432</v>
      </c>
      <c r="ALU90" t="s">
        <v>429</v>
      </c>
      <c r="ALV90" t="s">
        <v>143</v>
      </c>
      <c r="ALW90" t="s">
        <v>398</v>
      </c>
      <c r="ALX90">
        <v>1</v>
      </c>
      <c r="ALY90" t="s">
        <v>430</v>
      </c>
      <c r="ALZ90" t="s">
        <v>431</v>
      </c>
      <c r="AMA90" t="s">
        <v>432</v>
      </c>
      <c r="AMC90" t="s">
        <v>429</v>
      </c>
      <c r="AMD90" t="s">
        <v>143</v>
      </c>
      <c r="AME90" t="s">
        <v>398</v>
      </c>
      <c r="AMF90">
        <v>1</v>
      </c>
      <c r="AMG90" t="s">
        <v>430</v>
      </c>
      <c r="AMH90" t="s">
        <v>431</v>
      </c>
      <c r="AMI90" t="s">
        <v>432</v>
      </c>
      <c r="AMK90" t="s">
        <v>429</v>
      </c>
      <c r="AML90" t="s">
        <v>143</v>
      </c>
      <c r="AMM90" t="s">
        <v>398</v>
      </c>
      <c r="AMN90">
        <v>1</v>
      </c>
      <c r="AMO90" t="s">
        <v>430</v>
      </c>
      <c r="AMP90" t="s">
        <v>431</v>
      </c>
      <c r="AMQ90" t="s">
        <v>432</v>
      </c>
      <c r="AMS90" t="s">
        <v>429</v>
      </c>
      <c r="AMT90" t="s">
        <v>143</v>
      </c>
      <c r="AMU90" t="s">
        <v>398</v>
      </c>
      <c r="AMV90">
        <v>1</v>
      </c>
      <c r="AMW90" t="s">
        <v>430</v>
      </c>
      <c r="AMX90" t="s">
        <v>431</v>
      </c>
      <c r="AMY90" t="s">
        <v>432</v>
      </c>
      <c r="ANA90" t="s">
        <v>429</v>
      </c>
      <c r="ANB90" t="s">
        <v>143</v>
      </c>
      <c r="ANC90" t="s">
        <v>398</v>
      </c>
      <c r="AND90">
        <v>1</v>
      </c>
      <c r="ANE90" t="s">
        <v>430</v>
      </c>
      <c r="ANF90" t="s">
        <v>431</v>
      </c>
      <c r="ANG90" t="s">
        <v>432</v>
      </c>
      <c r="ANI90" t="s">
        <v>429</v>
      </c>
      <c r="ANJ90" t="s">
        <v>143</v>
      </c>
      <c r="ANK90" t="s">
        <v>398</v>
      </c>
      <c r="ANL90">
        <v>1</v>
      </c>
      <c r="ANM90" t="s">
        <v>430</v>
      </c>
      <c r="ANN90" t="s">
        <v>431</v>
      </c>
      <c r="ANO90" t="s">
        <v>432</v>
      </c>
      <c r="ANQ90" t="s">
        <v>429</v>
      </c>
      <c r="ANR90" t="s">
        <v>143</v>
      </c>
      <c r="ANS90" t="s">
        <v>398</v>
      </c>
      <c r="ANT90">
        <v>1</v>
      </c>
      <c r="ANU90" t="s">
        <v>430</v>
      </c>
      <c r="ANV90" t="s">
        <v>431</v>
      </c>
      <c r="ANW90" t="s">
        <v>432</v>
      </c>
      <c r="ANY90" t="s">
        <v>429</v>
      </c>
      <c r="ANZ90" t="s">
        <v>143</v>
      </c>
      <c r="AOA90" t="s">
        <v>398</v>
      </c>
      <c r="AOB90">
        <v>1</v>
      </c>
      <c r="AOC90" t="s">
        <v>430</v>
      </c>
      <c r="AOD90" t="s">
        <v>431</v>
      </c>
      <c r="AOE90" t="s">
        <v>432</v>
      </c>
      <c r="AOG90" t="s">
        <v>429</v>
      </c>
      <c r="AOH90" t="s">
        <v>143</v>
      </c>
      <c r="AOI90" t="s">
        <v>398</v>
      </c>
      <c r="AOJ90">
        <v>1</v>
      </c>
      <c r="AOK90" t="s">
        <v>430</v>
      </c>
      <c r="AOL90" t="s">
        <v>431</v>
      </c>
      <c r="AOM90" t="s">
        <v>432</v>
      </c>
      <c r="AOO90" t="s">
        <v>429</v>
      </c>
      <c r="AOP90" t="s">
        <v>143</v>
      </c>
      <c r="AOQ90" t="s">
        <v>398</v>
      </c>
      <c r="AOR90">
        <v>1</v>
      </c>
      <c r="AOS90" t="s">
        <v>430</v>
      </c>
      <c r="AOT90" t="s">
        <v>431</v>
      </c>
      <c r="AOU90" t="s">
        <v>432</v>
      </c>
      <c r="AOW90" t="s">
        <v>429</v>
      </c>
      <c r="AOX90" t="s">
        <v>143</v>
      </c>
      <c r="AOY90" t="s">
        <v>398</v>
      </c>
      <c r="AOZ90">
        <v>1</v>
      </c>
      <c r="APA90" t="s">
        <v>430</v>
      </c>
      <c r="APB90" t="s">
        <v>431</v>
      </c>
      <c r="APC90" t="s">
        <v>432</v>
      </c>
      <c r="APE90" t="s">
        <v>429</v>
      </c>
      <c r="APF90" t="s">
        <v>143</v>
      </c>
      <c r="APG90" t="s">
        <v>398</v>
      </c>
      <c r="APH90">
        <v>1</v>
      </c>
      <c r="API90" t="s">
        <v>430</v>
      </c>
      <c r="APJ90" t="s">
        <v>431</v>
      </c>
      <c r="APK90" t="s">
        <v>432</v>
      </c>
      <c r="APM90" t="s">
        <v>429</v>
      </c>
      <c r="APN90" t="s">
        <v>143</v>
      </c>
      <c r="APO90" t="s">
        <v>398</v>
      </c>
      <c r="APP90">
        <v>1</v>
      </c>
      <c r="APQ90" t="s">
        <v>430</v>
      </c>
      <c r="APR90" t="s">
        <v>431</v>
      </c>
      <c r="APS90" t="s">
        <v>432</v>
      </c>
      <c r="APU90" t="s">
        <v>429</v>
      </c>
      <c r="APV90" t="s">
        <v>143</v>
      </c>
      <c r="APW90" t="s">
        <v>398</v>
      </c>
      <c r="APX90">
        <v>1</v>
      </c>
      <c r="APY90" t="s">
        <v>430</v>
      </c>
      <c r="APZ90" t="s">
        <v>431</v>
      </c>
      <c r="AQA90" t="s">
        <v>432</v>
      </c>
      <c r="AQC90" t="s">
        <v>429</v>
      </c>
      <c r="AQD90" t="s">
        <v>143</v>
      </c>
      <c r="AQE90" t="s">
        <v>398</v>
      </c>
      <c r="AQF90">
        <v>1</v>
      </c>
      <c r="AQG90" t="s">
        <v>430</v>
      </c>
      <c r="AQH90" t="s">
        <v>431</v>
      </c>
      <c r="AQI90" t="s">
        <v>432</v>
      </c>
      <c r="AQK90" t="s">
        <v>429</v>
      </c>
      <c r="AQL90" t="s">
        <v>143</v>
      </c>
      <c r="AQM90" t="s">
        <v>398</v>
      </c>
      <c r="AQN90">
        <v>1</v>
      </c>
      <c r="AQO90" t="s">
        <v>430</v>
      </c>
      <c r="AQP90" t="s">
        <v>431</v>
      </c>
      <c r="AQQ90" t="s">
        <v>432</v>
      </c>
      <c r="AQS90" t="s">
        <v>429</v>
      </c>
      <c r="AQT90" t="s">
        <v>143</v>
      </c>
      <c r="AQU90" t="s">
        <v>398</v>
      </c>
      <c r="AQV90">
        <v>1</v>
      </c>
      <c r="AQW90" t="s">
        <v>430</v>
      </c>
      <c r="AQX90" t="s">
        <v>431</v>
      </c>
      <c r="AQY90" t="s">
        <v>432</v>
      </c>
      <c r="ARA90" t="s">
        <v>429</v>
      </c>
      <c r="ARB90" t="s">
        <v>143</v>
      </c>
      <c r="ARC90" t="s">
        <v>398</v>
      </c>
      <c r="ARD90">
        <v>1</v>
      </c>
      <c r="ARE90" t="s">
        <v>430</v>
      </c>
      <c r="ARF90" t="s">
        <v>431</v>
      </c>
      <c r="ARG90" t="s">
        <v>432</v>
      </c>
      <c r="ARI90" t="s">
        <v>429</v>
      </c>
      <c r="ARJ90" t="s">
        <v>143</v>
      </c>
      <c r="ARK90" t="s">
        <v>398</v>
      </c>
      <c r="ARL90">
        <v>1</v>
      </c>
      <c r="ARM90" t="s">
        <v>430</v>
      </c>
      <c r="ARN90" t="s">
        <v>431</v>
      </c>
      <c r="ARO90" t="s">
        <v>432</v>
      </c>
      <c r="ARQ90" t="s">
        <v>429</v>
      </c>
      <c r="ARR90" t="s">
        <v>143</v>
      </c>
      <c r="ARS90" t="s">
        <v>398</v>
      </c>
      <c r="ART90">
        <v>1</v>
      </c>
      <c r="ARU90" t="s">
        <v>430</v>
      </c>
      <c r="ARV90" t="s">
        <v>431</v>
      </c>
      <c r="ARW90" t="s">
        <v>432</v>
      </c>
      <c r="ARY90" t="s">
        <v>429</v>
      </c>
      <c r="ARZ90" t="s">
        <v>143</v>
      </c>
      <c r="ASA90" t="s">
        <v>398</v>
      </c>
      <c r="ASB90">
        <v>1</v>
      </c>
      <c r="ASC90" t="s">
        <v>430</v>
      </c>
      <c r="ASD90" t="s">
        <v>431</v>
      </c>
      <c r="ASE90" t="s">
        <v>432</v>
      </c>
      <c r="ASG90" t="s">
        <v>429</v>
      </c>
      <c r="ASH90" t="s">
        <v>143</v>
      </c>
      <c r="ASI90" t="s">
        <v>398</v>
      </c>
      <c r="ASJ90">
        <v>1</v>
      </c>
      <c r="ASK90" t="s">
        <v>430</v>
      </c>
      <c r="ASL90" t="s">
        <v>431</v>
      </c>
      <c r="ASM90" t="s">
        <v>432</v>
      </c>
      <c r="ASO90" t="s">
        <v>429</v>
      </c>
      <c r="ASP90" t="s">
        <v>143</v>
      </c>
      <c r="ASQ90" t="s">
        <v>398</v>
      </c>
      <c r="ASR90">
        <v>1</v>
      </c>
      <c r="ASS90" t="s">
        <v>430</v>
      </c>
      <c r="AST90" t="s">
        <v>431</v>
      </c>
      <c r="ASU90" t="s">
        <v>432</v>
      </c>
      <c r="ASW90" t="s">
        <v>429</v>
      </c>
      <c r="ASX90" t="s">
        <v>143</v>
      </c>
      <c r="ASY90" t="s">
        <v>398</v>
      </c>
      <c r="ASZ90">
        <v>1</v>
      </c>
      <c r="ATA90" t="s">
        <v>430</v>
      </c>
      <c r="ATB90" t="s">
        <v>431</v>
      </c>
      <c r="ATC90" t="s">
        <v>432</v>
      </c>
      <c r="ATE90" t="s">
        <v>429</v>
      </c>
      <c r="ATF90" t="s">
        <v>143</v>
      </c>
      <c r="ATG90" t="s">
        <v>398</v>
      </c>
      <c r="ATH90">
        <v>1</v>
      </c>
      <c r="ATI90" t="s">
        <v>430</v>
      </c>
      <c r="ATJ90" t="s">
        <v>431</v>
      </c>
      <c r="ATK90" t="s">
        <v>432</v>
      </c>
      <c r="ATM90" t="s">
        <v>429</v>
      </c>
      <c r="ATN90" t="s">
        <v>143</v>
      </c>
      <c r="ATO90" t="s">
        <v>398</v>
      </c>
      <c r="ATP90">
        <v>1</v>
      </c>
      <c r="ATQ90" t="s">
        <v>430</v>
      </c>
      <c r="ATR90" t="s">
        <v>431</v>
      </c>
      <c r="ATS90" t="s">
        <v>432</v>
      </c>
      <c r="ATU90" t="s">
        <v>429</v>
      </c>
      <c r="ATV90" t="s">
        <v>143</v>
      </c>
      <c r="ATW90" t="s">
        <v>398</v>
      </c>
      <c r="ATX90">
        <v>1</v>
      </c>
      <c r="ATY90" t="s">
        <v>430</v>
      </c>
      <c r="ATZ90" t="s">
        <v>431</v>
      </c>
      <c r="AUA90" t="s">
        <v>432</v>
      </c>
      <c r="AUC90" t="s">
        <v>429</v>
      </c>
      <c r="AUD90" t="s">
        <v>143</v>
      </c>
      <c r="AUE90" t="s">
        <v>398</v>
      </c>
      <c r="AUF90">
        <v>1</v>
      </c>
      <c r="AUG90" t="s">
        <v>430</v>
      </c>
      <c r="AUH90" t="s">
        <v>431</v>
      </c>
      <c r="AUI90" t="s">
        <v>432</v>
      </c>
      <c r="AUK90" t="s">
        <v>429</v>
      </c>
      <c r="AUL90" t="s">
        <v>143</v>
      </c>
      <c r="AUM90" t="s">
        <v>398</v>
      </c>
      <c r="AUN90">
        <v>1</v>
      </c>
      <c r="AUO90" t="s">
        <v>430</v>
      </c>
      <c r="AUP90" t="s">
        <v>431</v>
      </c>
      <c r="AUQ90" t="s">
        <v>432</v>
      </c>
      <c r="AUS90" t="s">
        <v>429</v>
      </c>
      <c r="AUT90" t="s">
        <v>143</v>
      </c>
      <c r="AUU90" t="s">
        <v>398</v>
      </c>
      <c r="AUV90">
        <v>1</v>
      </c>
      <c r="AUW90" t="s">
        <v>430</v>
      </c>
      <c r="AUX90" t="s">
        <v>431</v>
      </c>
      <c r="AUY90" t="s">
        <v>432</v>
      </c>
      <c r="AVA90" t="s">
        <v>429</v>
      </c>
      <c r="AVB90" t="s">
        <v>143</v>
      </c>
      <c r="AVC90" t="s">
        <v>398</v>
      </c>
      <c r="AVD90">
        <v>1</v>
      </c>
      <c r="AVE90" t="s">
        <v>430</v>
      </c>
      <c r="AVF90" t="s">
        <v>431</v>
      </c>
      <c r="AVG90" t="s">
        <v>432</v>
      </c>
      <c r="AVI90" t="s">
        <v>429</v>
      </c>
      <c r="AVJ90" t="s">
        <v>143</v>
      </c>
      <c r="AVK90" t="s">
        <v>398</v>
      </c>
      <c r="AVL90">
        <v>1</v>
      </c>
      <c r="AVM90" t="s">
        <v>430</v>
      </c>
      <c r="AVN90" t="s">
        <v>431</v>
      </c>
      <c r="AVO90" t="s">
        <v>432</v>
      </c>
      <c r="AVQ90" t="s">
        <v>429</v>
      </c>
      <c r="AVR90" t="s">
        <v>143</v>
      </c>
      <c r="AVS90" t="s">
        <v>398</v>
      </c>
      <c r="AVT90">
        <v>1</v>
      </c>
      <c r="AVU90" t="s">
        <v>430</v>
      </c>
      <c r="AVV90" t="s">
        <v>431</v>
      </c>
      <c r="AVW90" t="s">
        <v>432</v>
      </c>
      <c r="AVY90" t="s">
        <v>429</v>
      </c>
      <c r="AVZ90" t="s">
        <v>143</v>
      </c>
      <c r="AWA90" t="s">
        <v>398</v>
      </c>
      <c r="AWB90">
        <v>1</v>
      </c>
      <c r="AWC90" t="s">
        <v>430</v>
      </c>
      <c r="AWD90" t="s">
        <v>431</v>
      </c>
      <c r="AWE90" t="s">
        <v>432</v>
      </c>
      <c r="AWG90" t="s">
        <v>429</v>
      </c>
      <c r="AWH90" t="s">
        <v>143</v>
      </c>
      <c r="AWI90" t="s">
        <v>398</v>
      </c>
      <c r="AWJ90">
        <v>1</v>
      </c>
      <c r="AWK90" t="s">
        <v>430</v>
      </c>
      <c r="AWL90" t="s">
        <v>431</v>
      </c>
      <c r="AWM90" t="s">
        <v>432</v>
      </c>
      <c r="AWO90" t="s">
        <v>429</v>
      </c>
      <c r="AWP90" t="s">
        <v>143</v>
      </c>
      <c r="AWQ90" t="s">
        <v>398</v>
      </c>
      <c r="AWR90">
        <v>1</v>
      </c>
      <c r="AWS90" t="s">
        <v>430</v>
      </c>
      <c r="AWT90" t="s">
        <v>431</v>
      </c>
      <c r="AWU90" t="s">
        <v>432</v>
      </c>
      <c r="AWW90" t="s">
        <v>429</v>
      </c>
      <c r="AWX90" t="s">
        <v>143</v>
      </c>
      <c r="AWY90" t="s">
        <v>398</v>
      </c>
      <c r="AWZ90">
        <v>1</v>
      </c>
      <c r="AXA90" t="s">
        <v>430</v>
      </c>
      <c r="AXB90" t="s">
        <v>431</v>
      </c>
      <c r="AXC90" t="s">
        <v>432</v>
      </c>
      <c r="AXE90" t="s">
        <v>429</v>
      </c>
      <c r="AXF90" t="s">
        <v>143</v>
      </c>
      <c r="AXG90" t="s">
        <v>398</v>
      </c>
      <c r="AXH90">
        <v>1</v>
      </c>
      <c r="AXI90" t="s">
        <v>430</v>
      </c>
      <c r="AXJ90" t="s">
        <v>431</v>
      </c>
      <c r="AXK90" t="s">
        <v>432</v>
      </c>
      <c r="AXM90" t="s">
        <v>429</v>
      </c>
      <c r="AXN90" t="s">
        <v>143</v>
      </c>
      <c r="AXO90" t="s">
        <v>398</v>
      </c>
      <c r="AXP90">
        <v>1</v>
      </c>
      <c r="AXQ90" t="s">
        <v>430</v>
      </c>
      <c r="AXR90" t="s">
        <v>431</v>
      </c>
      <c r="AXS90" t="s">
        <v>432</v>
      </c>
      <c r="AXU90" t="s">
        <v>429</v>
      </c>
      <c r="AXV90" t="s">
        <v>143</v>
      </c>
      <c r="AXW90" t="s">
        <v>398</v>
      </c>
      <c r="AXX90">
        <v>1</v>
      </c>
      <c r="AXY90" t="s">
        <v>430</v>
      </c>
      <c r="AXZ90" t="s">
        <v>431</v>
      </c>
      <c r="AYA90" t="s">
        <v>432</v>
      </c>
      <c r="AYC90" t="s">
        <v>429</v>
      </c>
      <c r="AYD90" t="s">
        <v>143</v>
      </c>
      <c r="AYE90" t="s">
        <v>398</v>
      </c>
      <c r="AYF90">
        <v>1</v>
      </c>
      <c r="AYG90" t="s">
        <v>430</v>
      </c>
      <c r="AYH90" t="s">
        <v>431</v>
      </c>
      <c r="AYI90" t="s">
        <v>432</v>
      </c>
      <c r="AYK90" t="s">
        <v>429</v>
      </c>
      <c r="AYL90" t="s">
        <v>143</v>
      </c>
      <c r="AYM90" t="s">
        <v>398</v>
      </c>
      <c r="AYN90">
        <v>1</v>
      </c>
      <c r="AYO90" t="s">
        <v>430</v>
      </c>
      <c r="AYP90" t="s">
        <v>431</v>
      </c>
      <c r="AYQ90" t="s">
        <v>432</v>
      </c>
      <c r="AYS90" t="s">
        <v>429</v>
      </c>
      <c r="AYT90" t="s">
        <v>143</v>
      </c>
      <c r="AYU90" t="s">
        <v>398</v>
      </c>
      <c r="AYV90">
        <v>1</v>
      </c>
      <c r="AYW90" t="s">
        <v>430</v>
      </c>
      <c r="AYX90" t="s">
        <v>431</v>
      </c>
      <c r="AYY90" t="s">
        <v>432</v>
      </c>
      <c r="AZA90" t="s">
        <v>429</v>
      </c>
      <c r="AZB90" t="s">
        <v>143</v>
      </c>
      <c r="AZC90" t="s">
        <v>398</v>
      </c>
      <c r="AZD90">
        <v>1</v>
      </c>
      <c r="AZE90" t="s">
        <v>430</v>
      </c>
      <c r="AZF90" t="s">
        <v>431</v>
      </c>
      <c r="AZG90" t="s">
        <v>432</v>
      </c>
      <c r="AZI90" t="s">
        <v>429</v>
      </c>
      <c r="AZJ90" t="s">
        <v>143</v>
      </c>
      <c r="AZK90" t="s">
        <v>398</v>
      </c>
      <c r="AZL90">
        <v>1</v>
      </c>
      <c r="AZM90" t="s">
        <v>430</v>
      </c>
      <c r="AZN90" t="s">
        <v>431</v>
      </c>
      <c r="AZO90" t="s">
        <v>432</v>
      </c>
      <c r="AZQ90" t="s">
        <v>429</v>
      </c>
      <c r="AZR90" t="s">
        <v>143</v>
      </c>
      <c r="AZS90" t="s">
        <v>398</v>
      </c>
      <c r="AZT90">
        <v>1</v>
      </c>
      <c r="AZU90" t="s">
        <v>430</v>
      </c>
      <c r="AZV90" t="s">
        <v>431</v>
      </c>
      <c r="AZW90" t="s">
        <v>432</v>
      </c>
      <c r="AZY90" t="s">
        <v>429</v>
      </c>
      <c r="AZZ90" t="s">
        <v>143</v>
      </c>
      <c r="BAA90" t="s">
        <v>398</v>
      </c>
      <c r="BAB90">
        <v>1</v>
      </c>
      <c r="BAC90" t="s">
        <v>430</v>
      </c>
      <c r="BAD90" t="s">
        <v>431</v>
      </c>
      <c r="BAE90" t="s">
        <v>432</v>
      </c>
      <c r="BAG90" t="s">
        <v>429</v>
      </c>
      <c r="BAH90" t="s">
        <v>143</v>
      </c>
      <c r="BAI90" t="s">
        <v>398</v>
      </c>
      <c r="BAJ90">
        <v>1</v>
      </c>
      <c r="BAK90" t="s">
        <v>430</v>
      </c>
      <c r="BAL90" t="s">
        <v>431</v>
      </c>
      <c r="BAM90" t="s">
        <v>432</v>
      </c>
      <c r="BAO90" t="s">
        <v>429</v>
      </c>
      <c r="BAP90" t="s">
        <v>143</v>
      </c>
      <c r="BAQ90" t="s">
        <v>398</v>
      </c>
      <c r="BAR90">
        <v>1</v>
      </c>
      <c r="BAS90" t="s">
        <v>430</v>
      </c>
      <c r="BAT90" t="s">
        <v>431</v>
      </c>
      <c r="BAU90" t="s">
        <v>432</v>
      </c>
      <c r="BAW90" t="s">
        <v>429</v>
      </c>
      <c r="BAX90" t="s">
        <v>143</v>
      </c>
      <c r="BAY90" t="s">
        <v>398</v>
      </c>
      <c r="BAZ90">
        <v>1</v>
      </c>
      <c r="BBA90" t="s">
        <v>430</v>
      </c>
      <c r="BBB90" t="s">
        <v>431</v>
      </c>
      <c r="BBC90" t="s">
        <v>432</v>
      </c>
      <c r="BBE90" t="s">
        <v>429</v>
      </c>
      <c r="BBF90" t="s">
        <v>143</v>
      </c>
      <c r="BBG90" t="s">
        <v>398</v>
      </c>
      <c r="BBH90">
        <v>1</v>
      </c>
      <c r="BBI90" t="s">
        <v>430</v>
      </c>
      <c r="BBJ90" t="s">
        <v>431</v>
      </c>
      <c r="BBK90" t="s">
        <v>432</v>
      </c>
      <c r="BBM90" t="s">
        <v>429</v>
      </c>
      <c r="BBN90" t="s">
        <v>143</v>
      </c>
      <c r="BBO90" t="s">
        <v>398</v>
      </c>
      <c r="BBP90">
        <v>1</v>
      </c>
      <c r="BBQ90" t="s">
        <v>430</v>
      </c>
      <c r="BBR90" t="s">
        <v>431</v>
      </c>
      <c r="BBS90" t="s">
        <v>432</v>
      </c>
      <c r="BBU90" t="s">
        <v>429</v>
      </c>
      <c r="BBV90" t="s">
        <v>143</v>
      </c>
      <c r="BBW90" t="s">
        <v>398</v>
      </c>
      <c r="BBX90">
        <v>1</v>
      </c>
      <c r="BBY90" t="s">
        <v>430</v>
      </c>
      <c r="BBZ90" t="s">
        <v>431</v>
      </c>
      <c r="BCA90" t="s">
        <v>432</v>
      </c>
      <c r="BCC90" t="s">
        <v>429</v>
      </c>
      <c r="BCD90" t="s">
        <v>143</v>
      </c>
      <c r="BCE90" t="s">
        <v>398</v>
      </c>
      <c r="BCF90">
        <v>1</v>
      </c>
      <c r="BCG90" t="s">
        <v>430</v>
      </c>
      <c r="BCH90" t="s">
        <v>431</v>
      </c>
      <c r="BCI90" t="s">
        <v>432</v>
      </c>
      <c r="BCK90" t="s">
        <v>429</v>
      </c>
      <c r="BCL90" t="s">
        <v>143</v>
      </c>
      <c r="BCM90" t="s">
        <v>398</v>
      </c>
      <c r="BCN90">
        <v>1</v>
      </c>
      <c r="BCO90" t="s">
        <v>430</v>
      </c>
      <c r="BCP90" t="s">
        <v>431</v>
      </c>
      <c r="BCQ90" t="s">
        <v>432</v>
      </c>
      <c r="BCS90" t="s">
        <v>429</v>
      </c>
      <c r="BCT90" t="s">
        <v>143</v>
      </c>
      <c r="BCU90" t="s">
        <v>398</v>
      </c>
      <c r="BCV90">
        <v>1</v>
      </c>
      <c r="BCW90" t="s">
        <v>430</v>
      </c>
      <c r="BCX90" t="s">
        <v>431</v>
      </c>
      <c r="BCY90" t="s">
        <v>432</v>
      </c>
      <c r="BDA90" t="s">
        <v>429</v>
      </c>
      <c r="BDB90" t="s">
        <v>143</v>
      </c>
      <c r="BDC90" t="s">
        <v>398</v>
      </c>
      <c r="BDD90">
        <v>1</v>
      </c>
      <c r="BDE90" t="s">
        <v>430</v>
      </c>
      <c r="BDF90" t="s">
        <v>431</v>
      </c>
      <c r="BDG90" t="s">
        <v>432</v>
      </c>
      <c r="BDI90" t="s">
        <v>429</v>
      </c>
      <c r="BDJ90" t="s">
        <v>143</v>
      </c>
      <c r="BDK90" t="s">
        <v>398</v>
      </c>
      <c r="BDL90">
        <v>1</v>
      </c>
      <c r="BDM90" t="s">
        <v>430</v>
      </c>
      <c r="BDN90" t="s">
        <v>431</v>
      </c>
      <c r="BDO90" t="s">
        <v>432</v>
      </c>
      <c r="BDQ90" t="s">
        <v>429</v>
      </c>
      <c r="BDR90" t="s">
        <v>143</v>
      </c>
      <c r="BDS90" t="s">
        <v>398</v>
      </c>
      <c r="BDT90">
        <v>1</v>
      </c>
      <c r="BDU90" t="s">
        <v>430</v>
      </c>
      <c r="BDV90" t="s">
        <v>431</v>
      </c>
      <c r="BDW90" t="s">
        <v>432</v>
      </c>
      <c r="BDY90" t="s">
        <v>429</v>
      </c>
      <c r="BDZ90" t="s">
        <v>143</v>
      </c>
      <c r="BEA90" t="s">
        <v>398</v>
      </c>
      <c r="BEB90">
        <v>1</v>
      </c>
      <c r="BEC90" t="s">
        <v>430</v>
      </c>
      <c r="BED90" t="s">
        <v>431</v>
      </c>
      <c r="BEE90" t="s">
        <v>432</v>
      </c>
      <c r="BEG90" t="s">
        <v>429</v>
      </c>
      <c r="BEH90" t="s">
        <v>143</v>
      </c>
      <c r="BEI90" t="s">
        <v>398</v>
      </c>
      <c r="BEJ90">
        <v>1</v>
      </c>
      <c r="BEK90" t="s">
        <v>430</v>
      </c>
      <c r="BEL90" t="s">
        <v>431</v>
      </c>
      <c r="BEM90" t="s">
        <v>432</v>
      </c>
      <c r="BEO90" t="s">
        <v>429</v>
      </c>
      <c r="BEP90" t="s">
        <v>143</v>
      </c>
      <c r="BEQ90" t="s">
        <v>398</v>
      </c>
      <c r="BER90">
        <v>1</v>
      </c>
      <c r="BES90" t="s">
        <v>430</v>
      </c>
      <c r="BET90" t="s">
        <v>431</v>
      </c>
      <c r="BEU90" t="s">
        <v>432</v>
      </c>
      <c r="BEW90" t="s">
        <v>429</v>
      </c>
      <c r="BEX90" t="s">
        <v>143</v>
      </c>
      <c r="BEY90" t="s">
        <v>398</v>
      </c>
      <c r="BEZ90">
        <v>1</v>
      </c>
      <c r="BFA90" t="s">
        <v>430</v>
      </c>
      <c r="BFB90" t="s">
        <v>431</v>
      </c>
      <c r="BFC90" t="s">
        <v>432</v>
      </c>
      <c r="BFE90" t="s">
        <v>429</v>
      </c>
      <c r="BFF90" t="s">
        <v>143</v>
      </c>
      <c r="BFG90" t="s">
        <v>398</v>
      </c>
      <c r="BFH90">
        <v>1</v>
      </c>
      <c r="BFI90" t="s">
        <v>430</v>
      </c>
      <c r="BFJ90" t="s">
        <v>431</v>
      </c>
      <c r="BFK90" t="s">
        <v>432</v>
      </c>
      <c r="BFM90" t="s">
        <v>429</v>
      </c>
      <c r="BFN90" t="s">
        <v>143</v>
      </c>
      <c r="BFO90" t="s">
        <v>398</v>
      </c>
      <c r="BFP90">
        <v>1</v>
      </c>
      <c r="BFQ90" t="s">
        <v>430</v>
      </c>
      <c r="BFR90" t="s">
        <v>431</v>
      </c>
      <c r="BFS90" t="s">
        <v>432</v>
      </c>
      <c r="BFU90" t="s">
        <v>429</v>
      </c>
      <c r="BFV90" t="s">
        <v>143</v>
      </c>
      <c r="BFW90" t="s">
        <v>398</v>
      </c>
      <c r="BFX90">
        <v>1</v>
      </c>
      <c r="BFY90" t="s">
        <v>430</v>
      </c>
      <c r="BFZ90" t="s">
        <v>431</v>
      </c>
      <c r="BGA90" t="s">
        <v>432</v>
      </c>
      <c r="BGC90" t="s">
        <v>429</v>
      </c>
      <c r="BGD90" t="s">
        <v>143</v>
      </c>
      <c r="BGE90" t="s">
        <v>398</v>
      </c>
      <c r="BGF90">
        <v>1</v>
      </c>
      <c r="BGG90" t="s">
        <v>430</v>
      </c>
      <c r="BGH90" t="s">
        <v>431</v>
      </c>
      <c r="BGI90" t="s">
        <v>432</v>
      </c>
      <c r="BGK90" t="s">
        <v>429</v>
      </c>
      <c r="BGL90" t="s">
        <v>143</v>
      </c>
      <c r="BGM90" t="s">
        <v>398</v>
      </c>
      <c r="BGN90">
        <v>1</v>
      </c>
      <c r="BGO90" t="s">
        <v>430</v>
      </c>
      <c r="BGP90" t="s">
        <v>431</v>
      </c>
      <c r="BGQ90" t="s">
        <v>432</v>
      </c>
      <c r="BGS90" t="s">
        <v>429</v>
      </c>
      <c r="BGT90" t="s">
        <v>143</v>
      </c>
      <c r="BGU90" t="s">
        <v>398</v>
      </c>
      <c r="BGV90">
        <v>1</v>
      </c>
      <c r="BGW90" t="s">
        <v>430</v>
      </c>
      <c r="BGX90" t="s">
        <v>431</v>
      </c>
      <c r="BGY90" t="s">
        <v>432</v>
      </c>
      <c r="BHA90" t="s">
        <v>429</v>
      </c>
      <c r="BHB90" t="s">
        <v>143</v>
      </c>
      <c r="BHC90" t="s">
        <v>398</v>
      </c>
      <c r="BHD90">
        <v>1</v>
      </c>
      <c r="BHE90" t="s">
        <v>430</v>
      </c>
      <c r="BHF90" t="s">
        <v>431</v>
      </c>
      <c r="BHG90" t="s">
        <v>432</v>
      </c>
      <c r="BHI90" t="s">
        <v>429</v>
      </c>
      <c r="BHJ90" t="s">
        <v>143</v>
      </c>
      <c r="BHK90" t="s">
        <v>398</v>
      </c>
      <c r="BHL90">
        <v>1</v>
      </c>
      <c r="BHM90" t="s">
        <v>430</v>
      </c>
      <c r="BHN90" t="s">
        <v>431</v>
      </c>
      <c r="BHO90" t="s">
        <v>432</v>
      </c>
      <c r="BHQ90" t="s">
        <v>429</v>
      </c>
      <c r="BHR90" t="s">
        <v>143</v>
      </c>
      <c r="BHS90" t="s">
        <v>398</v>
      </c>
      <c r="BHT90">
        <v>1</v>
      </c>
      <c r="BHU90" t="s">
        <v>430</v>
      </c>
      <c r="BHV90" t="s">
        <v>431</v>
      </c>
      <c r="BHW90" t="s">
        <v>432</v>
      </c>
      <c r="BHY90" t="s">
        <v>429</v>
      </c>
      <c r="BHZ90" t="s">
        <v>143</v>
      </c>
      <c r="BIA90" t="s">
        <v>398</v>
      </c>
      <c r="BIB90">
        <v>1</v>
      </c>
      <c r="BIC90" t="s">
        <v>430</v>
      </c>
      <c r="BID90" t="s">
        <v>431</v>
      </c>
      <c r="BIE90" t="s">
        <v>432</v>
      </c>
      <c r="BIG90" t="s">
        <v>429</v>
      </c>
      <c r="BIH90" t="s">
        <v>143</v>
      </c>
      <c r="BII90" t="s">
        <v>398</v>
      </c>
      <c r="BIJ90">
        <v>1</v>
      </c>
      <c r="BIK90" t="s">
        <v>430</v>
      </c>
      <c r="BIL90" t="s">
        <v>431</v>
      </c>
      <c r="BIM90" t="s">
        <v>432</v>
      </c>
      <c r="BIO90" t="s">
        <v>429</v>
      </c>
      <c r="BIP90" t="s">
        <v>143</v>
      </c>
      <c r="BIQ90" t="s">
        <v>398</v>
      </c>
      <c r="BIR90">
        <v>1</v>
      </c>
      <c r="BIS90" t="s">
        <v>430</v>
      </c>
      <c r="BIT90" t="s">
        <v>431</v>
      </c>
      <c r="BIU90" t="s">
        <v>432</v>
      </c>
      <c r="BIW90" t="s">
        <v>429</v>
      </c>
      <c r="BIX90" t="s">
        <v>143</v>
      </c>
      <c r="BIY90" t="s">
        <v>398</v>
      </c>
      <c r="BIZ90">
        <v>1</v>
      </c>
      <c r="BJA90" t="s">
        <v>430</v>
      </c>
      <c r="BJB90" t="s">
        <v>431</v>
      </c>
      <c r="BJC90" t="s">
        <v>432</v>
      </c>
      <c r="BJE90" t="s">
        <v>429</v>
      </c>
      <c r="BJF90" t="s">
        <v>143</v>
      </c>
      <c r="BJG90" t="s">
        <v>398</v>
      </c>
      <c r="BJH90">
        <v>1</v>
      </c>
      <c r="BJI90" t="s">
        <v>430</v>
      </c>
      <c r="BJJ90" t="s">
        <v>431</v>
      </c>
      <c r="BJK90" t="s">
        <v>432</v>
      </c>
      <c r="BJM90" t="s">
        <v>429</v>
      </c>
      <c r="BJN90" t="s">
        <v>143</v>
      </c>
      <c r="BJO90" t="s">
        <v>398</v>
      </c>
      <c r="BJP90">
        <v>1</v>
      </c>
      <c r="BJQ90" t="s">
        <v>430</v>
      </c>
      <c r="BJR90" t="s">
        <v>431</v>
      </c>
      <c r="BJS90" t="s">
        <v>432</v>
      </c>
      <c r="BJU90" t="s">
        <v>429</v>
      </c>
      <c r="BJV90" t="s">
        <v>143</v>
      </c>
      <c r="BJW90" t="s">
        <v>398</v>
      </c>
      <c r="BJX90">
        <v>1</v>
      </c>
      <c r="BJY90" t="s">
        <v>430</v>
      </c>
      <c r="BJZ90" t="s">
        <v>431</v>
      </c>
      <c r="BKA90" t="s">
        <v>432</v>
      </c>
      <c r="BKC90" t="s">
        <v>429</v>
      </c>
      <c r="BKD90" t="s">
        <v>143</v>
      </c>
      <c r="BKE90" t="s">
        <v>398</v>
      </c>
      <c r="BKF90">
        <v>1</v>
      </c>
      <c r="BKG90" t="s">
        <v>430</v>
      </c>
      <c r="BKH90" t="s">
        <v>431</v>
      </c>
      <c r="BKI90" t="s">
        <v>432</v>
      </c>
      <c r="BKK90" t="s">
        <v>429</v>
      </c>
      <c r="BKL90" t="s">
        <v>143</v>
      </c>
      <c r="BKM90" t="s">
        <v>398</v>
      </c>
      <c r="BKN90">
        <v>1</v>
      </c>
      <c r="BKO90" t="s">
        <v>430</v>
      </c>
      <c r="BKP90" t="s">
        <v>431</v>
      </c>
      <c r="BKQ90" t="s">
        <v>432</v>
      </c>
      <c r="BKS90" t="s">
        <v>429</v>
      </c>
      <c r="BKT90" t="s">
        <v>143</v>
      </c>
      <c r="BKU90" t="s">
        <v>398</v>
      </c>
      <c r="BKV90">
        <v>1</v>
      </c>
      <c r="BKW90" t="s">
        <v>430</v>
      </c>
      <c r="BKX90" t="s">
        <v>431</v>
      </c>
      <c r="BKY90" t="s">
        <v>432</v>
      </c>
      <c r="BLA90" t="s">
        <v>429</v>
      </c>
      <c r="BLB90" t="s">
        <v>143</v>
      </c>
      <c r="BLC90" t="s">
        <v>398</v>
      </c>
      <c r="BLD90">
        <v>1</v>
      </c>
      <c r="BLE90" t="s">
        <v>430</v>
      </c>
      <c r="BLF90" t="s">
        <v>431</v>
      </c>
      <c r="BLG90" t="s">
        <v>432</v>
      </c>
      <c r="BLI90" t="s">
        <v>429</v>
      </c>
      <c r="BLJ90" t="s">
        <v>143</v>
      </c>
      <c r="BLK90" t="s">
        <v>398</v>
      </c>
      <c r="BLL90">
        <v>1</v>
      </c>
      <c r="BLM90" t="s">
        <v>430</v>
      </c>
      <c r="BLN90" t="s">
        <v>431</v>
      </c>
      <c r="BLO90" t="s">
        <v>432</v>
      </c>
      <c r="BLQ90" t="s">
        <v>429</v>
      </c>
      <c r="BLR90" t="s">
        <v>143</v>
      </c>
      <c r="BLS90" t="s">
        <v>398</v>
      </c>
      <c r="BLT90">
        <v>1</v>
      </c>
      <c r="BLU90" t="s">
        <v>430</v>
      </c>
      <c r="BLV90" t="s">
        <v>431</v>
      </c>
      <c r="BLW90" t="s">
        <v>432</v>
      </c>
      <c r="BLY90" t="s">
        <v>429</v>
      </c>
      <c r="BLZ90" t="s">
        <v>143</v>
      </c>
      <c r="BMA90" t="s">
        <v>398</v>
      </c>
      <c r="BMB90">
        <v>1</v>
      </c>
      <c r="BMC90" t="s">
        <v>430</v>
      </c>
      <c r="BMD90" t="s">
        <v>431</v>
      </c>
      <c r="BME90" t="s">
        <v>432</v>
      </c>
      <c r="BMG90" t="s">
        <v>429</v>
      </c>
      <c r="BMH90" t="s">
        <v>143</v>
      </c>
      <c r="BMI90" t="s">
        <v>398</v>
      </c>
      <c r="BMJ90">
        <v>1</v>
      </c>
      <c r="BMK90" t="s">
        <v>430</v>
      </c>
      <c r="BML90" t="s">
        <v>431</v>
      </c>
      <c r="BMM90" t="s">
        <v>432</v>
      </c>
      <c r="BMO90" t="s">
        <v>429</v>
      </c>
      <c r="BMP90" t="s">
        <v>143</v>
      </c>
      <c r="BMQ90" t="s">
        <v>398</v>
      </c>
      <c r="BMR90">
        <v>1</v>
      </c>
      <c r="BMS90" t="s">
        <v>430</v>
      </c>
      <c r="BMT90" t="s">
        <v>431</v>
      </c>
      <c r="BMU90" t="s">
        <v>432</v>
      </c>
      <c r="BMW90" t="s">
        <v>429</v>
      </c>
      <c r="BMX90" t="s">
        <v>143</v>
      </c>
      <c r="BMY90" t="s">
        <v>398</v>
      </c>
      <c r="BMZ90">
        <v>1</v>
      </c>
      <c r="BNA90" t="s">
        <v>430</v>
      </c>
      <c r="BNB90" t="s">
        <v>431</v>
      </c>
      <c r="BNC90" t="s">
        <v>432</v>
      </c>
      <c r="BNE90" t="s">
        <v>429</v>
      </c>
      <c r="BNF90" t="s">
        <v>143</v>
      </c>
      <c r="BNG90" t="s">
        <v>398</v>
      </c>
      <c r="BNH90">
        <v>1</v>
      </c>
      <c r="BNI90" t="s">
        <v>430</v>
      </c>
      <c r="BNJ90" t="s">
        <v>431</v>
      </c>
      <c r="BNK90" t="s">
        <v>432</v>
      </c>
      <c r="BNM90" t="s">
        <v>429</v>
      </c>
      <c r="BNN90" t="s">
        <v>143</v>
      </c>
      <c r="BNO90" t="s">
        <v>398</v>
      </c>
      <c r="BNP90">
        <v>1</v>
      </c>
      <c r="BNQ90" t="s">
        <v>430</v>
      </c>
      <c r="BNR90" t="s">
        <v>431</v>
      </c>
      <c r="BNS90" t="s">
        <v>432</v>
      </c>
      <c r="BNU90" t="s">
        <v>429</v>
      </c>
      <c r="BNV90" t="s">
        <v>143</v>
      </c>
      <c r="BNW90" t="s">
        <v>398</v>
      </c>
      <c r="BNX90">
        <v>1</v>
      </c>
      <c r="BNY90" t="s">
        <v>430</v>
      </c>
      <c r="BNZ90" t="s">
        <v>431</v>
      </c>
      <c r="BOA90" t="s">
        <v>432</v>
      </c>
      <c r="BOC90" t="s">
        <v>429</v>
      </c>
      <c r="BOD90" t="s">
        <v>143</v>
      </c>
      <c r="BOE90" t="s">
        <v>398</v>
      </c>
      <c r="BOF90">
        <v>1</v>
      </c>
      <c r="BOG90" t="s">
        <v>430</v>
      </c>
      <c r="BOH90" t="s">
        <v>431</v>
      </c>
      <c r="BOI90" t="s">
        <v>432</v>
      </c>
      <c r="BOK90" t="s">
        <v>429</v>
      </c>
      <c r="BOL90" t="s">
        <v>143</v>
      </c>
      <c r="BOM90" t="s">
        <v>398</v>
      </c>
      <c r="BON90">
        <v>1</v>
      </c>
      <c r="BOO90" t="s">
        <v>430</v>
      </c>
      <c r="BOP90" t="s">
        <v>431</v>
      </c>
      <c r="BOQ90" t="s">
        <v>432</v>
      </c>
      <c r="BOS90" t="s">
        <v>429</v>
      </c>
      <c r="BOT90" t="s">
        <v>143</v>
      </c>
      <c r="BOU90" t="s">
        <v>398</v>
      </c>
      <c r="BOV90">
        <v>1</v>
      </c>
      <c r="BOW90" t="s">
        <v>430</v>
      </c>
      <c r="BOX90" t="s">
        <v>431</v>
      </c>
      <c r="BOY90" t="s">
        <v>432</v>
      </c>
      <c r="BPA90" t="s">
        <v>429</v>
      </c>
      <c r="BPB90" t="s">
        <v>143</v>
      </c>
      <c r="BPC90" t="s">
        <v>398</v>
      </c>
      <c r="BPD90">
        <v>1</v>
      </c>
      <c r="BPE90" t="s">
        <v>430</v>
      </c>
      <c r="BPF90" t="s">
        <v>431</v>
      </c>
      <c r="BPG90" t="s">
        <v>432</v>
      </c>
      <c r="BPI90" t="s">
        <v>429</v>
      </c>
      <c r="BPJ90" t="s">
        <v>143</v>
      </c>
      <c r="BPK90" t="s">
        <v>398</v>
      </c>
      <c r="BPL90">
        <v>1</v>
      </c>
      <c r="BPM90" t="s">
        <v>430</v>
      </c>
      <c r="BPN90" t="s">
        <v>431</v>
      </c>
      <c r="BPO90" t="s">
        <v>432</v>
      </c>
      <c r="BPQ90" t="s">
        <v>429</v>
      </c>
      <c r="BPR90" t="s">
        <v>143</v>
      </c>
      <c r="BPS90" t="s">
        <v>398</v>
      </c>
      <c r="BPT90">
        <v>1</v>
      </c>
      <c r="BPU90" t="s">
        <v>430</v>
      </c>
      <c r="BPV90" t="s">
        <v>431</v>
      </c>
      <c r="BPW90" t="s">
        <v>432</v>
      </c>
      <c r="BPY90" t="s">
        <v>429</v>
      </c>
      <c r="BPZ90" t="s">
        <v>143</v>
      </c>
      <c r="BQA90" t="s">
        <v>398</v>
      </c>
      <c r="BQB90">
        <v>1</v>
      </c>
      <c r="BQC90" t="s">
        <v>430</v>
      </c>
      <c r="BQD90" t="s">
        <v>431</v>
      </c>
      <c r="BQE90" t="s">
        <v>432</v>
      </c>
      <c r="BQG90" t="s">
        <v>429</v>
      </c>
      <c r="BQH90" t="s">
        <v>143</v>
      </c>
      <c r="BQI90" t="s">
        <v>398</v>
      </c>
      <c r="BQJ90">
        <v>1</v>
      </c>
      <c r="BQK90" t="s">
        <v>430</v>
      </c>
      <c r="BQL90" t="s">
        <v>431</v>
      </c>
      <c r="BQM90" t="s">
        <v>432</v>
      </c>
      <c r="BQO90" t="s">
        <v>429</v>
      </c>
      <c r="BQP90" t="s">
        <v>143</v>
      </c>
      <c r="BQQ90" t="s">
        <v>398</v>
      </c>
      <c r="BQR90">
        <v>1</v>
      </c>
      <c r="BQS90" t="s">
        <v>430</v>
      </c>
      <c r="BQT90" t="s">
        <v>431</v>
      </c>
      <c r="BQU90" t="s">
        <v>432</v>
      </c>
      <c r="BQW90" t="s">
        <v>429</v>
      </c>
      <c r="BQX90" t="s">
        <v>143</v>
      </c>
      <c r="BQY90" t="s">
        <v>398</v>
      </c>
      <c r="BQZ90">
        <v>1</v>
      </c>
      <c r="BRA90" t="s">
        <v>430</v>
      </c>
      <c r="BRB90" t="s">
        <v>431</v>
      </c>
      <c r="BRC90" t="s">
        <v>432</v>
      </c>
      <c r="BRE90" t="s">
        <v>429</v>
      </c>
      <c r="BRF90" t="s">
        <v>143</v>
      </c>
      <c r="BRG90" t="s">
        <v>398</v>
      </c>
      <c r="BRH90">
        <v>1</v>
      </c>
      <c r="BRI90" t="s">
        <v>430</v>
      </c>
      <c r="BRJ90" t="s">
        <v>431</v>
      </c>
      <c r="BRK90" t="s">
        <v>432</v>
      </c>
      <c r="BRM90" t="s">
        <v>429</v>
      </c>
      <c r="BRN90" t="s">
        <v>143</v>
      </c>
      <c r="BRO90" t="s">
        <v>398</v>
      </c>
      <c r="BRP90">
        <v>1</v>
      </c>
      <c r="BRQ90" t="s">
        <v>430</v>
      </c>
      <c r="BRR90" t="s">
        <v>431</v>
      </c>
      <c r="BRS90" t="s">
        <v>432</v>
      </c>
      <c r="BRU90" t="s">
        <v>429</v>
      </c>
      <c r="BRV90" t="s">
        <v>143</v>
      </c>
      <c r="BRW90" t="s">
        <v>398</v>
      </c>
      <c r="BRX90">
        <v>1</v>
      </c>
      <c r="BRY90" t="s">
        <v>430</v>
      </c>
      <c r="BRZ90" t="s">
        <v>431</v>
      </c>
      <c r="BSA90" t="s">
        <v>432</v>
      </c>
      <c r="BSC90" t="s">
        <v>429</v>
      </c>
      <c r="BSD90" t="s">
        <v>143</v>
      </c>
      <c r="BSE90" t="s">
        <v>398</v>
      </c>
      <c r="BSF90">
        <v>1</v>
      </c>
      <c r="BSG90" t="s">
        <v>430</v>
      </c>
      <c r="BSH90" t="s">
        <v>431</v>
      </c>
      <c r="BSI90" t="s">
        <v>432</v>
      </c>
      <c r="BSK90" t="s">
        <v>429</v>
      </c>
      <c r="BSL90" t="s">
        <v>143</v>
      </c>
      <c r="BSM90" t="s">
        <v>398</v>
      </c>
      <c r="BSN90">
        <v>1</v>
      </c>
      <c r="BSO90" t="s">
        <v>430</v>
      </c>
      <c r="BSP90" t="s">
        <v>431</v>
      </c>
      <c r="BSQ90" t="s">
        <v>432</v>
      </c>
      <c r="BSS90" t="s">
        <v>429</v>
      </c>
      <c r="BST90" t="s">
        <v>143</v>
      </c>
      <c r="BSU90" t="s">
        <v>398</v>
      </c>
      <c r="BSV90">
        <v>1</v>
      </c>
      <c r="BSW90" t="s">
        <v>430</v>
      </c>
      <c r="BSX90" t="s">
        <v>431</v>
      </c>
      <c r="BSY90" t="s">
        <v>432</v>
      </c>
      <c r="BTA90" t="s">
        <v>429</v>
      </c>
      <c r="BTB90" t="s">
        <v>143</v>
      </c>
      <c r="BTC90" t="s">
        <v>398</v>
      </c>
      <c r="BTD90">
        <v>1</v>
      </c>
      <c r="BTE90" t="s">
        <v>430</v>
      </c>
      <c r="BTF90" t="s">
        <v>431</v>
      </c>
      <c r="BTG90" t="s">
        <v>432</v>
      </c>
      <c r="BTI90" t="s">
        <v>429</v>
      </c>
      <c r="BTJ90" t="s">
        <v>143</v>
      </c>
      <c r="BTK90" t="s">
        <v>398</v>
      </c>
      <c r="BTL90">
        <v>1</v>
      </c>
      <c r="BTM90" t="s">
        <v>430</v>
      </c>
      <c r="BTN90" t="s">
        <v>431</v>
      </c>
      <c r="BTO90" t="s">
        <v>432</v>
      </c>
      <c r="BTQ90" t="s">
        <v>429</v>
      </c>
      <c r="BTR90" t="s">
        <v>143</v>
      </c>
      <c r="BTS90" t="s">
        <v>398</v>
      </c>
      <c r="BTT90">
        <v>1</v>
      </c>
      <c r="BTU90" t="s">
        <v>430</v>
      </c>
      <c r="BTV90" t="s">
        <v>431</v>
      </c>
      <c r="BTW90" t="s">
        <v>432</v>
      </c>
      <c r="BTY90" t="s">
        <v>429</v>
      </c>
      <c r="BTZ90" t="s">
        <v>143</v>
      </c>
      <c r="BUA90" t="s">
        <v>398</v>
      </c>
      <c r="BUB90">
        <v>1</v>
      </c>
      <c r="BUC90" t="s">
        <v>430</v>
      </c>
      <c r="BUD90" t="s">
        <v>431</v>
      </c>
      <c r="BUE90" t="s">
        <v>432</v>
      </c>
      <c r="BUG90" t="s">
        <v>429</v>
      </c>
      <c r="BUH90" t="s">
        <v>143</v>
      </c>
      <c r="BUI90" t="s">
        <v>398</v>
      </c>
      <c r="BUJ90">
        <v>1</v>
      </c>
      <c r="BUK90" t="s">
        <v>430</v>
      </c>
      <c r="BUL90" t="s">
        <v>431</v>
      </c>
      <c r="BUM90" t="s">
        <v>432</v>
      </c>
      <c r="BUO90" t="s">
        <v>429</v>
      </c>
      <c r="BUP90" t="s">
        <v>143</v>
      </c>
      <c r="BUQ90" t="s">
        <v>398</v>
      </c>
      <c r="BUR90">
        <v>1</v>
      </c>
      <c r="BUS90" t="s">
        <v>430</v>
      </c>
      <c r="BUT90" t="s">
        <v>431</v>
      </c>
      <c r="BUU90" t="s">
        <v>432</v>
      </c>
      <c r="BUW90" t="s">
        <v>429</v>
      </c>
      <c r="BUX90" t="s">
        <v>143</v>
      </c>
      <c r="BUY90" t="s">
        <v>398</v>
      </c>
      <c r="BUZ90">
        <v>1</v>
      </c>
      <c r="BVA90" t="s">
        <v>430</v>
      </c>
      <c r="BVB90" t="s">
        <v>431</v>
      </c>
      <c r="BVC90" t="s">
        <v>432</v>
      </c>
      <c r="BVE90" t="s">
        <v>429</v>
      </c>
      <c r="BVF90" t="s">
        <v>143</v>
      </c>
      <c r="BVG90" t="s">
        <v>398</v>
      </c>
      <c r="BVH90">
        <v>1</v>
      </c>
      <c r="BVI90" t="s">
        <v>430</v>
      </c>
      <c r="BVJ90" t="s">
        <v>431</v>
      </c>
      <c r="BVK90" t="s">
        <v>432</v>
      </c>
      <c r="BVM90" t="s">
        <v>429</v>
      </c>
      <c r="BVN90" t="s">
        <v>143</v>
      </c>
      <c r="BVO90" t="s">
        <v>398</v>
      </c>
      <c r="BVP90">
        <v>1</v>
      </c>
      <c r="BVQ90" t="s">
        <v>430</v>
      </c>
      <c r="BVR90" t="s">
        <v>431</v>
      </c>
      <c r="BVS90" t="s">
        <v>432</v>
      </c>
      <c r="BVU90" t="s">
        <v>429</v>
      </c>
      <c r="BVV90" t="s">
        <v>143</v>
      </c>
      <c r="BVW90" t="s">
        <v>398</v>
      </c>
      <c r="BVX90">
        <v>1</v>
      </c>
      <c r="BVY90" t="s">
        <v>430</v>
      </c>
      <c r="BVZ90" t="s">
        <v>431</v>
      </c>
      <c r="BWA90" t="s">
        <v>432</v>
      </c>
      <c r="BWC90" t="s">
        <v>429</v>
      </c>
      <c r="BWD90" t="s">
        <v>143</v>
      </c>
      <c r="BWE90" t="s">
        <v>398</v>
      </c>
      <c r="BWF90">
        <v>1</v>
      </c>
      <c r="BWG90" t="s">
        <v>430</v>
      </c>
      <c r="BWH90" t="s">
        <v>431</v>
      </c>
      <c r="BWI90" t="s">
        <v>432</v>
      </c>
      <c r="BWK90" t="s">
        <v>429</v>
      </c>
      <c r="BWL90" t="s">
        <v>143</v>
      </c>
      <c r="BWM90" t="s">
        <v>398</v>
      </c>
      <c r="BWN90">
        <v>1</v>
      </c>
      <c r="BWO90" t="s">
        <v>430</v>
      </c>
      <c r="BWP90" t="s">
        <v>431</v>
      </c>
      <c r="BWQ90" t="s">
        <v>432</v>
      </c>
      <c r="BWS90" t="s">
        <v>429</v>
      </c>
      <c r="BWT90" t="s">
        <v>143</v>
      </c>
      <c r="BWU90" t="s">
        <v>398</v>
      </c>
      <c r="BWV90">
        <v>1</v>
      </c>
      <c r="BWW90" t="s">
        <v>430</v>
      </c>
      <c r="BWX90" t="s">
        <v>431</v>
      </c>
      <c r="BWY90" t="s">
        <v>432</v>
      </c>
      <c r="BXA90" t="s">
        <v>429</v>
      </c>
      <c r="BXB90" t="s">
        <v>143</v>
      </c>
      <c r="BXC90" t="s">
        <v>398</v>
      </c>
      <c r="BXD90">
        <v>1</v>
      </c>
      <c r="BXE90" t="s">
        <v>430</v>
      </c>
      <c r="BXF90" t="s">
        <v>431</v>
      </c>
      <c r="BXG90" t="s">
        <v>432</v>
      </c>
      <c r="BXI90" t="s">
        <v>429</v>
      </c>
      <c r="BXJ90" t="s">
        <v>143</v>
      </c>
      <c r="BXK90" t="s">
        <v>398</v>
      </c>
      <c r="BXL90">
        <v>1</v>
      </c>
      <c r="BXM90" t="s">
        <v>430</v>
      </c>
      <c r="BXN90" t="s">
        <v>431</v>
      </c>
      <c r="BXO90" t="s">
        <v>432</v>
      </c>
      <c r="BXQ90" t="s">
        <v>429</v>
      </c>
      <c r="BXR90" t="s">
        <v>143</v>
      </c>
      <c r="BXS90" t="s">
        <v>398</v>
      </c>
      <c r="BXT90">
        <v>1</v>
      </c>
      <c r="BXU90" t="s">
        <v>430</v>
      </c>
      <c r="BXV90" t="s">
        <v>431</v>
      </c>
      <c r="BXW90" t="s">
        <v>432</v>
      </c>
      <c r="BXY90" t="s">
        <v>429</v>
      </c>
      <c r="BXZ90" t="s">
        <v>143</v>
      </c>
      <c r="BYA90" t="s">
        <v>398</v>
      </c>
      <c r="BYB90">
        <v>1</v>
      </c>
      <c r="BYC90" t="s">
        <v>430</v>
      </c>
      <c r="BYD90" t="s">
        <v>431</v>
      </c>
      <c r="BYE90" t="s">
        <v>432</v>
      </c>
      <c r="BYG90" t="s">
        <v>429</v>
      </c>
      <c r="BYH90" t="s">
        <v>143</v>
      </c>
      <c r="BYI90" t="s">
        <v>398</v>
      </c>
      <c r="BYJ90">
        <v>1</v>
      </c>
      <c r="BYK90" t="s">
        <v>430</v>
      </c>
      <c r="BYL90" t="s">
        <v>431</v>
      </c>
      <c r="BYM90" t="s">
        <v>432</v>
      </c>
      <c r="BYO90" t="s">
        <v>429</v>
      </c>
      <c r="BYP90" t="s">
        <v>143</v>
      </c>
      <c r="BYQ90" t="s">
        <v>398</v>
      </c>
      <c r="BYR90">
        <v>1</v>
      </c>
      <c r="BYS90" t="s">
        <v>430</v>
      </c>
      <c r="BYT90" t="s">
        <v>431</v>
      </c>
      <c r="BYU90" t="s">
        <v>432</v>
      </c>
      <c r="BYW90" t="s">
        <v>429</v>
      </c>
      <c r="BYX90" t="s">
        <v>143</v>
      </c>
      <c r="BYY90" t="s">
        <v>398</v>
      </c>
      <c r="BYZ90">
        <v>1</v>
      </c>
      <c r="BZA90" t="s">
        <v>430</v>
      </c>
      <c r="BZB90" t="s">
        <v>431</v>
      </c>
      <c r="BZC90" t="s">
        <v>432</v>
      </c>
      <c r="BZE90" t="s">
        <v>429</v>
      </c>
      <c r="BZF90" t="s">
        <v>143</v>
      </c>
      <c r="BZG90" t="s">
        <v>398</v>
      </c>
      <c r="BZH90">
        <v>1</v>
      </c>
      <c r="BZI90" t="s">
        <v>430</v>
      </c>
      <c r="BZJ90" t="s">
        <v>431</v>
      </c>
      <c r="BZK90" t="s">
        <v>432</v>
      </c>
      <c r="BZM90" t="s">
        <v>429</v>
      </c>
      <c r="BZN90" t="s">
        <v>143</v>
      </c>
      <c r="BZO90" t="s">
        <v>398</v>
      </c>
      <c r="BZP90">
        <v>1</v>
      </c>
      <c r="BZQ90" t="s">
        <v>430</v>
      </c>
      <c r="BZR90" t="s">
        <v>431</v>
      </c>
      <c r="BZS90" t="s">
        <v>432</v>
      </c>
      <c r="BZU90" t="s">
        <v>429</v>
      </c>
      <c r="BZV90" t="s">
        <v>143</v>
      </c>
      <c r="BZW90" t="s">
        <v>398</v>
      </c>
      <c r="BZX90">
        <v>1</v>
      </c>
      <c r="BZY90" t="s">
        <v>430</v>
      </c>
      <c r="BZZ90" t="s">
        <v>431</v>
      </c>
      <c r="CAA90" t="s">
        <v>432</v>
      </c>
      <c r="CAC90" t="s">
        <v>429</v>
      </c>
      <c r="CAD90" t="s">
        <v>143</v>
      </c>
      <c r="CAE90" t="s">
        <v>398</v>
      </c>
      <c r="CAF90">
        <v>1</v>
      </c>
      <c r="CAG90" t="s">
        <v>430</v>
      </c>
      <c r="CAH90" t="s">
        <v>431</v>
      </c>
      <c r="CAI90" t="s">
        <v>432</v>
      </c>
      <c r="CAK90" t="s">
        <v>429</v>
      </c>
      <c r="CAL90" t="s">
        <v>143</v>
      </c>
      <c r="CAM90" t="s">
        <v>398</v>
      </c>
      <c r="CAN90">
        <v>1</v>
      </c>
      <c r="CAO90" t="s">
        <v>430</v>
      </c>
      <c r="CAP90" t="s">
        <v>431</v>
      </c>
      <c r="CAQ90" t="s">
        <v>432</v>
      </c>
      <c r="CAS90" t="s">
        <v>429</v>
      </c>
      <c r="CAT90" t="s">
        <v>143</v>
      </c>
      <c r="CAU90" t="s">
        <v>398</v>
      </c>
      <c r="CAV90">
        <v>1</v>
      </c>
      <c r="CAW90" t="s">
        <v>430</v>
      </c>
      <c r="CAX90" t="s">
        <v>431</v>
      </c>
      <c r="CAY90" t="s">
        <v>432</v>
      </c>
      <c r="CBA90" t="s">
        <v>429</v>
      </c>
      <c r="CBB90" t="s">
        <v>143</v>
      </c>
      <c r="CBC90" t="s">
        <v>398</v>
      </c>
      <c r="CBD90">
        <v>1</v>
      </c>
      <c r="CBE90" t="s">
        <v>430</v>
      </c>
      <c r="CBF90" t="s">
        <v>431</v>
      </c>
      <c r="CBG90" t="s">
        <v>432</v>
      </c>
      <c r="CBI90" t="s">
        <v>429</v>
      </c>
      <c r="CBJ90" t="s">
        <v>143</v>
      </c>
      <c r="CBK90" t="s">
        <v>398</v>
      </c>
      <c r="CBL90">
        <v>1</v>
      </c>
      <c r="CBM90" t="s">
        <v>430</v>
      </c>
      <c r="CBN90" t="s">
        <v>431</v>
      </c>
      <c r="CBO90" t="s">
        <v>432</v>
      </c>
      <c r="CBQ90" t="s">
        <v>429</v>
      </c>
      <c r="CBR90" t="s">
        <v>143</v>
      </c>
      <c r="CBS90" t="s">
        <v>398</v>
      </c>
      <c r="CBT90">
        <v>1</v>
      </c>
      <c r="CBU90" t="s">
        <v>430</v>
      </c>
      <c r="CBV90" t="s">
        <v>431</v>
      </c>
      <c r="CBW90" t="s">
        <v>432</v>
      </c>
      <c r="CBY90" t="s">
        <v>429</v>
      </c>
      <c r="CBZ90" t="s">
        <v>143</v>
      </c>
      <c r="CCA90" t="s">
        <v>398</v>
      </c>
      <c r="CCB90">
        <v>1</v>
      </c>
      <c r="CCC90" t="s">
        <v>430</v>
      </c>
      <c r="CCD90" t="s">
        <v>431</v>
      </c>
      <c r="CCE90" t="s">
        <v>432</v>
      </c>
      <c r="CCG90" t="s">
        <v>429</v>
      </c>
      <c r="CCH90" t="s">
        <v>143</v>
      </c>
      <c r="CCI90" t="s">
        <v>398</v>
      </c>
      <c r="CCJ90">
        <v>1</v>
      </c>
      <c r="CCK90" t="s">
        <v>430</v>
      </c>
      <c r="CCL90" t="s">
        <v>431</v>
      </c>
      <c r="CCM90" t="s">
        <v>432</v>
      </c>
      <c r="CCO90" t="s">
        <v>429</v>
      </c>
      <c r="CCP90" t="s">
        <v>143</v>
      </c>
      <c r="CCQ90" t="s">
        <v>398</v>
      </c>
      <c r="CCR90">
        <v>1</v>
      </c>
      <c r="CCS90" t="s">
        <v>430</v>
      </c>
      <c r="CCT90" t="s">
        <v>431</v>
      </c>
      <c r="CCU90" t="s">
        <v>432</v>
      </c>
      <c r="CCW90" t="s">
        <v>429</v>
      </c>
      <c r="CCX90" t="s">
        <v>143</v>
      </c>
      <c r="CCY90" t="s">
        <v>398</v>
      </c>
      <c r="CCZ90">
        <v>1</v>
      </c>
      <c r="CDA90" t="s">
        <v>430</v>
      </c>
      <c r="CDB90" t="s">
        <v>431</v>
      </c>
      <c r="CDC90" t="s">
        <v>432</v>
      </c>
      <c r="CDE90" t="s">
        <v>429</v>
      </c>
      <c r="CDF90" t="s">
        <v>143</v>
      </c>
      <c r="CDG90" t="s">
        <v>398</v>
      </c>
      <c r="CDH90">
        <v>1</v>
      </c>
      <c r="CDI90" t="s">
        <v>430</v>
      </c>
      <c r="CDJ90" t="s">
        <v>431</v>
      </c>
      <c r="CDK90" t="s">
        <v>432</v>
      </c>
      <c r="CDM90" t="s">
        <v>429</v>
      </c>
      <c r="CDN90" t="s">
        <v>143</v>
      </c>
      <c r="CDO90" t="s">
        <v>398</v>
      </c>
      <c r="CDP90">
        <v>1</v>
      </c>
      <c r="CDQ90" t="s">
        <v>430</v>
      </c>
      <c r="CDR90" t="s">
        <v>431</v>
      </c>
      <c r="CDS90" t="s">
        <v>432</v>
      </c>
      <c r="CDU90" t="s">
        <v>429</v>
      </c>
      <c r="CDV90" t="s">
        <v>143</v>
      </c>
      <c r="CDW90" t="s">
        <v>398</v>
      </c>
      <c r="CDX90">
        <v>1</v>
      </c>
      <c r="CDY90" t="s">
        <v>430</v>
      </c>
      <c r="CDZ90" t="s">
        <v>431</v>
      </c>
      <c r="CEA90" t="s">
        <v>432</v>
      </c>
      <c r="CEC90" t="s">
        <v>429</v>
      </c>
      <c r="CED90" t="s">
        <v>143</v>
      </c>
      <c r="CEE90" t="s">
        <v>398</v>
      </c>
      <c r="CEF90">
        <v>1</v>
      </c>
      <c r="CEG90" t="s">
        <v>430</v>
      </c>
      <c r="CEH90" t="s">
        <v>431</v>
      </c>
      <c r="CEI90" t="s">
        <v>432</v>
      </c>
      <c r="CEK90" t="s">
        <v>429</v>
      </c>
      <c r="CEL90" t="s">
        <v>143</v>
      </c>
      <c r="CEM90" t="s">
        <v>398</v>
      </c>
      <c r="CEN90">
        <v>1</v>
      </c>
      <c r="CEO90" t="s">
        <v>430</v>
      </c>
      <c r="CEP90" t="s">
        <v>431</v>
      </c>
      <c r="CEQ90" t="s">
        <v>432</v>
      </c>
      <c r="CES90" t="s">
        <v>429</v>
      </c>
      <c r="CET90" t="s">
        <v>143</v>
      </c>
      <c r="CEU90" t="s">
        <v>398</v>
      </c>
      <c r="CEV90">
        <v>1</v>
      </c>
      <c r="CEW90" t="s">
        <v>430</v>
      </c>
      <c r="CEX90" t="s">
        <v>431</v>
      </c>
      <c r="CEY90" t="s">
        <v>432</v>
      </c>
      <c r="CFA90" t="s">
        <v>429</v>
      </c>
      <c r="CFB90" t="s">
        <v>143</v>
      </c>
      <c r="CFC90" t="s">
        <v>398</v>
      </c>
      <c r="CFD90">
        <v>1</v>
      </c>
      <c r="CFE90" t="s">
        <v>430</v>
      </c>
      <c r="CFF90" t="s">
        <v>431</v>
      </c>
      <c r="CFG90" t="s">
        <v>432</v>
      </c>
      <c r="CFI90" t="s">
        <v>429</v>
      </c>
      <c r="CFJ90" t="s">
        <v>143</v>
      </c>
      <c r="CFK90" t="s">
        <v>398</v>
      </c>
      <c r="CFL90">
        <v>1</v>
      </c>
      <c r="CFM90" t="s">
        <v>430</v>
      </c>
      <c r="CFN90" t="s">
        <v>431</v>
      </c>
      <c r="CFO90" t="s">
        <v>432</v>
      </c>
      <c r="CFQ90" t="s">
        <v>429</v>
      </c>
      <c r="CFR90" t="s">
        <v>143</v>
      </c>
      <c r="CFS90" t="s">
        <v>398</v>
      </c>
      <c r="CFT90">
        <v>1</v>
      </c>
      <c r="CFU90" t="s">
        <v>430</v>
      </c>
      <c r="CFV90" t="s">
        <v>431</v>
      </c>
      <c r="CFW90" t="s">
        <v>432</v>
      </c>
      <c r="CFY90" t="s">
        <v>429</v>
      </c>
      <c r="CFZ90" t="s">
        <v>143</v>
      </c>
      <c r="CGA90" t="s">
        <v>398</v>
      </c>
      <c r="CGB90">
        <v>1</v>
      </c>
      <c r="CGC90" t="s">
        <v>430</v>
      </c>
      <c r="CGD90" t="s">
        <v>431</v>
      </c>
      <c r="CGE90" t="s">
        <v>432</v>
      </c>
      <c r="CGG90" t="s">
        <v>429</v>
      </c>
      <c r="CGH90" t="s">
        <v>143</v>
      </c>
      <c r="CGI90" t="s">
        <v>398</v>
      </c>
      <c r="CGJ90">
        <v>1</v>
      </c>
      <c r="CGK90" t="s">
        <v>430</v>
      </c>
      <c r="CGL90" t="s">
        <v>431</v>
      </c>
      <c r="CGM90" t="s">
        <v>432</v>
      </c>
      <c r="CGO90" t="s">
        <v>429</v>
      </c>
      <c r="CGP90" t="s">
        <v>143</v>
      </c>
      <c r="CGQ90" t="s">
        <v>398</v>
      </c>
      <c r="CGR90">
        <v>1</v>
      </c>
      <c r="CGS90" t="s">
        <v>430</v>
      </c>
      <c r="CGT90" t="s">
        <v>431</v>
      </c>
      <c r="CGU90" t="s">
        <v>432</v>
      </c>
      <c r="CGW90" t="s">
        <v>429</v>
      </c>
      <c r="CGX90" t="s">
        <v>143</v>
      </c>
      <c r="CGY90" t="s">
        <v>398</v>
      </c>
      <c r="CGZ90">
        <v>1</v>
      </c>
      <c r="CHA90" t="s">
        <v>430</v>
      </c>
      <c r="CHB90" t="s">
        <v>431</v>
      </c>
      <c r="CHC90" t="s">
        <v>432</v>
      </c>
      <c r="CHE90" t="s">
        <v>429</v>
      </c>
      <c r="CHF90" t="s">
        <v>143</v>
      </c>
      <c r="CHG90" t="s">
        <v>398</v>
      </c>
      <c r="CHH90">
        <v>1</v>
      </c>
      <c r="CHI90" t="s">
        <v>430</v>
      </c>
      <c r="CHJ90" t="s">
        <v>431</v>
      </c>
      <c r="CHK90" t="s">
        <v>432</v>
      </c>
      <c r="CHM90" t="s">
        <v>429</v>
      </c>
      <c r="CHN90" t="s">
        <v>143</v>
      </c>
      <c r="CHO90" t="s">
        <v>398</v>
      </c>
      <c r="CHP90">
        <v>1</v>
      </c>
      <c r="CHQ90" t="s">
        <v>430</v>
      </c>
      <c r="CHR90" t="s">
        <v>431</v>
      </c>
      <c r="CHS90" t="s">
        <v>432</v>
      </c>
      <c r="CHU90" t="s">
        <v>429</v>
      </c>
      <c r="CHV90" t="s">
        <v>143</v>
      </c>
      <c r="CHW90" t="s">
        <v>398</v>
      </c>
      <c r="CHX90">
        <v>1</v>
      </c>
      <c r="CHY90" t="s">
        <v>430</v>
      </c>
      <c r="CHZ90" t="s">
        <v>431</v>
      </c>
      <c r="CIA90" t="s">
        <v>432</v>
      </c>
      <c r="CIC90" t="s">
        <v>429</v>
      </c>
      <c r="CID90" t="s">
        <v>143</v>
      </c>
      <c r="CIE90" t="s">
        <v>398</v>
      </c>
      <c r="CIF90">
        <v>1</v>
      </c>
      <c r="CIG90" t="s">
        <v>430</v>
      </c>
      <c r="CIH90" t="s">
        <v>431</v>
      </c>
      <c r="CII90" t="s">
        <v>432</v>
      </c>
      <c r="CIK90" t="s">
        <v>429</v>
      </c>
      <c r="CIL90" t="s">
        <v>143</v>
      </c>
      <c r="CIM90" t="s">
        <v>398</v>
      </c>
      <c r="CIN90">
        <v>1</v>
      </c>
      <c r="CIO90" t="s">
        <v>430</v>
      </c>
      <c r="CIP90" t="s">
        <v>431</v>
      </c>
      <c r="CIQ90" t="s">
        <v>432</v>
      </c>
      <c r="CIS90" t="s">
        <v>429</v>
      </c>
      <c r="CIT90" t="s">
        <v>143</v>
      </c>
      <c r="CIU90" t="s">
        <v>398</v>
      </c>
      <c r="CIV90">
        <v>1</v>
      </c>
      <c r="CIW90" t="s">
        <v>430</v>
      </c>
      <c r="CIX90" t="s">
        <v>431</v>
      </c>
      <c r="CIY90" t="s">
        <v>432</v>
      </c>
      <c r="CJA90" t="s">
        <v>429</v>
      </c>
      <c r="CJB90" t="s">
        <v>143</v>
      </c>
      <c r="CJC90" t="s">
        <v>398</v>
      </c>
      <c r="CJD90">
        <v>1</v>
      </c>
      <c r="CJE90" t="s">
        <v>430</v>
      </c>
      <c r="CJF90" t="s">
        <v>431</v>
      </c>
      <c r="CJG90" t="s">
        <v>432</v>
      </c>
      <c r="CJI90" t="s">
        <v>429</v>
      </c>
      <c r="CJJ90" t="s">
        <v>143</v>
      </c>
      <c r="CJK90" t="s">
        <v>398</v>
      </c>
      <c r="CJL90">
        <v>1</v>
      </c>
      <c r="CJM90" t="s">
        <v>430</v>
      </c>
      <c r="CJN90" t="s">
        <v>431</v>
      </c>
      <c r="CJO90" t="s">
        <v>432</v>
      </c>
      <c r="CJQ90" t="s">
        <v>429</v>
      </c>
      <c r="CJR90" t="s">
        <v>143</v>
      </c>
      <c r="CJS90" t="s">
        <v>398</v>
      </c>
      <c r="CJT90">
        <v>1</v>
      </c>
      <c r="CJU90" t="s">
        <v>430</v>
      </c>
      <c r="CJV90" t="s">
        <v>431</v>
      </c>
      <c r="CJW90" t="s">
        <v>432</v>
      </c>
      <c r="CJY90" t="s">
        <v>429</v>
      </c>
      <c r="CJZ90" t="s">
        <v>143</v>
      </c>
      <c r="CKA90" t="s">
        <v>398</v>
      </c>
      <c r="CKB90">
        <v>1</v>
      </c>
      <c r="CKC90" t="s">
        <v>430</v>
      </c>
      <c r="CKD90" t="s">
        <v>431</v>
      </c>
      <c r="CKE90" t="s">
        <v>432</v>
      </c>
      <c r="CKG90" t="s">
        <v>429</v>
      </c>
      <c r="CKH90" t="s">
        <v>143</v>
      </c>
      <c r="CKI90" t="s">
        <v>398</v>
      </c>
      <c r="CKJ90">
        <v>1</v>
      </c>
      <c r="CKK90" t="s">
        <v>430</v>
      </c>
      <c r="CKL90" t="s">
        <v>431</v>
      </c>
      <c r="CKM90" t="s">
        <v>432</v>
      </c>
      <c r="CKO90" t="s">
        <v>429</v>
      </c>
      <c r="CKP90" t="s">
        <v>143</v>
      </c>
      <c r="CKQ90" t="s">
        <v>398</v>
      </c>
      <c r="CKR90">
        <v>1</v>
      </c>
      <c r="CKS90" t="s">
        <v>430</v>
      </c>
      <c r="CKT90" t="s">
        <v>431</v>
      </c>
      <c r="CKU90" t="s">
        <v>432</v>
      </c>
      <c r="CKW90" t="s">
        <v>429</v>
      </c>
      <c r="CKX90" t="s">
        <v>143</v>
      </c>
      <c r="CKY90" t="s">
        <v>398</v>
      </c>
      <c r="CKZ90">
        <v>1</v>
      </c>
      <c r="CLA90" t="s">
        <v>430</v>
      </c>
      <c r="CLB90" t="s">
        <v>431</v>
      </c>
      <c r="CLC90" t="s">
        <v>432</v>
      </c>
      <c r="CLE90" t="s">
        <v>429</v>
      </c>
      <c r="CLF90" t="s">
        <v>143</v>
      </c>
      <c r="CLG90" t="s">
        <v>398</v>
      </c>
      <c r="CLH90">
        <v>1</v>
      </c>
      <c r="CLI90" t="s">
        <v>430</v>
      </c>
      <c r="CLJ90" t="s">
        <v>431</v>
      </c>
      <c r="CLK90" t="s">
        <v>432</v>
      </c>
      <c r="CLM90" t="s">
        <v>429</v>
      </c>
      <c r="CLN90" t="s">
        <v>143</v>
      </c>
      <c r="CLO90" t="s">
        <v>398</v>
      </c>
      <c r="CLP90">
        <v>1</v>
      </c>
      <c r="CLQ90" t="s">
        <v>430</v>
      </c>
      <c r="CLR90" t="s">
        <v>431</v>
      </c>
      <c r="CLS90" t="s">
        <v>432</v>
      </c>
      <c r="CLU90" t="s">
        <v>429</v>
      </c>
      <c r="CLV90" t="s">
        <v>143</v>
      </c>
      <c r="CLW90" t="s">
        <v>398</v>
      </c>
      <c r="CLX90">
        <v>1</v>
      </c>
      <c r="CLY90" t="s">
        <v>430</v>
      </c>
      <c r="CLZ90" t="s">
        <v>431</v>
      </c>
      <c r="CMA90" t="s">
        <v>432</v>
      </c>
      <c r="CMC90" t="s">
        <v>429</v>
      </c>
      <c r="CMD90" t="s">
        <v>143</v>
      </c>
      <c r="CME90" t="s">
        <v>398</v>
      </c>
      <c r="CMF90">
        <v>1</v>
      </c>
      <c r="CMG90" t="s">
        <v>430</v>
      </c>
      <c r="CMH90" t="s">
        <v>431</v>
      </c>
      <c r="CMI90" t="s">
        <v>432</v>
      </c>
      <c r="CMK90" t="s">
        <v>429</v>
      </c>
      <c r="CML90" t="s">
        <v>143</v>
      </c>
      <c r="CMM90" t="s">
        <v>398</v>
      </c>
      <c r="CMN90">
        <v>1</v>
      </c>
      <c r="CMO90" t="s">
        <v>430</v>
      </c>
      <c r="CMP90" t="s">
        <v>431</v>
      </c>
      <c r="CMQ90" t="s">
        <v>432</v>
      </c>
      <c r="CMS90" t="s">
        <v>429</v>
      </c>
      <c r="CMT90" t="s">
        <v>143</v>
      </c>
      <c r="CMU90" t="s">
        <v>398</v>
      </c>
      <c r="CMV90">
        <v>1</v>
      </c>
      <c r="CMW90" t="s">
        <v>430</v>
      </c>
      <c r="CMX90" t="s">
        <v>431</v>
      </c>
      <c r="CMY90" t="s">
        <v>432</v>
      </c>
      <c r="CNA90" t="s">
        <v>429</v>
      </c>
      <c r="CNB90" t="s">
        <v>143</v>
      </c>
      <c r="CNC90" t="s">
        <v>398</v>
      </c>
      <c r="CND90">
        <v>1</v>
      </c>
      <c r="CNE90" t="s">
        <v>430</v>
      </c>
      <c r="CNF90" t="s">
        <v>431</v>
      </c>
      <c r="CNG90" t="s">
        <v>432</v>
      </c>
      <c r="CNI90" t="s">
        <v>429</v>
      </c>
      <c r="CNJ90" t="s">
        <v>143</v>
      </c>
      <c r="CNK90" t="s">
        <v>398</v>
      </c>
      <c r="CNL90">
        <v>1</v>
      </c>
      <c r="CNM90" t="s">
        <v>430</v>
      </c>
      <c r="CNN90" t="s">
        <v>431</v>
      </c>
      <c r="CNO90" t="s">
        <v>432</v>
      </c>
      <c r="CNQ90" t="s">
        <v>429</v>
      </c>
      <c r="CNR90" t="s">
        <v>143</v>
      </c>
      <c r="CNS90" t="s">
        <v>398</v>
      </c>
      <c r="CNT90">
        <v>1</v>
      </c>
      <c r="CNU90" t="s">
        <v>430</v>
      </c>
      <c r="CNV90" t="s">
        <v>431</v>
      </c>
      <c r="CNW90" t="s">
        <v>432</v>
      </c>
      <c r="CNY90" t="s">
        <v>429</v>
      </c>
      <c r="CNZ90" t="s">
        <v>143</v>
      </c>
      <c r="COA90" t="s">
        <v>398</v>
      </c>
      <c r="COB90">
        <v>1</v>
      </c>
      <c r="COC90" t="s">
        <v>430</v>
      </c>
      <c r="COD90" t="s">
        <v>431</v>
      </c>
      <c r="COE90" t="s">
        <v>432</v>
      </c>
      <c r="COG90" t="s">
        <v>429</v>
      </c>
      <c r="COH90" t="s">
        <v>143</v>
      </c>
      <c r="COI90" t="s">
        <v>398</v>
      </c>
      <c r="COJ90">
        <v>1</v>
      </c>
      <c r="COK90" t="s">
        <v>430</v>
      </c>
      <c r="COL90" t="s">
        <v>431</v>
      </c>
      <c r="COM90" t="s">
        <v>432</v>
      </c>
      <c r="COO90" t="s">
        <v>429</v>
      </c>
      <c r="COP90" t="s">
        <v>143</v>
      </c>
      <c r="COQ90" t="s">
        <v>398</v>
      </c>
      <c r="COR90">
        <v>1</v>
      </c>
      <c r="COS90" t="s">
        <v>430</v>
      </c>
      <c r="COT90" t="s">
        <v>431</v>
      </c>
      <c r="COU90" t="s">
        <v>432</v>
      </c>
      <c r="COW90" t="s">
        <v>429</v>
      </c>
      <c r="COX90" t="s">
        <v>143</v>
      </c>
      <c r="COY90" t="s">
        <v>398</v>
      </c>
      <c r="COZ90">
        <v>1</v>
      </c>
      <c r="CPA90" t="s">
        <v>430</v>
      </c>
      <c r="CPB90" t="s">
        <v>431</v>
      </c>
      <c r="CPC90" t="s">
        <v>432</v>
      </c>
      <c r="CPE90" t="s">
        <v>429</v>
      </c>
      <c r="CPF90" t="s">
        <v>143</v>
      </c>
      <c r="CPG90" t="s">
        <v>398</v>
      </c>
      <c r="CPH90">
        <v>1</v>
      </c>
      <c r="CPI90" t="s">
        <v>430</v>
      </c>
      <c r="CPJ90" t="s">
        <v>431</v>
      </c>
      <c r="CPK90" t="s">
        <v>432</v>
      </c>
      <c r="CPM90" t="s">
        <v>429</v>
      </c>
      <c r="CPN90" t="s">
        <v>143</v>
      </c>
      <c r="CPO90" t="s">
        <v>398</v>
      </c>
      <c r="CPP90">
        <v>1</v>
      </c>
      <c r="CPQ90" t="s">
        <v>430</v>
      </c>
      <c r="CPR90" t="s">
        <v>431</v>
      </c>
      <c r="CPS90" t="s">
        <v>432</v>
      </c>
      <c r="CPU90" t="s">
        <v>429</v>
      </c>
      <c r="CPV90" t="s">
        <v>143</v>
      </c>
      <c r="CPW90" t="s">
        <v>398</v>
      </c>
      <c r="CPX90">
        <v>1</v>
      </c>
      <c r="CPY90" t="s">
        <v>430</v>
      </c>
      <c r="CPZ90" t="s">
        <v>431</v>
      </c>
      <c r="CQA90" t="s">
        <v>432</v>
      </c>
      <c r="CQC90" t="s">
        <v>429</v>
      </c>
      <c r="CQD90" t="s">
        <v>143</v>
      </c>
      <c r="CQE90" t="s">
        <v>398</v>
      </c>
      <c r="CQF90">
        <v>1</v>
      </c>
      <c r="CQG90" t="s">
        <v>430</v>
      </c>
      <c r="CQH90" t="s">
        <v>431</v>
      </c>
      <c r="CQI90" t="s">
        <v>432</v>
      </c>
      <c r="CQK90" t="s">
        <v>429</v>
      </c>
      <c r="CQL90" t="s">
        <v>143</v>
      </c>
      <c r="CQM90" t="s">
        <v>398</v>
      </c>
      <c r="CQN90">
        <v>1</v>
      </c>
      <c r="CQO90" t="s">
        <v>430</v>
      </c>
      <c r="CQP90" t="s">
        <v>431</v>
      </c>
      <c r="CQQ90" t="s">
        <v>432</v>
      </c>
      <c r="CQS90" t="s">
        <v>429</v>
      </c>
      <c r="CQT90" t="s">
        <v>143</v>
      </c>
      <c r="CQU90" t="s">
        <v>398</v>
      </c>
      <c r="CQV90">
        <v>1</v>
      </c>
      <c r="CQW90" t="s">
        <v>430</v>
      </c>
      <c r="CQX90" t="s">
        <v>431</v>
      </c>
      <c r="CQY90" t="s">
        <v>432</v>
      </c>
      <c r="CRA90" t="s">
        <v>429</v>
      </c>
      <c r="CRB90" t="s">
        <v>143</v>
      </c>
      <c r="CRC90" t="s">
        <v>398</v>
      </c>
      <c r="CRD90">
        <v>1</v>
      </c>
      <c r="CRE90" t="s">
        <v>430</v>
      </c>
      <c r="CRF90" t="s">
        <v>431</v>
      </c>
      <c r="CRG90" t="s">
        <v>432</v>
      </c>
      <c r="CRI90" t="s">
        <v>429</v>
      </c>
      <c r="CRJ90" t="s">
        <v>143</v>
      </c>
      <c r="CRK90" t="s">
        <v>398</v>
      </c>
      <c r="CRL90">
        <v>1</v>
      </c>
      <c r="CRM90" t="s">
        <v>430</v>
      </c>
      <c r="CRN90" t="s">
        <v>431</v>
      </c>
      <c r="CRO90" t="s">
        <v>432</v>
      </c>
      <c r="CRQ90" t="s">
        <v>429</v>
      </c>
      <c r="CRR90" t="s">
        <v>143</v>
      </c>
      <c r="CRS90" t="s">
        <v>398</v>
      </c>
      <c r="CRT90">
        <v>1</v>
      </c>
      <c r="CRU90" t="s">
        <v>430</v>
      </c>
      <c r="CRV90" t="s">
        <v>431</v>
      </c>
      <c r="CRW90" t="s">
        <v>432</v>
      </c>
      <c r="CRY90" t="s">
        <v>429</v>
      </c>
      <c r="CRZ90" t="s">
        <v>143</v>
      </c>
      <c r="CSA90" t="s">
        <v>398</v>
      </c>
      <c r="CSB90">
        <v>1</v>
      </c>
      <c r="CSC90" t="s">
        <v>430</v>
      </c>
      <c r="CSD90" t="s">
        <v>431</v>
      </c>
      <c r="CSE90" t="s">
        <v>432</v>
      </c>
      <c r="CSG90" t="s">
        <v>429</v>
      </c>
      <c r="CSH90" t="s">
        <v>143</v>
      </c>
      <c r="CSI90" t="s">
        <v>398</v>
      </c>
      <c r="CSJ90">
        <v>1</v>
      </c>
      <c r="CSK90" t="s">
        <v>430</v>
      </c>
      <c r="CSL90" t="s">
        <v>431</v>
      </c>
      <c r="CSM90" t="s">
        <v>432</v>
      </c>
      <c r="CSO90" t="s">
        <v>429</v>
      </c>
      <c r="CSP90" t="s">
        <v>143</v>
      </c>
      <c r="CSQ90" t="s">
        <v>398</v>
      </c>
      <c r="CSR90">
        <v>1</v>
      </c>
      <c r="CSS90" t="s">
        <v>430</v>
      </c>
      <c r="CST90" t="s">
        <v>431</v>
      </c>
      <c r="CSU90" t="s">
        <v>432</v>
      </c>
      <c r="CSW90" t="s">
        <v>429</v>
      </c>
      <c r="CSX90" t="s">
        <v>143</v>
      </c>
      <c r="CSY90" t="s">
        <v>398</v>
      </c>
      <c r="CSZ90">
        <v>1</v>
      </c>
      <c r="CTA90" t="s">
        <v>430</v>
      </c>
      <c r="CTB90" t="s">
        <v>431</v>
      </c>
      <c r="CTC90" t="s">
        <v>432</v>
      </c>
      <c r="CTE90" t="s">
        <v>429</v>
      </c>
      <c r="CTF90" t="s">
        <v>143</v>
      </c>
      <c r="CTG90" t="s">
        <v>398</v>
      </c>
      <c r="CTH90">
        <v>1</v>
      </c>
      <c r="CTI90" t="s">
        <v>430</v>
      </c>
      <c r="CTJ90" t="s">
        <v>431</v>
      </c>
      <c r="CTK90" t="s">
        <v>432</v>
      </c>
      <c r="CTM90" t="s">
        <v>429</v>
      </c>
      <c r="CTN90" t="s">
        <v>143</v>
      </c>
      <c r="CTO90" t="s">
        <v>398</v>
      </c>
      <c r="CTP90">
        <v>1</v>
      </c>
      <c r="CTQ90" t="s">
        <v>430</v>
      </c>
      <c r="CTR90" t="s">
        <v>431</v>
      </c>
      <c r="CTS90" t="s">
        <v>432</v>
      </c>
      <c r="CTU90" t="s">
        <v>429</v>
      </c>
      <c r="CTV90" t="s">
        <v>143</v>
      </c>
      <c r="CTW90" t="s">
        <v>398</v>
      </c>
      <c r="CTX90">
        <v>1</v>
      </c>
      <c r="CTY90" t="s">
        <v>430</v>
      </c>
      <c r="CTZ90" t="s">
        <v>431</v>
      </c>
      <c r="CUA90" t="s">
        <v>432</v>
      </c>
      <c r="CUC90" t="s">
        <v>429</v>
      </c>
      <c r="CUD90" t="s">
        <v>143</v>
      </c>
      <c r="CUE90" t="s">
        <v>398</v>
      </c>
      <c r="CUF90">
        <v>1</v>
      </c>
      <c r="CUG90" t="s">
        <v>430</v>
      </c>
      <c r="CUH90" t="s">
        <v>431</v>
      </c>
      <c r="CUI90" t="s">
        <v>432</v>
      </c>
      <c r="CUK90" t="s">
        <v>429</v>
      </c>
      <c r="CUL90" t="s">
        <v>143</v>
      </c>
      <c r="CUM90" t="s">
        <v>398</v>
      </c>
      <c r="CUN90">
        <v>1</v>
      </c>
      <c r="CUO90" t="s">
        <v>430</v>
      </c>
      <c r="CUP90" t="s">
        <v>431</v>
      </c>
      <c r="CUQ90" t="s">
        <v>432</v>
      </c>
      <c r="CUS90" t="s">
        <v>429</v>
      </c>
      <c r="CUT90" t="s">
        <v>143</v>
      </c>
      <c r="CUU90" t="s">
        <v>398</v>
      </c>
      <c r="CUV90">
        <v>1</v>
      </c>
      <c r="CUW90" t="s">
        <v>430</v>
      </c>
      <c r="CUX90" t="s">
        <v>431</v>
      </c>
      <c r="CUY90" t="s">
        <v>432</v>
      </c>
      <c r="CVA90" t="s">
        <v>429</v>
      </c>
      <c r="CVB90" t="s">
        <v>143</v>
      </c>
      <c r="CVC90" t="s">
        <v>398</v>
      </c>
      <c r="CVD90">
        <v>1</v>
      </c>
      <c r="CVE90" t="s">
        <v>430</v>
      </c>
      <c r="CVF90" t="s">
        <v>431</v>
      </c>
      <c r="CVG90" t="s">
        <v>432</v>
      </c>
      <c r="CVI90" t="s">
        <v>429</v>
      </c>
      <c r="CVJ90" t="s">
        <v>143</v>
      </c>
      <c r="CVK90" t="s">
        <v>398</v>
      </c>
      <c r="CVL90">
        <v>1</v>
      </c>
      <c r="CVM90" t="s">
        <v>430</v>
      </c>
      <c r="CVN90" t="s">
        <v>431</v>
      </c>
      <c r="CVO90" t="s">
        <v>432</v>
      </c>
      <c r="CVQ90" t="s">
        <v>429</v>
      </c>
      <c r="CVR90" t="s">
        <v>143</v>
      </c>
      <c r="CVS90" t="s">
        <v>398</v>
      </c>
      <c r="CVT90">
        <v>1</v>
      </c>
      <c r="CVU90" t="s">
        <v>430</v>
      </c>
      <c r="CVV90" t="s">
        <v>431</v>
      </c>
      <c r="CVW90" t="s">
        <v>432</v>
      </c>
      <c r="CVY90" t="s">
        <v>429</v>
      </c>
      <c r="CVZ90" t="s">
        <v>143</v>
      </c>
      <c r="CWA90" t="s">
        <v>398</v>
      </c>
      <c r="CWB90">
        <v>1</v>
      </c>
      <c r="CWC90" t="s">
        <v>430</v>
      </c>
      <c r="CWD90" t="s">
        <v>431</v>
      </c>
      <c r="CWE90" t="s">
        <v>432</v>
      </c>
      <c r="CWG90" t="s">
        <v>429</v>
      </c>
      <c r="CWH90" t="s">
        <v>143</v>
      </c>
      <c r="CWI90" t="s">
        <v>398</v>
      </c>
      <c r="CWJ90">
        <v>1</v>
      </c>
      <c r="CWK90" t="s">
        <v>430</v>
      </c>
      <c r="CWL90" t="s">
        <v>431</v>
      </c>
      <c r="CWM90" t="s">
        <v>432</v>
      </c>
      <c r="CWO90" t="s">
        <v>429</v>
      </c>
      <c r="CWP90" t="s">
        <v>143</v>
      </c>
      <c r="CWQ90" t="s">
        <v>398</v>
      </c>
      <c r="CWR90">
        <v>1</v>
      </c>
      <c r="CWS90" t="s">
        <v>430</v>
      </c>
      <c r="CWT90" t="s">
        <v>431</v>
      </c>
      <c r="CWU90" t="s">
        <v>432</v>
      </c>
      <c r="CWW90" t="s">
        <v>429</v>
      </c>
      <c r="CWX90" t="s">
        <v>143</v>
      </c>
      <c r="CWY90" t="s">
        <v>398</v>
      </c>
      <c r="CWZ90">
        <v>1</v>
      </c>
      <c r="CXA90" t="s">
        <v>430</v>
      </c>
      <c r="CXB90" t="s">
        <v>431</v>
      </c>
      <c r="CXC90" t="s">
        <v>432</v>
      </c>
      <c r="CXE90" t="s">
        <v>429</v>
      </c>
      <c r="CXF90" t="s">
        <v>143</v>
      </c>
      <c r="CXG90" t="s">
        <v>398</v>
      </c>
      <c r="CXH90">
        <v>1</v>
      </c>
      <c r="CXI90" t="s">
        <v>430</v>
      </c>
      <c r="CXJ90" t="s">
        <v>431</v>
      </c>
      <c r="CXK90" t="s">
        <v>432</v>
      </c>
      <c r="CXM90" t="s">
        <v>429</v>
      </c>
      <c r="CXN90" t="s">
        <v>143</v>
      </c>
      <c r="CXO90" t="s">
        <v>398</v>
      </c>
      <c r="CXP90">
        <v>1</v>
      </c>
      <c r="CXQ90" t="s">
        <v>430</v>
      </c>
      <c r="CXR90" t="s">
        <v>431</v>
      </c>
      <c r="CXS90" t="s">
        <v>432</v>
      </c>
      <c r="CXU90" t="s">
        <v>429</v>
      </c>
      <c r="CXV90" t="s">
        <v>143</v>
      </c>
      <c r="CXW90" t="s">
        <v>398</v>
      </c>
      <c r="CXX90">
        <v>1</v>
      </c>
      <c r="CXY90" t="s">
        <v>430</v>
      </c>
      <c r="CXZ90" t="s">
        <v>431</v>
      </c>
      <c r="CYA90" t="s">
        <v>432</v>
      </c>
      <c r="CYC90" t="s">
        <v>429</v>
      </c>
      <c r="CYD90" t="s">
        <v>143</v>
      </c>
      <c r="CYE90" t="s">
        <v>398</v>
      </c>
      <c r="CYF90">
        <v>1</v>
      </c>
      <c r="CYG90" t="s">
        <v>430</v>
      </c>
      <c r="CYH90" t="s">
        <v>431</v>
      </c>
      <c r="CYI90" t="s">
        <v>432</v>
      </c>
      <c r="CYK90" t="s">
        <v>429</v>
      </c>
      <c r="CYL90" t="s">
        <v>143</v>
      </c>
      <c r="CYM90" t="s">
        <v>398</v>
      </c>
      <c r="CYN90">
        <v>1</v>
      </c>
      <c r="CYO90" t="s">
        <v>430</v>
      </c>
      <c r="CYP90" t="s">
        <v>431</v>
      </c>
      <c r="CYQ90" t="s">
        <v>432</v>
      </c>
      <c r="CYS90" t="s">
        <v>429</v>
      </c>
      <c r="CYT90" t="s">
        <v>143</v>
      </c>
      <c r="CYU90" t="s">
        <v>398</v>
      </c>
      <c r="CYV90">
        <v>1</v>
      </c>
      <c r="CYW90" t="s">
        <v>430</v>
      </c>
      <c r="CYX90" t="s">
        <v>431</v>
      </c>
      <c r="CYY90" t="s">
        <v>432</v>
      </c>
      <c r="CZA90" t="s">
        <v>429</v>
      </c>
      <c r="CZB90" t="s">
        <v>143</v>
      </c>
      <c r="CZC90" t="s">
        <v>398</v>
      </c>
      <c r="CZD90">
        <v>1</v>
      </c>
      <c r="CZE90" t="s">
        <v>430</v>
      </c>
      <c r="CZF90" t="s">
        <v>431</v>
      </c>
      <c r="CZG90" t="s">
        <v>432</v>
      </c>
      <c r="CZI90" t="s">
        <v>429</v>
      </c>
      <c r="CZJ90" t="s">
        <v>143</v>
      </c>
      <c r="CZK90" t="s">
        <v>398</v>
      </c>
      <c r="CZL90">
        <v>1</v>
      </c>
      <c r="CZM90" t="s">
        <v>430</v>
      </c>
      <c r="CZN90" t="s">
        <v>431</v>
      </c>
      <c r="CZO90" t="s">
        <v>432</v>
      </c>
      <c r="CZQ90" t="s">
        <v>429</v>
      </c>
      <c r="CZR90" t="s">
        <v>143</v>
      </c>
      <c r="CZS90" t="s">
        <v>398</v>
      </c>
      <c r="CZT90">
        <v>1</v>
      </c>
      <c r="CZU90" t="s">
        <v>430</v>
      </c>
      <c r="CZV90" t="s">
        <v>431</v>
      </c>
      <c r="CZW90" t="s">
        <v>432</v>
      </c>
      <c r="CZY90" t="s">
        <v>429</v>
      </c>
      <c r="CZZ90" t="s">
        <v>143</v>
      </c>
      <c r="DAA90" t="s">
        <v>398</v>
      </c>
      <c r="DAB90">
        <v>1</v>
      </c>
      <c r="DAC90" t="s">
        <v>430</v>
      </c>
      <c r="DAD90" t="s">
        <v>431</v>
      </c>
      <c r="DAE90" t="s">
        <v>432</v>
      </c>
      <c r="DAG90" t="s">
        <v>429</v>
      </c>
      <c r="DAH90" t="s">
        <v>143</v>
      </c>
      <c r="DAI90" t="s">
        <v>398</v>
      </c>
      <c r="DAJ90">
        <v>1</v>
      </c>
      <c r="DAK90" t="s">
        <v>430</v>
      </c>
      <c r="DAL90" t="s">
        <v>431</v>
      </c>
      <c r="DAM90" t="s">
        <v>432</v>
      </c>
      <c r="DAO90" t="s">
        <v>429</v>
      </c>
      <c r="DAP90" t="s">
        <v>143</v>
      </c>
      <c r="DAQ90" t="s">
        <v>398</v>
      </c>
      <c r="DAR90">
        <v>1</v>
      </c>
      <c r="DAS90" t="s">
        <v>430</v>
      </c>
      <c r="DAT90" t="s">
        <v>431</v>
      </c>
      <c r="DAU90" t="s">
        <v>432</v>
      </c>
      <c r="DAW90" t="s">
        <v>429</v>
      </c>
      <c r="DAX90" t="s">
        <v>143</v>
      </c>
      <c r="DAY90" t="s">
        <v>398</v>
      </c>
      <c r="DAZ90">
        <v>1</v>
      </c>
      <c r="DBA90" t="s">
        <v>430</v>
      </c>
      <c r="DBB90" t="s">
        <v>431</v>
      </c>
      <c r="DBC90" t="s">
        <v>432</v>
      </c>
      <c r="DBE90" t="s">
        <v>429</v>
      </c>
      <c r="DBF90" t="s">
        <v>143</v>
      </c>
      <c r="DBG90" t="s">
        <v>398</v>
      </c>
      <c r="DBH90">
        <v>1</v>
      </c>
      <c r="DBI90" t="s">
        <v>430</v>
      </c>
      <c r="DBJ90" t="s">
        <v>431</v>
      </c>
      <c r="DBK90" t="s">
        <v>432</v>
      </c>
      <c r="DBM90" t="s">
        <v>429</v>
      </c>
      <c r="DBN90" t="s">
        <v>143</v>
      </c>
      <c r="DBO90" t="s">
        <v>398</v>
      </c>
      <c r="DBP90">
        <v>1</v>
      </c>
      <c r="DBQ90" t="s">
        <v>430</v>
      </c>
      <c r="DBR90" t="s">
        <v>431</v>
      </c>
      <c r="DBS90" t="s">
        <v>432</v>
      </c>
      <c r="DBU90" t="s">
        <v>429</v>
      </c>
      <c r="DBV90" t="s">
        <v>143</v>
      </c>
      <c r="DBW90" t="s">
        <v>398</v>
      </c>
      <c r="DBX90">
        <v>1</v>
      </c>
      <c r="DBY90" t="s">
        <v>430</v>
      </c>
      <c r="DBZ90" t="s">
        <v>431</v>
      </c>
      <c r="DCA90" t="s">
        <v>432</v>
      </c>
      <c r="DCC90" t="s">
        <v>429</v>
      </c>
      <c r="DCD90" t="s">
        <v>143</v>
      </c>
      <c r="DCE90" t="s">
        <v>398</v>
      </c>
      <c r="DCF90">
        <v>1</v>
      </c>
      <c r="DCG90" t="s">
        <v>430</v>
      </c>
      <c r="DCH90" t="s">
        <v>431</v>
      </c>
      <c r="DCI90" t="s">
        <v>432</v>
      </c>
      <c r="DCK90" t="s">
        <v>429</v>
      </c>
      <c r="DCL90" t="s">
        <v>143</v>
      </c>
      <c r="DCM90" t="s">
        <v>398</v>
      </c>
      <c r="DCN90">
        <v>1</v>
      </c>
      <c r="DCO90" t="s">
        <v>430</v>
      </c>
      <c r="DCP90" t="s">
        <v>431</v>
      </c>
      <c r="DCQ90" t="s">
        <v>432</v>
      </c>
      <c r="DCS90" t="s">
        <v>429</v>
      </c>
      <c r="DCT90" t="s">
        <v>143</v>
      </c>
      <c r="DCU90" t="s">
        <v>398</v>
      </c>
      <c r="DCV90">
        <v>1</v>
      </c>
      <c r="DCW90" t="s">
        <v>430</v>
      </c>
      <c r="DCX90" t="s">
        <v>431</v>
      </c>
      <c r="DCY90" t="s">
        <v>432</v>
      </c>
      <c r="DDA90" t="s">
        <v>429</v>
      </c>
      <c r="DDB90" t="s">
        <v>143</v>
      </c>
      <c r="DDC90" t="s">
        <v>398</v>
      </c>
      <c r="DDD90">
        <v>1</v>
      </c>
      <c r="DDE90" t="s">
        <v>430</v>
      </c>
      <c r="DDF90" t="s">
        <v>431</v>
      </c>
      <c r="DDG90" t="s">
        <v>432</v>
      </c>
      <c r="DDI90" t="s">
        <v>429</v>
      </c>
      <c r="DDJ90" t="s">
        <v>143</v>
      </c>
      <c r="DDK90" t="s">
        <v>398</v>
      </c>
      <c r="DDL90">
        <v>1</v>
      </c>
      <c r="DDM90" t="s">
        <v>430</v>
      </c>
      <c r="DDN90" t="s">
        <v>431</v>
      </c>
      <c r="DDO90" t="s">
        <v>432</v>
      </c>
      <c r="DDQ90" t="s">
        <v>429</v>
      </c>
      <c r="DDR90" t="s">
        <v>143</v>
      </c>
      <c r="DDS90" t="s">
        <v>398</v>
      </c>
      <c r="DDT90">
        <v>1</v>
      </c>
      <c r="DDU90" t="s">
        <v>430</v>
      </c>
      <c r="DDV90" t="s">
        <v>431</v>
      </c>
      <c r="DDW90" t="s">
        <v>432</v>
      </c>
      <c r="DDY90" t="s">
        <v>429</v>
      </c>
      <c r="DDZ90" t="s">
        <v>143</v>
      </c>
      <c r="DEA90" t="s">
        <v>398</v>
      </c>
      <c r="DEB90">
        <v>1</v>
      </c>
      <c r="DEC90" t="s">
        <v>430</v>
      </c>
      <c r="DED90" t="s">
        <v>431</v>
      </c>
      <c r="DEE90" t="s">
        <v>432</v>
      </c>
      <c r="DEG90" t="s">
        <v>429</v>
      </c>
      <c r="DEH90" t="s">
        <v>143</v>
      </c>
      <c r="DEI90" t="s">
        <v>398</v>
      </c>
      <c r="DEJ90">
        <v>1</v>
      </c>
      <c r="DEK90" t="s">
        <v>430</v>
      </c>
      <c r="DEL90" t="s">
        <v>431</v>
      </c>
      <c r="DEM90" t="s">
        <v>432</v>
      </c>
      <c r="DEO90" t="s">
        <v>429</v>
      </c>
      <c r="DEP90" t="s">
        <v>143</v>
      </c>
      <c r="DEQ90" t="s">
        <v>398</v>
      </c>
      <c r="DER90">
        <v>1</v>
      </c>
      <c r="DES90" t="s">
        <v>430</v>
      </c>
      <c r="DET90" t="s">
        <v>431</v>
      </c>
      <c r="DEU90" t="s">
        <v>432</v>
      </c>
      <c r="DEW90" t="s">
        <v>429</v>
      </c>
      <c r="DEX90" t="s">
        <v>143</v>
      </c>
      <c r="DEY90" t="s">
        <v>398</v>
      </c>
      <c r="DEZ90">
        <v>1</v>
      </c>
      <c r="DFA90" t="s">
        <v>430</v>
      </c>
      <c r="DFB90" t="s">
        <v>431</v>
      </c>
      <c r="DFC90" t="s">
        <v>432</v>
      </c>
      <c r="DFE90" t="s">
        <v>429</v>
      </c>
      <c r="DFF90" t="s">
        <v>143</v>
      </c>
      <c r="DFG90" t="s">
        <v>398</v>
      </c>
      <c r="DFH90">
        <v>1</v>
      </c>
      <c r="DFI90" t="s">
        <v>430</v>
      </c>
      <c r="DFJ90" t="s">
        <v>431</v>
      </c>
      <c r="DFK90" t="s">
        <v>432</v>
      </c>
      <c r="DFM90" t="s">
        <v>429</v>
      </c>
      <c r="DFN90" t="s">
        <v>143</v>
      </c>
      <c r="DFO90" t="s">
        <v>398</v>
      </c>
      <c r="DFP90">
        <v>1</v>
      </c>
      <c r="DFQ90" t="s">
        <v>430</v>
      </c>
      <c r="DFR90" t="s">
        <v>431</v>
      </c>
      <c r="DFS90" t="s">
        <v>432</v>
      </c>
      <c r="DFU90" t="s">
        <v>429</v>
      </c>
      <c r="DFV90" t="s">
        <v>143</v>
      </c>
      <c r="DFW90" t="s">
        <v>398</v>
      </c>
      <c r="DFX90">
        <v>1</v>
      </c>
      <c r="DFY90" t="s">
        <v>430</v>
      </c>
      <c r="DFZ90" t="s">
        <v>431</v>
      </c>
      <c r="DGA90" t="s">
        <v>432</v>
      </c>
      <c r="DGC90" t="s">
        <v>429</v>
      </c>
      <c r="DGD90" t="s">
        <v>143</v>
      </c>
      <c r="DGE90" t="s">
        <v>398</v>
      </c>
      <c r="DGF90">
        <v>1</v>
      </c>
      <c r="DGG90" t="s">
        <v>430</v>
      </c>
      <c r="DGH90" t="s">
        <v>431</v>
      </c>
      <c r="DGI90" t="s">
        <v>432</v>
      </c>
      <c r="DGK90" t="s">
        <v>429</v>
      </c>
      <c r="DGL90" t="s">
        <v>143</v>
      </c>
      <c r="DGM90" t="s">
        <v>398</v>
      </c>
      <c r="DGN90">
        <v>1</v>
      </c>
      <c r="DGO90" t="s">
        <v>430</v>
      </c>
      <c r="DGP90" t="s">
        <v>431</v>
      </c>
      <c r="DGQ90" t="s">
        <v>432</v>
      </c>
      <c r="DGS90" t="s">
        <v>429</v>
      </c>
      <c r="DGT90" t="s">
        <v>143</v>
      </c>
      <c r="DGU90" t="s">
        <v>398</v>
      </c>
      <c r="DGV90">
        <v>1</v>
      </c>
      <c r="DGW90" t="s">
        <v>430</v>
      </c>
      <c r="DGX90" t="s">
        <v>431</v>
      </c>
      <c r="DGY90" t="s">
        <v>432</v>
      </c>
      <c r="DHA90" t="s">
        <v>429</v>
      </c>
      <c r="DHB90" t="s">
        <v>143</v>
      </c>
      <c r="DHC90" t="s">
        <v>398</v>
      </c>
      <c r="DHD90">
        <v>1</v>
      </c>
      <c r="DHE90" t="s">
        <v>430</v>
      </c>
      <c r="DHF90" t="s">
        <v>431</v>
      </c>
      <c r="DHG90" t="s">
        <v>432</v>
      </c>
      <c r="DHI90" t="s">
        <v>429</v>
      </c>
      <c r="DHJ90" t="s">
        <v>143</v>
      </c>
      <c r="DHK90" t="s">
        <v>398</v>
      </c>
      <c r="DHL90">
        <v>1</v>
      </c>
      <c r="DHM90" t="s">
        <v>430</v>
      </c>
      <c r="DHN90" t="s">
        <v>431</v>
      </c>
      <c r="DHO90" t="s">
        <v>432</v>
      </c>
      <c r="DHQ90" t="s">
        <v>429</v>
      </c>
      <c r="DHR90" t="s">
        <v>143</v>
      </c>
      <c r="DHS90" t="s">
        <v>398</v>
      </c>
      <c r="DHT90">
        <v>1</v>
      </c>
      <c r="DHU90" t="s">
        <v>430</v>
      </c>
      <c r="DHV90" t="s">
        <v>431</v>
      </c>
      <c r="DHW90" t="s">
        <v>432</v>
      </c>
      <c r="DHY90" t="s">
        <v>429</v>
      </c>
      <c r="DHZ90" t="s">
        <v>143</v>
      </c>
      <c r="DIA90" t="s">
        <v>398</v>
      </c>
      <c r="DIB90">
        <v>1</v>
      </c>
      <c r="DIC90" t="s">
        <v>430</v>
      </c>
      <c r="DID90" t="s">
        <v>431</v>
      </c>
      <c r="DIE90" t="s">
        <v>432</v>
      </c>
      <c r="DIG90" t="s">
        <v>429</v>
      </c>
      <c r="DIH90" t="s">
        <v>143</v>
      </c>
      <c r="DII90" t="s">
        <v>398</v>
      </c>
      <c r="DIJ90">
        <v>1</v>
      </c>
      <c r="DIK90" t="s">
        <v>430</v>
      </c>
      <c r="DIL90" t="s">
        <v>431</v>
      </c>
      <c r="DIM90" t="s">
        <v>432</v>
      </c>
      <c r="DIO90" t="s">
        <v>429</v>
      </c>
      <c r="DIP90" t="s">
        <v>143</v>
      </c>
      <c r="DIQ90" t="s">
        <v>398</v>
      </c>
      <c r="DIR90">
        <v>1</v>
      </c>
      <c r="DIS90" t="s">
        <v>430</v>
      </c>
      <c r="DIT90" t="s">
        <v>431</v>
      </c>
      <c r="DIU90" t="s">
        <v>432</v>
      </c>
      <c r="DIW90" t="s">
        <v>429</v>
      </c>
      <c r="DIX90" t="s">
        <v>143</v>
      </c>
      <c r="DIY90" t="s">
        <v>398</v>
      </c>
      <c r="DIZ90">
        <v>1</v>
      </c>
      <c r="DJA90" t="s">
        <v>430</v>
      </c>
      <c r="DJB90" t="s">
        <v>431</v>
      </c>
      <c r="DJC90" t="s">
        <v>432</v>
      </c>
      <c r="DJE90" t="s">
        <v>429</v>
      </c>
      <c r="DJF90" t="s">
        <v>143</v>
      </c>
      <c r="DJG90" t="s">
        <v>398</v>
      </c>
      <c r="DJH90">
        <v>1</v>
      </c>
      <c r="DJI90" t="s">
        <v>430</v>
      </c>
      <c r="DJJ90" t="s">
        <v>431</v>
      </c>
      <c r="DJK90" t="s">
        <v>432</v>
      </c>
      <c r="DJM90" t="s">
        <v>429</v>
      </c>
      <c r="DJN90" t="s">
        <v>143</v>
      </c>
      <c r="DJO90" t="s">
        <v>398</v>
      </c>
      <c r="DJP90">
        <v>1</v>
      </c>
      <c r="DJQ90" t="s">
        <v>430</v>
      </c>
      <c r="DJR90" t="s">
        <v>431</v>
      </c>
      <c r="DJS90" t="s">
        <v>432</v>
      </c>
      <c r="DJU90" t="s">
        <v>429</v>
      </c>
      <c r="DJV90" t="s">
        <v>143</v>
      </c>
      <c r="DJW90" t="s">
        <v>398</v>
      </c>
      <c r="DJX90">
        <v>1</v>
      </c>
      <c r="DJY90" t="s">
        <v>430</v>
      </c>
      <c r="DJZ90" t="s">
        <v>431</v>
      </c>
      <c r="DKA90" t="s">
        <v>432</v>
      </c>
      <c r="DKC90" t="s">
        <v>429</v>
      </c>
      <c r="DKD90" t="s">
        <v>143</v>
      </c>
      <c r="DKE90" t="s">
        <v>398</v>
      </c>
      <c r="DKF90">
        <v>1</v>
      </c>
      <c r="DKG90" t="s">
        <v>430</v>
      </c>
      <c r="DKH90" t="s">
        <v>431</v>
      </c>
      <c r="DKI90" t="s">
        <v>432</v>
      </c>
      <c r="DKK90" t="s">
        <v>429</v>
      </c>
      <c r="DKL90" t="s">
        <v>143</v>
      </c>
      <c r="DKM90" t="s">
        <v>398</v>
      </c>
      <c r="DKN90">
        <v>1</v>
      </c>
      <c r="DKO90" t="s">
        <v>430</v>
      </c>
      <c r="DKP90" t="s">
        <v>431</v>
      </c>
      <c r="DKQ90" t="s">
        <v>432</v>
      </c>
      <c r="DKS90" t="s">
        <v>429</v>
      </c>
      <c r="DKT90" t="s">
        <v>143</v>
      </c>
      <c r="DKU90" t="s">
        <v>398</v>
      </c>
      <c r="DKV90">
        <v>1</v>
      </c>
      <c r="DKW90" t="s">
        <v>430</v>
      </c>
      <c r="DKX90" t="s">
        <v>431</v>
      </c>
      <c r="DKY90" t="s">
        <v>432</v>
      </c>
      <c r="DLA90" t="s">
        <v>429</v>
      </c>
      <c r="DLB90" t="s">
        <v>143</v>
      </c>
      <c r="DLC90" t="s">
        <v>398</v>
      </c>
      <c r="DLD90">
        <v>1</v>
      </c>
      <c r="DLE90" t="s">
        <v>430</v>
      </c>
      <c r="DLF90" t="s">
        <v>431</v>
      </c>
      <c r="DLG90" t="s">
        <v>432</v>
      </c>
      <c r="DLI90" t="s">
        <v>429</v>
      </c>
      <c r="DLJ90" t="s">
        <v>143</v>
      </c>
      <c r="DLK90" t="s">
        <v>398</v>
      </c>
      <c r="DLL90">
        <v>1</v>
      </c>
      <c r="DLM90" t="s">
        <v>430</v>
      </c>
      <c r="DLN90" t="s">
        <v>431</v>
      </c>
      <c r="DLO90" t="s">
        <v>432</v>
      </c>
      <c r="DLQ90" t="s">
        <v>429</v>
      </c>
      <c r="DLR90" t="s">
        <v>143</v>
      </c>
      <c r="DLS90" t="s">
        <v>398</v>
      </c>
      <c r="DLT90">
        <v>1</v>
      </c>
      <c r="DLU90" t="s">
        <v>430</v>
      </c>
      <c r="DLV90" t="s">
        <v>431</v>
      </c>
      <c r="DLW90" t="s">
        <v>432</v>
      </c>
      <c r="DLY90" t="s">
        <v>429</v>
      </c>
      <c r="DLZ90" t="s">
        <v>143</v>
      </c>
      <c r="DMA90" t="s">
        <v>398</v>
      </c>
      <c r="DMB90">
        <v>1</v>
      </c>
      <c r="DMC90" t="s">
        <v>430</v>
      </c>
      <c r="DMD90" t="s">
        <v>431</v>
      </c>
      <c r="DME90" t="s">
        <v>432</v>
      </c>
      <c r="DMG90" t="s">
        <v>429</v>
      </c>
      <c r="DMH90" t="s">
        <v>143</v>
      </c>
      <c r="DMI90" t="s">
        <v>398</v>
      </c>
      <c r="DMJ90">
        <v>1</v>
      </c>
      <c r="DMK90" t="s">
        <v>430</v>
      </c>
      <c r="DML90" t="s">
        <v>431</v>
      </c>
      <c r="DMM90" t="s">
        <v>432</v>
      </c>
      <c r="DMO90" t="s">
        <v>429</v>
      </c>
      <c r="DMP90" t="s">
        <v>143</v>
      </c>
      <c r="DMQ90" t="s">
        <v>398</v>
      </c>
      <c r="DMR90">
        <v>1</v>
      </c>
      <c r="DMS90" t="s">
        <v>430</v>
      </c>
      <c r="DMT90" t="s">
        <v>431</v>
      </c>
      <c r="DMU90" t="s">
        <v>432</v>
      </c>
      <c r="DMW90" t="s">
        <v>429</v>
      </c>
      <c r="DMX90" t="s">
        <v>143</v>
      </c>
      <c r="DMY90" t="s">
        <v>398</v>
      </c>
      <c r="DMZ90">
        <v>1</v>
      </c>
      <c r="DNA90" t="s">
        <v>430</v>
      </c>
      <c r="DNB90" t="s">
        <v>431</v>
      </c>
      <c r="DNC90" t="s">
        <v>432</v>
      </c>
      <c r="DNE90" t="s">
        <v>429</v>
      </c>
      <c r="DNF90" t="s">
        <v>143</v>
      </c>
      <c r="DNG90" t="s">
        <v>398</v>
      </c>
      <c r="DNH90">
        <v>1</v>
      </c>
      <c r="DNI90" t="s">
        <v>430</v>
      </c>
      <c r="DNJ90" t="s">
        <v>431</v>
      </c>
      <c r="DNK90" t="s">
        <v>432</v>
      </c>
      <c r="DNM90" t="s">
        <v>429</v>
      </c>
      <c r="DNN90" t="s">
        <v>143</v>
      </c>
      <c r="DNO90" t="s">
        <v>398</v>
      </c>
      <c r="DNP90">
        <v>1</v>
      </c>
      <c r="DNQ90" t="s">
        <v>430</v>
      </c>
      <c r="DNR90" t="s">
        <v>431</v>
      </c>
      <c r="DNS90" t="s">
        <v>432</v>
      </c>
      <c r="DNU90" t="s">
        <v>429</v>
      </c>
      <c r="DNV90" t="s">
        <v>143</v>
      </c>
      <c r="DNW90" t="s">
        <v>398</v>
      </c>
      <c r="DNX90">
        <v>1</v>
      </c>
      <c r="DNY90" t="s">
        <v>430</v>
      </c>
      <c r="DNZ90" t="s">
        <v>431</v>
      </c>
      <c r="DOA90" t="s">
        <v>432</v>
      </c>
      <c r="DOC90" t="s">
        <v>429</v>
      </c>
      <c r="DOD90" t="s">
        <v>143</v>
      </c>
      <c r="DOE90" t="s">
        <v>398</v>
      </c>
      <c r="DOF90">
        <v>1</v>
      </c>
      <c r="DOG90" t="s">
        <v>430</v>
      </c>
      <c r="DOH90" t="s">
        <v>431</v>
      </c>
      <c r="DOI90" t="s">
        <v>432</v>
      </c>
      <c r="DOK90" t="s">
        <v>429</v>
      </c>
      <c r="DOL90" t="s">
        <v>143</v>
      </c>
      <c r="DOM90" t="s">
        <v>398</v>
      </c>
      <c r="DON90">
        <v>1</v>
      </c>
      <c r="DOO90" t="s">
        <v>430</v>
      </c>
      <c r="DOP90" t="s">
        <v>431</v>
      </c>
      <c r="DOQ90" t="s">
        <v>432</v>
      </c>
      <c r="DOS90" t="s">
        <v>429</v>
      </c>
      <c r="DOT90" t="s">
        <v>143</v>
      </c>
      <c r="DOU90" t="s">
        <v>398</v>
      </c>
      <c r="DOV90">
        <v>1</v>
      </c>
      <c r="DOW90" t="s">
        <v>430</v>
      </c>
      <c r="DOX90" t="s">
        <v>431</v>
      </c>
      <c r="DOY90" t="s">
        <v>432</v>
      </c>
      <c r="DPA90" t="s">
        <v>429</v>
      </c>
      <c r="DPB90" t="s">
        <v>143</v>
      </c>
      <c r="DPC90" t="s">
        <v>398</v>
      </c>
      <c r="DPD90">
        <v>1</v>
      </c>
      <c r="DPE90" t="s">
        <v>430</v>
      </c>
      <c r="DPF90" t="s">
        <v>431</v>
      </c>
      <c r="DPG90" t="s">
        <v>432</v>
      </c>
      <c r="DPI90" t="s">
        <v>429</v>
      </c>
      <c r="DPJ90" t="s">
        <v>143</v>
      </c>
      <c r="DPK90" t="s">
        <v>398</v>
      </c>
      <c r="DPL90">
        <v>1</v>
      </c>
      <c r="DPM90" t="s">
        <v>430</v>
      </c>
      <c r="DPN90" t="s">
        <v>431</v>
      </c>
      <c r="DPO90" t="s">
        <v>432</v>
      </c>
      <c r="DPQ90" t="s">
        <v>429</v>
      </c>
      <c r="DPR90" t="s">
        <v>143</v>
      </c>
      <c r="DPS90" t="s">
        <v>398</v>
      </c>
      <c r="DPT90">
        <v>1</v>
      </c>
      <c r="DPU90" t="s">
        <v>430</v>
      </c>
      <c r="DPV90" t="s">
        <v>431</v>
      </c>
      <c r="DPW90" t="s">
        <v>432</v>
      </c>
      <c r="DPY90" t="s">
        <v>429</v>
      </c>
      <c r="DPZ90" t="s">
        <v>143</v>
      </c>
      <c r="DQA90" t="s">
        <v>398</v>
      </c>
      <c r="DQB90">
        <v>1</v>
      </c>
      <c r="DQC90" t="s">
        <v>430</v>
      </c>
      <c r="DQD90" t="s">
        <v>431</v>
      </c>
      <c r="DQE90" t="s">
        <v>432</v>
      </c>
      <c r="DQG90" t="s">
        <v>429</v>
      </c>
      <c r="DQH90" t="s">
        <v>143</v>
      </c>
      <c r="DQI90" t="s">
        <v>398</v>
      </c>
      <c r="DQJ90">
        <v>1</v>
      </c>
      <c r="DQK90" t="s">
        <v>430</v>
      </c>
      <c r="DQL90" t="s">
        <v>431</v>
      </c>
      <c r="DQM90" t="s">
        <v>432</v>
      </c>
      <c r="DQO90" t="s">
        <v>429</v>
      </c>
      <c r="DQP90" t="s">
        <v>143</v>
      </c>
      <c r="DQQ90" t="s">
        <v>398</v>
      </c>
      <c r="DQR90">
        <v>1</v>
      </c>
      <c r="DQS90" t="s">
        <v>430</v>
      </c>
      <c r="DQT90" t="s">
        <v>431</v>
      </c>
      <c r="DQU90" t="s">
        <v>432</v>
      </c>
      <c r="DQW90" t="s">
        <v>429</v>
      </c>
      <c r="DQX90" t="s">
        <v>143</v>
      </c>
      <c r="DQY90" t="s">
        <v>398</v>
      </c>
      <c r="DQZ90">
        <v>1</v>
      </c>
      <c r="DRA90" t="s">
        <v>430</v>
      </c>
      <c r="DRB90" t="s">
        <v>431</v>
      </c>
      <c r="DRC90" t="s">
        <v>432</v>
      </c>
      <c r="DRE90" t="s">
        <v>429</v>
      </c>
      <c r="DRF90" t="s">
        <v>143</v>
      </c>
      <c r="DRG90" t="s">
        <v>398</v>
      </c>
      <c r="DRH90">
        <v>1</v>
      </c>
      <c r="DRI90" t="s">
        <v>430</v>
      </c>
      <c r="DRJ90" t="s">
        <v>431</v>
      </c>
      <c r="DRK90" t="s">
        <v>432</v>
      </c>
      <c r="DRM90" t="s">
        <v>429</v>
      </c>
      <c r="DRN90" t="s">
        <v>143</v>
      </c>
      <c r="DRO90" t="s">
        <v>398</v>
      </c>
      <c r="DRP90">
        <v>1</v>
      </c>
      <c r="DRQ90" t="s">
        <v>430</v>
      </c>
      <c r="DRR90" t="s">
        <v>431</v>
      </c>
      <c r="DRS90" t="s">
        <v>432</v>
      </c>
      <c r="DRU90" t="s">
        <v>429</v>
      </c>
      <c r="DRV90" t="s">
        <v>143</v>
      </c>
      <c r="DRW90" t="s">
        <v>398</v>
      </c>
      <c r="DRX90">
        <v>1</v>
      </c>
      <c r="DRY90" t="s">
        <v>430</v>
      </c>
      <c r="DRZ90" t="s">
        <v>431</v>
      </c>
      <c r="DSA90" t="s">
        <v>432</v>
      </c>
      <c r="DSC90" t="s">
        <v>429</v>
      </c>
      <c r="DSD90" t="s">
        <v>143</v>
      </c>
      <c r="DSE90" t="s">
        <v>398</v>
      </c>
      <c r="DSF90">
        <v>1</v>
      </c>
      <c r="DSG90" t="s">
        <v>430</v>
      </c>
      <c r="DSH90" t="s">
        <v>431</v>
      </c>
      <c r="DSI90" t="s">
        <v>432</v>
      </c>
      <c r="DSK90" t="s">
        <v>429</v>
      </c>
      <c r="DSL90" t="s">
        <v>143</v>
      </c>
      <c r="DSM90" t="s">
        <v>398</v>
      </c>
      <c r="DSN90">
        <v>1</v>
      </c>
      <c r="DSO90" t="s">
        <v>430</v>
      </c>
      <c r="DSP90" t="s">
        <v>431</v>
      </c>
      <c r="DSQ90" t="s">
        <v>432</v>
      </c>
      <c r="DSS90" t="s">
        <v>429</v>
      </c>
      <c r="DST90" t="s">
        <v>143</v>
      </c>
      <c r="DSU90" t="s">
        <v>398</v>
      </c>
      <c r="DSV90">
        <v>1</v>
      </c>
      <c r="DSW90" t="s">
        <v>430</v>
      </c>
      <c r="DSX90" t="s">
        <v>431</v>
      </c>
      <c r="DSY90" t="s">
        <v>432</v>
      </c>
      <c r="DTA90" t="s">
        <v>429</v>
      </c>
      <c r="DTB90" t="s">
        <v>143</v>
      </c>
      <c r="DTC90" t="s">
        <v>398</v>
      </c>
      <c r="DTD90">
        <v>1</v>
      </c>
      <c r="DTE90" t="s">
        <v>430</v>
      </c>
      <c r="DTF90" t="s">
        <v>431</v>
      </c>
      <c r="DTG90" t="s">
        <v>432</v>
      </c>
      <c r="DTI90" t="s">
        <v>429</v>
      </c>
      <c r="DTJ90" t="s">
        <v>143</v>
      </c>
      <c r="DTK90" t="s">
        <v>398</v>
      </c>
      <c r="DTL90">
        <v>1</v>
      </c>
      <c r="DTM90" t="s">
        <v>430</v>
      </c>
      <c r="DTN90" t="s">
        <v>431</v>
      </c>
      <c r="DTO90" t="s">
        <v>432</v>
      </c>
      <c r="DTQ90" t="s">
        <v>429</v>
      </c>
      <c r="DTR90" t="s">
        <v>143</v>
      </c>
      <c r="DTS90" t="s">
        <v>398</v>
      </c>
      <c r="DTT90">
        <v>1</v>
      </c>
      <c r="DTU90" t="s">
        <v>430</v>
      </c>
      <c r="DTV90" t="s">
        <v>431</v>
      </c>
      <c r="DTW90" t="s">
        <v>432</v>
      </c>
      <c r="DTY90" t="s">
        <v>429</v>
      </c>
      <c r="DTZ90" t="s">
        <v>143</v>
      </c>
      <c r="DUA90" t="s">
        <v>398</v>
      </c>
      <c r="DUB90">
        <v>1</v>
      </c>
      <c r="DUC90" t="s">
        <v>430</v>
      </c>
      <c r="DUD90" t="s">
        <v>431</v>
      </c>
      <c r="DUE90" t="s">
        <v>432</v>
      </c>
      <c r="DUG90" t="s">
        <v>429</v>
      </c>
      <c r="DUH90" t="s">
        <v>143</v>
      </c>
      <c r="DUI90" t="s">
        <v>398</v>
      </c>
      <c r="DUJ90">
        <v>1</v>
      </c>
      <c r="DUK90" t="s">
        <v>430</v>
      </c>
      <c r="DUL90" t="s">
        <v>431</v>
      </c>
      <c r="DUM90" t="s">
        <v>432</v>
      </c>
      <c r="DUO90" t="s">
        <v>429</v>
      </c>
      <c r="DUP90" t="s">
        <v>143</v>
      </c>
      <c r="DUQ90" t="s">
        <v>398</v>
      </c>
      <c r="DUR90">
        <v>1</v>
      </c>
      <c r="DUS90" t="s">
        <v>430</v>
      </c>
      <c r="DUT90" t="s">
        <v>431</v>
      </c>
      <c r="DUU90" t="s">
        <v>432</v>
      </c>
      <c r="DUW90" t="s">
        <v>429</v>
      </c>
      <c r="DUX90" t="s">
        <v>143</v>
      </c>
      <c r="DUY90" t="s">
        <v>398</v>
      </c>
      <c r="DUZ90">
        <v>1</v>
      </c>
      <c r="DVA90" t="s">
        <v>430</v>
      </c>
      <c r="DVB90" t="s">
        <v>431</v>
      </c>
      <c r="DVC90" t="s">
        <v>432</v>
      </c>
      <c r="DVE90" t="s">
        <v>429</v>
      </c>
      <c r="DVF90" t="s">
        <v>143</v>
      </c>
      <c r="DVG90" t="s">
        <v>398</v>
      </c>
      <c r="DVH90">
        <v>1</v>
      </c>
      <c r="DVI90" t="s">
        <v>430</v>
      </c>
      <c r="DVJ90" t="s">
        <v>431</v>
      </c>
      <c r="DVK90" t="s">
        <v>432</v>
      </c>
      <c r="DVM90" t="s">
        <v>429</v>
      </c>
      <c r="DVN90" t="s">
        <v>143</v>
      </c>
      <c r="DVO90" t="s">
        <v>398</v>
      </c>
      <c r="DVP90">
        <v>1</v>
      </c>
      <c r="DVQ90" t="s">
        <v>430</v>
      </c>
      <c r="DVR90" t="s">
        <v>431</v>
      </c>
      <c r="DVS90" t="s">
        <v>432</v>
      </c>
      <c r="DVU90" t="s">
        <v>429</v>
      </c>
      <c r="DVV90" t="s">
        <v>143</v>
      </c>
      <c r="DVW90" t="s">
        <v>398</v>
      </c>
      <c r="DVX90">
        <v>1</v>
      </c>
      <c r="DVY90" t="s">
        <v>430</v>
      </c>
      <c r="DVZ90" t="s">
        <v>431</v>
      </c>
      <c r="DWA90" t="s">
        <v>432</v>
      </c>
      <c r="DWC90" t="s">
        <v>429</v>
      </c>
      <c r="DWD90" t="s">
        <v>143</v>
      </c>
      <c r="DWE90" t="s">
        <v>398</v>
      </c>
      <c r="DWF90">
        <v>1</v>
      </c>
      <c r="DWG90" t="s">
        <v>430</v>
      </c>
      <c r="DWH90" t="s">
        <v>431</v>
      </c>
      <c r="DWI90" t="s">
        <v>432</v>
      </c>
      <c r="DWK90" t="s">
        <v>429</v>
      </c>
      <c r="DWL90" t="s">
        <v>143</v>
      </c>
      <c r="DWM90" t="s">
        <v>398</v>
      </c>
      <c r="DWN90">
        <v>1</v>
      </c>
      <c r="DWO90" t="s">
        <v>430</v>
      </c>
      <c r="DWP90" t="s">
        <v>431</v>
      </c>
      <c r="DWQ90" t="s">
        <v>432</v>
      </c>
      <c r="DWS90" t="s">
        <v>429</v>
      </c>
      <c r="DWT90" t="s">
        <v>143</v>
      </c>
      <c r="DWU90" t="s">
        <v>398</v>
      </c>
      <c r="DWV90">
        <v>1</v>
      </c>
      <c r="DWW90" t="s">
        <v>430</v>
      </c>
      <c r="DWX90" t="s">
        <v>431</v>
      </c>
      <c r="DWY90" t="s">
        <v>432</v>
      </c>
      <c r="DXA90" t="s">
        <v>429</v>
      </c>
      <c r="DXB90" t="s">
        <v>143</v>
      </c>
      <c r="DXC90" t="s">
        <v>398</v>
      </c>
      <c r="DXD90">
        <v>1</v>
      </c>
      <c r="DXE90" t="s">
        <v>430</v>
      </c>
      <c r="DXF90" t="s">
        <v>431</v>
      </c>
      <c r="DXG90" t="s">
        <v>432</v>
      </c>
      <c r="DXI90" t="s">
        <v>429</v>
      </c>
      <c r="DXJ90" t="s">
        <v>143</v>
      </c>
      <c r="DXK90" t="s">
        <v>398</v>
      </c>
      <c r="DXL90">
        <v>1</v>
      </c>
      <c r="DXM90" t="s">
        <v>430</v>
      </c>
      <c r="DXN90" t="s">
        <v>431</v>
      </c>
      <c r="DXO90" t="s">
        <v>432</v>
      </c>
      <c r="DXQ90" t="s">
        <v>429</v>
      </c>
      <c r="DXR90" t="s">
        <v>143</v>
      </c>
      <c r="DXS90" t="s">
        <v>398</v>
      </c>
      <c r="DXT90">
        <v>1</v>
      </c>
      <c r="DXU90" t="s">
        <v>430</v>
      </c>
      <c r="DXV90" t="s">
        <v>431</v>
      </c>
      <c r="DXW90" t="s">
        <v>432</v>
      </c>
      <c r="DXY90" t="s">
        <v>429</v>
      </c>
      <c r="DXZ90" t="s">
        <v>143</v>
      </c>
      <c r="DYA90" t="s">
        <v>398</v>
      </c>
      <c r="DYB90">
        <v>1</v>
      </c>
      <c r="DYC90" t="s">
        <v>430</v>
      </c>
      <c r="DYD90" t="s">
        <v>431</v>
      </c>
      <c r="DYE90" t="s">
        <v>432</v>
      </c>
      <c r="DYG90" t="s">
        <v>429</v>
      </c>
      <c r="DYH90" t="s">
        <v>143</v>
      </c>
      <c r="DYI90" t="s">
        <v>398</v>
      </c>
      <c r="DYJ90">
        <v>1</v>
      </c>
      <c r="DYK90" t="s">
        <v>430</v>
      </c>
      <c r="DYL90" t="s">
        <v>431</v>
      </c>
      <c r="DYM90" t="s">
        <v>432</v>
      </c>
      <c r="DYO90" t="s">
        <v>429</v>
      </c>
      <c r="DYP90" t="s">
        <v>143</v>
      </c>
      <c r="DYQ90" t="s">
        <v>398</v>
      </c>
      <c r="DYR90">
        <v>1</v>
      </c>
      <c r="DYS90" t="s">
        <v>430</v>
      </c>
      <c r="DYT90" t="s">
        <v>431</v>
      </c>
      <c r="DYU90" t="s">
        <v>432</v>
      </c>
      <c r="DYW90" t="s">
        <v>429</v>
      </c>
      <c r="DYX90" t="s">
        <v>143</v>
      </c>
      <c r="DYY90" t="s">
        <v>398</v>
      </c>
      <c r="DYZ90">
        <v>1</v>
      </c>
      <c r="DZA90" t="s">
        <v>430</v>
      </c>
      <c r="DZB90" t="s">
        <v>431</v>
      </c>
      <c r="DZC90" t="s">
        <v>432</v>
      </c>
      <c r="DZE90" t="s">
        <v>429</v>
      </c>
      <c r="DZF90" t="s">
        <v>143</v>
      </c>
      <c r="DZG90" t="s">
        <v>398</v>
      </c>
      <c r="DZH90">
        <v>1</v>
      </c>
      <c r="DZI90" t="s">
        <v>430</v>
      </c>
      <c r="DZJ90" t="s">
        <v>431</v>
      </c>
      <c r="DZK90" t="s">
        <v>432</v>
      </c>
      <c r="DZM90" t="s">
        <v>429</v>
      </c>
      <c r="DZN90" t="s">
        <v>143</v>
      </c>
      <c r="DZO90" t="s">
        <v>398</v>
      </c>
      <c r="DZP90">
        <v>1</v>
      </c>
      <c r="DZQ90" t="s">
        <v>430</v>
      </c>
      <c r="DZR90" t="s">
        <v>431</v>
      </c>
      <c r="DZS90" t="s">
        <v>432</v>
      </c>
      <c r="DZU90" t="s">
        <v>429</v>
      </c>
      <c r="DZV90" t="s">
        <v>143</v>
      </c>
      <c r="DZW90" t="s">
        <v>398</v>
      </c>
      <c r="DZX90">
        <v>1</v>
      </c>
      <c r="DZY90" t="s">
        <v>430</v>
      </c>
      <c r="DZZ90" t="s">
        <v>431</v>
      </c>
      <c r="EAA90" t="s">
        <v>432</v>
      </c>
      <c r="EAC90" t="s">
        <v>429</v>
      </c>
      <c r="EAD90" t="s">
        <v>143</v>
      </c>
      <c r="EAE90" t="s">
        <v>398</v>
      </c>
      <c r="EAF90">
        <v>1</v>
      </c>
      <c r="EAG90" t="s">
        <v>430</v>
      </c>
      <c r="EAH90" t="s">
        <v>431</v>
      </c>
      <c r="EAI90" t="s">
        <v>432</v>
      </c>
      <c r="EAK90" t="s">
        <v>429</v>
      </c>
      <c r="EAL90" t="s">
        <v>143</v>
      </c>
      <c r="EAM90" t="s">
        <v>398</v>
      </c>
      <c r="EAN90">
        <v>1</v>
      </c>
      <c r="EAO90" t="s">
        <v>430</v>
      </c>
      <c r="EAP90" t="s">
        <v>431</v>
      </c>
      <c r="EAQ90" t="s">
        <v>432</v>
      </c>
      <c r="EAS90" t="s">
        <v>429</v>
      </c>
      <c r="EAT90" t="s">
        <v>143</v>
      </c>
      <c r="EAU90" t="s">
        <v>398</v>
      </c>
      <c r="EAV90">
        <v>1</v>
      </c>
      <c r="EAW90" t="s">
        <v>430</v>
      </c>
      <c r="EAX90" t="s">
        <v>431</v>
      </c>
      <c r="EAY90" t="s">
        <v>432</v>
      </c>
      <c r="EBA90" t="s">
        <v>429</v>
      </c>
      <c r="EBB90" t="s">
        <v>143</v>
      </c>
      <c r="EBC90" t="s">
        <v>398</v>
      </c>
      <c r="EBD90">
        <v>1</v>
      </c>
      <c r="EBE90" t="s">
        <v>430</v>
      </c>
      <c r="EBF90" t="s">
        <v>431</v>
      </c>
      <c r="EBG90" t="s">
        <v>432</v>
      </c>
      <c r="EBI90" t="s">
        <v>429</v>
      </c>
      <c r="EBJ90" t="s">
        <v>143</v>
      </c>
      <c r="EBK90" t="s">
        <v>398</v>
      </c>
      <c r="EBL90">
        <v>1</v>
      </c>
      <c r="EBM90" t="s">
        <v>430</v>
      </c>
      <c r="EBN90" t="s">
        <v>431</v>
      </c>
      <c r="EBO90" t="s">
        <v>432</v>
      </c>
      <c r="EBQ90" t="s">
        <v>429</v>
      </c>
      <c r="EBR90" t="s">
        <v>143</v>
      </c>
      <c r="EBS90" t="s">
        <v>398</v>
      </c>
      <c r="EBT90">
        <v>1</v>
      </c>
      <c r="EBU90" t="s">
        <v>430</v>
      </c>
      <c r="EBV90" t="s">
        <v>431</v>
      </c>
      <c r="EBW90" t="s">
        <v>432</v>
      </c>
      <c r="EBY90" t="s">
        <v>429</v>
      </c>
      <c r="EBZ90" t="s">
        <v>143</v>
      </c>
      <c r="ECA90" t="s">
        <v>398</v>
      </c>
      <c r="ECB90">
        <v>1</v>
      </c>
      <c r="ECC90" t="s">
        <v>430</v>
      </c>
      <c r="ECD90" t="s">
        <v>431</v>
      </c>
      <c r="ECE90" t="s">
        <v>432</v>
      </c>
      <c r="ECG90" t="s">
        <v>429</v>
      </c>
      <c r="ECH90" t="s">
        <v>143</v>
      </c>
      <c r="ECI90" t="s">
        <v>398</v>
      </c>
      <c r="ECJ90">
        <v>1</v>
      </c>
      <c r="ECK90" t="s">
        <v>430</v>
      </c>
      <c r="ECL90" t="s">
        <v>431</v>
      </c>
      <c r="ECM90" t="s">
        <v>432</v>
      </c>
      <c r="ECO90" t="s">
        <v>429</v>
      </c>
      <c r="ECP90" t="s">
        <v>143</v>
      </c>
      <c r="ECQ90" t="s">
        <v>398</v>
      </c>
      <c r="ECR90">
        <v>1</v>
      </c>
      <c r="ECS90" t="s">
        <v>430</v>
      </c>
      <c r="ECT90" t="s">
        <v>431</v>
      </c>
      <c r="ECU90" t="s">
        <v>432</v>
      </c>
      <c r="ECW90" t="s">
        <v>429</v>
      </c>
      <c r="ECX90" t="s">
        <v>143</v>
      </c>
      <c r="ECY90" t="s">
        <v>398</v>
      </c>
      <c r="ECZ90">
        <v>1</v>
      </c>
      <c r="EDA90" t="s">
        <v>430</v>
      </c>
      <c r="EDB90" t="s">
        <v>431</v>
      </c>
      <c r="EDC90" t="s">
        <v>432</v>
      </c>
      <c r="EDE90" t="s">
        <v>429</v>
      </c>
      <c r="EDF90" t="s">
        <v>143</v>
      </c>
      <c r="EDG90" t="s">
        <v>398</v>
      </c>
      <c r="EDH90">
        <v>1</v>
      </c>
      <c r="EDI90" t="s">
        <v>430</v>
      </c>
      <c r="EDJ90" t="s">
        <v>431</v>
      </c>
      <c r="EDK90" t="s">
        <v>432</v>
      </c>
      <c r="EDM90" t="s">
        <v>429</v>
      </c>
      <c r="EDN90" t="s">
        <v>143</v>
      </c>
      <c r="EDO90" t="s">
        <v>398</v>
      </c>
      <c r="EDP90">
        <v>1</v>
      </c>
      <c r="EDQ90" t="s">
        <v>430</v>
      </c>
      <c r="EDR90" t="s">
        <v>431</v>
      </c>
      <c r="EDS90" t="s">
        <v>432</v>
      </c>
      <c r="EDU90" t="s">
        <v>429</v>
      </c>
      <c r="EDV90" t="s">
        <v>143</v>
      </c>
      <c r="EDW90" t="s">
        <v>398</v>
      </c>
      <c r="EDX90">
        <v>1</v>
      </c>
      <c r="EDY90" t="s">
        <v>430</v>
      </c>
      <c r="EDZ90" t="s">
        <v>431</v>
      </c>
      <c r="EEA90" t="s">
        <v>432</v>
      </c>
      <c r="EEC90" t="s">
        <v>429</v>
      </c>
      <c r="EED90" t="s">
        <v>143</v>
      </c>
      <c r="EEE90" t="s">
        <v>398</v>
      </c>
      <c r="EEF90">
        <v>1</v>
      </c>
      <c r="EEG90" t="s">
        <v>430</v>
      </c>
      <c r="EEH90" t="s">
        <v>431</v>
      </c>
      <c r="EEI90" t="s">
        <v>432</v>
      </c>
      <c r="EEK90" t="s">
        <v>429</v>
      </c>
      <c r="EEL90" t="s">
        <v>143</v>
      </c>
      <c r="EEM90" t="s">
        <v>398</v>
      </c>
      <c r="EEN90">
        <v>1</v>
      </c>
      <c r="EEO90" t="s">
        <v>430</v>
      </c>
      <c r="EEP90" t="s">
        <v>431</v>
      </c>
      <c r="EEQ90" t="s">
        <v>432</v>
      </c>
      <c r="EES90" t="s">
        <v>429</v>
      </c>
      <c r="EET90" t="s">
        <v>143</v>
      </c>
      <c r="EEU90" t="s">
        <v>398</v>
      </c>
      <c r="EEV90">
        <v>1</v>
      </c>
      <c r="EEW90" t="s">
        <v>430</v>
      </c>
      <c r="EEX90" t="s">
        <v>431</v>
      </c>
      <c r="EEY90" t="s">
        <v>432</v>
      </c>
      <c r="EFA90" t="s">
        <v>429</v>
      </c>
      <c r="EFB90" t="s">
        <v>143</v>
      </c>
      <c r="EFC90" t="s">
        <v>398</v>
      </c>
      <c r="EFD90">
        <v>1</v>
      </c>
      <c r="EFE90" t="s">
        <v>430</v>
      </c>
      <c r="EFF90" t="s">
        <v>431</v>
      </c>
      <c r="EFG90" t="s">
        <v>432</v>
      </c>
      <c r="EFI90" t="s">
        <v>429</v>
      </c>
      <c r="EFJ90" t="s">
        <v>143</v>
      </c>
      <c r="EFK90" t="s">
        <v>398</v>
      </c>
      <c r="EFL90">
        <v>1</v>
      </c>
      <c r="EFM90" t="s">
        <v>430</v>
      </c>
      <c r="EFN90" t="s">
        <v>431</v>
      </c>
      <c r="EFO90" t="s">
        <v>432</v>
      </c>
      <c r="EFQ90" t="s">
        <v>429</v>
      </c>
      <c r="EFR90" t="s">
        <v>143</v>
      </c>
      <c r="EFS90" t="s">
        <v>398</v>
      </c>
      <c r="EFT90">
        <v>1</v>
      </c>
      <c r="EFU90" t="s">
        <v>430</v>
      </c>
      <c r="EFV90" t="s">
        <v>431</v>
      </c>
      <c r="EFW90" t="s">
        <v>432</v>
      </c>
      <c r="EFY90" t="s">
        <v>429</v>
      </c>
      <c r="EFZ90" t="s">
        <v>143</v>
      </c>
      <c r="EGA90" t="s">
        <v>398</v>
      </c>
      <c r="EGB90">
        <v>1</v>
      </c>
      <c r="EGC90" t="s">
        <v>430</v>
      </c>
      <c r="EGD90" t="s">
        <v>431</v>
      </c>
      <c r="EGE90" t="s">
        <v>432</v>
      </c>
      <c r="EGG90" t="s">
        <v>429</v>
      </c>
      <c r="EGH90" t="s">
        <v>143</v>
      </c>
      <c r="EGI90" t="s">
        <v>398</v>
      </c>
      <c r="EGJ90">
        <v>1</v>
      </c>
      <c r="EGK90" t="s">
        <v>430</v>
      </c>
      <c r="EGL90" t="s">
        <v>431</v>
      </c>
      <c r="EGM90" t="s">
        <v>432</v>
      </c>
      <c r="EGO90" t="s">
        <v>429</v>
      </c>
      <c r="EGP90" t="s">
        <v>143</v>
      </c>
      <c r="EGQ90" t="s">
        <v>398</v>
      </c>
      <c r="EGR90">
        <v>1</v>
      </c>
      <c r="EGS90" t="s">
        <v>430</v>
      </c>
      <c r="EGT90" t="s">
        <v>431</v>
      </c>
      <c r="EGU90" t="s">
        <v>432</v>
      </c>
      <c r="EGW90" t="s">
        <v>429</v>
      </c>
      <c r="EGX90" t="s">
        <v>143</v>
      </c>
      <c r="EGY90" t="s">
        <v>398</v>
      </c>
      <c r="EGZ90">
        <v>1</v>
      </c>
      <c r="EHA90" t="s">
        <v>430</v>
      </c>
      <c r="EHB90" t="s">
        <v>431</v>
      </c>
      <c r="EHC90" t="s">
        <v>432</v>
      </c>
      <c r="EHE90" t="s">
        <v>429</v>
      </c>
      <c r="EHF90" t="s">
        <v>143</v>
      </c>
      <c r="EHG90" t="s">
        <v>398</v>
      </c>
      <c r="EHH90">
        <v>1</v>
      </c>
      <c r="EHI90" t="s">
        <v>430</v>
      </c>
      <c r="EHJ90" t="s">
        <v>431</v>
      </c>
      <c r="EHK90" t="s">
        <v>432</v>
      </c>
      <c r="EHM90" t="s">
        <v>429</v>
      </c>
      <c r="EHN90" t="s">
        <v>143</v>
      </c>
      <c r="EHO90" t="s">
        <v>398</v>
      </c>
      <c r="EHP90">
        <v>1</v>
      </c>
      <c r="EHQ90" t="s">
        <v>430</v>
      </c>
      <c r="EHR90" t="s">
        <v>431</v>
      </c>
      <c r="EHS90" t="s">
        <v>432</v>
      </c>
      <c r="EHU90" t="s">
        <v>429</v>
      </c>
      <c r="EHV90" t="s">
        <v>143</v>
      </c>
      <c r="EHW90" t="s">
        <v>398</v>
      </c>
      <c r="EHX90">
        <v>1</v>
      </c>
      <c r="EHY90" t="s">
        <v>430</v>
      </c>
      <c r="EHZ90" t="s">
        <v>431</v>
      </c>
      <c r="EIA90" t="s">
        <v>432</v>
      </c>
      <c r="EIC90" t="s">
        <v>429</v>
      </c>
      <c r="EID90" t="s">
        <v>143</v>
      </c>
      <c r="EIE90" t="s">
        <v>398</v>
      </c>
      <c r="EIF90">
        <v>1</v>
      </c>
      <c r="EIG90" t="s">
        <v>430</v>
      </c>
      <c r="EIH90" t="s">
        <v>431</v>
      </c>
      <c r="EII90" t="s">
        <v>432</v>
      </c>
      <c r="EIK90" t="s">
        <v>429</v>
      </c>
      <c r="EIL90" t="s">
        <v>143</v>
      </c>
      <c r="EIM90" t="s">
        <v>398</v>
      </c>
      <c r="EIN90">
        <v>1</v>
      </c>
      <c r="EIO90" t="s">
        <v>430</v>
      </c>
      <c r="EIP90" t="s">
        <v>431</v>
      </c>
      <c r="EIQ90" t="s">
        <v>432</v>
      </c>
      <c r="EIS90" t="s">
        <v>429</v>
      </c>
      <c r="EIT90" t="s">
        <v>143</v>
      </c>
      <c r="EIU90" t="s">
        <v>398</v>
      </c>
      <c r="EIV90">
        <v>1</v>
      </c>
      <c r="EIW90" t="s">
        <v>430</v>
      </c>
      <c r="EIX90" t="s">
        <v>431</v>
      </c>
      <c r="EIY90" t="s">
        <v>432</v>
      </c>
      <c r="EJA90" t="s">
        <v>429</v>
      </c>
      <c r="EJB90" t="s">
        <v>143</v>
      </c>
      <c r="EJC90" t="s">
        <v>398</v>
      </c>
      <c r="EJD90">
        <v>1</v>
      </c>
      <c r="EJE90" t="s">
        <v>430</v>
      </c>
      <c r="EJF90" t="s">
        <v>431</v>
      </c>
      <c r="EJG90" t="s">
        <v>432</v>
      </c>
      <c r="EJI90" t="s">
        <v>429</v>
      </c>
      <c r="EJJ90" t="s">
        <v>143</v>
      </c>
      <c r="EJK90" t="s">
        <v>398</v>
      </c>
      <c r="EJL90">
        <v>1</v>
      </c>
      <c r="EJM90" t="s">
        <v>430</v>
      </c>
      <c r="EJN90" t="s">
        <v>431</v>
      </c>
      <c r="EJO90" t="s">
        <v>432</v>
      </c>
      <c r="EJQ90" t="s">
        <v>429</v>
      </c>
      <c r="EJR90" t="s">
        <v>143</v>
      </c>
      <c r="EJS90" t="s">
        <v>398</v>
      </c>
      <c r="EJT90">
        <v>1</v>
      </c>
      <c r="EJU90" t="s">
        <v>430</v>
      </c>
      <c r="EJV90" t="s">
        <v>431</v>
      </c>
      <c r="EJW90" t="s">
        <v>432</v>
      </c>
      <c r="EJY90" t="s">
        <v>429</v>
      </c>
      <c r="EJZ90" t="s">
        <v>143</v>
      </c>
      <c r="EKA90" t="s">
        <v>398</v>
      </c>
      <c r="EKB90">
        <v>1</v>
      </c>
      <c r="EKC90" t="s">
        <v>430</v>
      </c>
      <c r="EKD90" t="s">
        <v>431</v>
      </c>
      <c r="EKE90" t="s">
        <v>432</v>
      </c>
      <c r="EKG90" t="s">
        <v>429</v>
      </c>
      <c r="EKH90" t="s">
        <v>143</v>
      </c>
      <c r="EKI90" t="s">
        <v>398</v>
      </c>
      <c r="EKJ90">
        <v>1</v>
      </c>
      <c r="EKK90" t="s">
        <v>430</v>
      </c>
      <c r="EKL90" t="s">
        <v>431</v>
      </c>
      <c r="EKM90" t="s">
        <v>432</v>
      </c>
      <c r="EKO90" t="s">
        <v>429</v>
      </c>
      <c r="EKP90" t="s">
        <v>143</v>
      </c>
      <c r="EKQ90" t="s">
        <v>398</v>
      </c>
      <c r="EKR90">
        <v>1</v>
      </c>
      <c r="EKS90" t="s">
        <v>430</v>
      </c>
      <c r="EKT90" t="s">
        <v>431</v>
      </c>
      <c r="EKU90" t="s">
        <v>432</v>
      </c>
      <c r="EKW90" t="s">
        <v>429</v>
      </c>
      <c r="EKX90" t="s">
        <v>143</v>
      </c>
      <c r="EKY90" t="s">
        <v>398</v>
      </c>
      <c r="EKZ90">
        <v>1</v>
      </c>
      <c r="ELA90" t="s">
        <v>430</v>
      </c>
      <c r="ELB90" t="s">
        <v>431</v>
      </c>
      <c r="ELC90" t="s">
        <v>432</v>
      </c>
      <c r="ELE90" t="s">
        <v>429</v>
      </c>
      <c r="ELF90" t="s">
        <v>143</v>
      </c>
      <c r="ELG90" t="s">
        <v>398</v>
      </c>
      <c r="ELH90">
        <v>1</v>
      </c>
      <c r="ELI90" t="s">
        <v>430</v>
      </c>
      <c r="ELJ90" t="s">
        <v>431</v>
      </c>
      <c r="ELK90" t="s">
        <v>432</v>
      </c>
      <c r="ELM90" t="s">
        <v>429</v>
      </c>
      <c r="ELN90" t="s">
        <v>143</v>
      </c>
      <c r="ELO90" t="s">
        <v>398</v>
      </c>
      <c r="ELP90">
        <v>1</v>
      </c>
      <c r="ELQ90" t="s">
        <v>430</v>
      </c>
      <c r="ELR90" t="s">
        <v>431</v>
      </c>
      <c r="ELS90" t="s">
        <v>432</v>
      </c>
      <c r="ELU90" t="s">
        <v>429</v>
      </c>
      <c r="ELV90" t="s">
        <v>143</v>
      </c>
      <c r="ELW90" t="s">
        <v>398</v>
      </c>
      <c r="ELX90">
        <v>1</v>
      </c>
      <c r="ELY90" t="s">
        <v>430</v>
      </c>
      <c r="ELZ90" t="s">
        <v>431</v>
      </c>
      <c r="EMA90" t="s">
        <v>432</v>
      </c>
      <c r="EMC90" t="s">
        <v>429</v>
      </c>
      <c r="EMD90" t="s">
        <v>143</v>
      </c>
      <c r="EME90" t="s">
        <v>398</v>
      </c>
      <c r="EMF90">
        <v>1</v>
      </c>
      <c r="EMG90" t="s">
        <v>430</v>
      </c>
      <c r="EMH90" t="s">
        <v>431</v>
      </c>
      <c r="EMI90" t="s">
        <v>432</v>
      </c>
      <c r="EMK90" t="s">
        <v>429</v>
      </c>
      <c r="EML90" t="s">
        <v>143</v>
      </c>
      <c r="EMM90" t="s">
        <v>398</v>
      </c>
      <c r="EMN90">
        <v>1</v>
      </c>
      <c r="EMO90" t="s">
        <v>430</v>
      </c>
      <c r="EMP90" t="s">
        <v>431</v>
      </c>
      <c r="EMQ90" t="s">
        <v>432</v>
      </c>
      <c r="EMS90" t="s">
        <v>429</v>
      </c>
      <c r="EMT90" t="s">
        <v>143</v>
      </c>
      <c r="EMU90" t="s">
        <v>398</v>
      </c>
      <c r="EMV90">
        <v>1</v>
      </c>
      <c r="EMW90" t="s">
        <v>430</v>
      </c>
      <c r="EMX90" t="s">
        <v>431</v>
      </c>
      <c r="EMY90" t="s">
        <v>432</v>
      </c>
      <c r="ENA90" t="s">
        <v>429</v>
      </c>
      <c r="ENB90" t="s">
        <v>143</v>
      </c>
      <c r="ENC90" t="s">
        <v>398</v>
      </c>
      <c r="END90">
        <v>1</v>
      </c>
      <c r="ENE90" t="s">
        <v>430</v>
      </c>
      <c r="ENF90" t="s">
        <v>431</v>
      </c>
      <c r="ENG90" t="s">
        <v>432</v>
      </c>
      <c r="ENI90" t="s">
        <v>429</v>
      </c>
      <c r="ENJ90" t="s">
        <v>143</v>
      </c>
      <c r="ENK90" t="s">
        <v>398</v>
      </c>
      <c r="ENL90">
        <v>1</v>
      </c>
      <c r="ENM90" t="s">
        <v>430</v>
      </c>
      <c r="ENN90" t="s">
        <v>431</v>
      </c>
      <c r="ENO90" t="s">
        <v>432</v>
      </c>
      <c r="ENQ90" t="s">
        <v>429</v>
      </c>
      <c r="ENR90" t="s">
        <v>143</v>
      </c>
      <c r="ENS90" t="s">
        <v>398</v>
      </c>
      <c r="ENT90">
        <v>1</v>
      </c>
      <c r="ENU90" t="s">
        <v>430</v>
      </c>
      <c r="ENV90" t="s">
        <v>431</v>
      </c>
      <c r="ENW90" t="s">
        <v>432</v>
      </c>
      <c r="ENY90" t="s">
        <v>429</v>
      </c>
      <c r="ENZ90" t="s">
        <v>143</v>
      </c>
      <c r="EOA90" t="s">
        <v>398</v>
      </c>
      <c r="EOB90">
        <v>1</v>
      </c>
      <c r="EOC90" t="s">
        <v>430</v>
      </c>
      <c r="EOD90" t="s">
        <v>431</v>
      </c>
      <c r="EOE90" t="s">
        <v>432</v>
      </c>
      <c r="EOG90" t="s">
        <v>429</v>
      </c>
      <c r="EOH90" t="s">
        <v>143</v>
      </c>
      <c r="EOI90" t="s">
        <v>398</v>
      </c>
      <c r="EOJ90">
        <v>1</v>
      </c>
      <c r="EOK90" t="s">
        <v>430</v>
      </c>
      <c r="EOL90" t="s">
        <v>431</v>
      </c>
      <c r="EOM90" t="s">
        <v>432</v>
      </c>
      <c r="EOO90" t="s">
        <v>429</v>
      </c>
      <c r="EOP90" t="s">
        <v>143</v>
      </c>
      <c r="EOQ90" t="s">
        <v>398</v>
      </c>
      <c r="EOR90">
        <v>1</v>
      </c>
      <c r="EOS90" t="s">
        <v>430</v>
      </c>
      <c r="EOT90" t="s">
        <v>431</v>
      </c>
      <c r="EOU90" t="s">
        <v>432</v>
      </c>
      <c r="EOW90" t="s">
        <v>429</v>
      </c>
      <c r="EOX90" t="s">
        <v>143</v>
      </c>
      <c r="EOY90" t="s">
        <v>398</v>
      </c>
      <c r="EOZ90">
        <v>1</v>
      </c>
      <c r="EPA90" t="s">
        <v>430</v>
      </c>
      <c r="EPB90" t="s">
        <v>431</v>
      </c>
      <c r="EPC90" t="s">
        <v>432</v>
      </c>
      <c r="EPE90" t="s">
        <v>429</v>
      </c>
      <c r="EPF90" t="s">
        <v>143</v>
      </c>
      <c r="EPG90" t="s">
        <v>398</v>
      </c>
      <c r="EPH90">
        <v>1</v>
      </c>
      <c r="EPI90" t="s">
        <v>430</v>
      </c>
      <c r="EPJ90" t="s">
        <v>431</v>
      </c>
      <c r="EPK90" t="s">
        <v>432</v>
      </c>
      <c r="EPM90" t="s">
        <v>429</v>
      </c>
      <c r="EPN90" t="s">
        <v>143</v>
      </c>
      <c r="EPO90" t="s">
        <v>398</v>
      </c>
      <c r="EPP90">
        <v>1</v>
      </c>
      <c r="EPQ90" t="s">
        <v>430</v>
      </c>
      <c r="EPR90" t="s">
        <v>431</v>
      </c>
      <c r="EPS90" t="s">
        <v>432</v>
      </c>
      <c r="EPU90" t="s">
        <v>429</v>
      </c>
      <c r="EPV90" t="s">
        <v>143</v>
      </c>
      <c r="EPW90" t="s">
        <v>398</v>
      </c>
      <c r="EPX90">
        <v>1</v>
      </c>
      <c r="EPY90" t="s">
        <v>430</v>
      </c>
      <c r="EPZ90" t="s">
        <v>431</v>
      </c>
      <c r="EQA90" t="s">
        <v>432</v>
      </c>
      <c r="EQC90" t="s">
        <v>429</v>
      </c>
      <c r="EQD90" t="s">
        <v>143</v>
      </c>
      <c r="EQE90" t="s">
        <v>398</v>
      </c>
      <c r="EQF90">
        <v>1</v>
      </c>
      <c r="EQG90" t="s">
        <v>430</v>
      </c>
      <c r="EQH90" t="s">
        <v>431</v>
      </c>
      <c r="EQI90" t="s">
        <v>432</v>
      </c>
      <c r="EQK90" t="s">
        <v>429</v>
      </c>
      <c r="EQL90" t="s">
        <v>143</v>
      </c>
      <c r="EQM90" t="s">
        <v>398</v>
      </c>
      <c r="EQN90">
        <v>1</v>
      </c>
      <c r="EQO90" t="s">
        <v>430</v>
      </c>
      <c r="EQP90" t="s">
        <v>431</v>
      </c>
      <c r="EQQ90" t="s">
        <v>432</v>
      </c>
      <c r="EQS90" t="s">
        <v>429</v>
      </c>
      <c r="EQT90" t="s">
        <v>143</v>
      </c>
      <c r="EQU90" t="s">
        <v>398</v>
      </c>
      <c r="EQV90">
        <v>1</v>
      </c>
      <c r="EQW90" t="s">
        <v>430</v>
      </c>
      <c r="EQX90" t="s">
        <v>431</v>
      </c>
      <c r="EQY90" t="s">
        <v>432</v>
      </c>
      <c r="ERA90" t="s">
        <v>429</v>
      </c>
      <c r="ERB90" t="s">
        <v>143</v>
      </c>
      <c r="ERC90" t="s">
        <v>398</v>
      </c>
      <c r="ERD90">
        <v>1</v>
      </c>
      <c r="ERE90" t="s">
        <v>430</v>
      </c>
      <c r="ERF90" t="s">
        <v>431</v>
      </c>
      <c r="ERG90" t="s">
        <v>432</v>
      </c>
      <c r="ERI90" t="s">
        <v>429</v>
      </c>
      <c r="ERJ90" t="s">
        <v>143</v>
      </c>
      <c r="ERK90" t="s">
        <v>398</v>
      </c>
      <c r="ERL90">
        <v>1</v>
      </c>
      <c r="ERM90" t="s">
        <v>430</v>
      </c>
      <c r="ERN90" t="s">
        <v>431</v>
      </c>
      <c r="ERO90" t="s">
        <v>432</v>
      </c>
      <c r="ERQ90" t="s">
        <v>429</v>
      </c>
      <c r="ERR90" t="s">
        <v>143</v>
      </c>
      <c r="ERS90" t="s">
        <v>398</v>
      </c>
      <c r="ERT90">
        <v>1</v>
      </c>
      <c r="ERU90" t="s">
        <v>430</v>
      </c>
      <c r="ERV90" t="s">
        <v>431</v>
      </c>
      <c r="ERW90" t="s">
        <v>432</v>
      </c>
      <c r="ERY90" t="s">
        <v>429</v>
      </c>
      <c r="ERZ90" t="s">
        <v>143</v>
      </c>
      <c r="ESA90" t="s">
        <v>398</v>
      </c>
      <c r="ESB90">
        <v>1</v>
      </c>
      <c r="ESC90" t="s">
        <v>430</v>
      </c>
      <c r="ESD90" t="s">
        <v>431</v>
      </c>
      <c r="ESE90" t="s">
        <v>432</v>
      </c>
      <c r="ESG90" t="s">
        <v>429</v>
      </c>
      <c r="ESH90" t="s">
        <v>143</v>
      </c>
      <c r="ESI90" t="s">
        <v>398</v>
      </c>
      <c r="ESJ90">
        <v>1</v>
      </c>
      <c r="ESK90" t="s">
        <v>430</v>
      </c>
      <c r="ESL90" t="s">
        <v>431</v>
      </c>
      <c r="ESM90" t="s">
        <v>432</v>
      </c>
      <c r="ESO90" t="s">
        <v>429</v>
      </c>
      <c r="ESP90" t="s">
        <v>143</v>
      </c>
      <c r="ESQ90" t="s">
        <v>398</v>
      </c>
      <c r="ESR90">
        <v>1</v>
      </c>
      <c r="ESS90" t="s">
        <v>430</v>
      </c>
      <c r="EST90" t="s">
        <v>431</v>
      </c>
      <c r="ESU90" t="s">
        <v>432</v>
      </c>
      <c r="ESW90" t="s">
        <v>429</v>
      </c>
      <c r="ESX90" t="s">
        <v>143</v>
      </c>
      <c r="ESY90" t="s">
        <v>398</v>
      </c>
      <c r="ESZ90">
        <v>1</v>
      </c>
      <c r="ETA90" t="s">
        <v>430</v>
      </c>
      <c r="ETB90" t="s">
        <v>431</v>
      </c>
      <c r="ETC90" t="s">
        <v>432</v>
      </c>
      <c r="ETE90" t="s">
        <v>429</v>
      </c>
      <c r="ETF90" t="s">
        <v>143</v>
      </c>
      <c r="ETG90" t="s">
        <v>398</v>
      </c>
      <c r="ETH90">
        <v>1</v>
      </c>
      <c r="ETI90" t="s">
        <v>430</v>
      </c>
      <c r="ETJ90" t="s">
        <v>431</v>
      </c>
      <c r="ETK90" t="s">
        <v>432</v>
      </c>
      <c r="ETM90" t="s">
        <v>429</v>
      </c>
      <c r="ETN90" t="s">
        <v>143</v>
      </c>
      <c r="ETO90" t="s">
        <v>398</v>
      </c>
      <c r="ETP90">
        <v>1</v>
      </c>
      <c r="ETQ90" t="s">
        <v>430</v>
      </c>
      <c r="ETR90" t="s">
        <v>431</v>
      </c>
      <c r="ETS90" t="s">
        <v>432</v>
      </c>
      <c r="ETU90" t="s">
        <v>429</v>
      </c>
      <c r="ETV90" t="s">
        <v>143</v>
      </c>
      <c r="ETW90" t="s">
        <v>398</v>
      </c>
      <c r="ETX90">
        <v>1</v>
      </c>
      <c r="ETY90" t="s">
        <v>430</v>
      </c>
      <c r="ETZ90" t="s">
        <v>431</v>
      </c>
      <c r="EUA90" t="s">
        <v>432</v>
      </c>
      <c r="EUC90" t="s">
        <v>429</v>
      </c>
      <c r="EUD90" t="s">
        <v>143</v>
      </c>
      <c r="EUE90" t="s">
        <v>398</v>
      </c>
      <c r="EUF90">
        <v>1</v>
      </c>
      <c r="EUG90" t="s">
        <v>430</v>
      </c>
      <c r="EUH90" t="s">
        <v>431</v>
      </c>
      <c r="EUI90" t="s">
        <v>432</v>
      </c>
      <c r="EUK90" t="s">
        <v>429</v>
      </c>
      <c r="EUL90" t="s">
        <v>143</v>
      </c>
      <c r="EUM90" t="s">
        <v>398</v>
      </c>
      <c r="EUN90">
        <v>1</v>
      </c>
      <c r="EUO90" t="s">
        <v>430</v>
      </c>
      <c r="EUP90" t="s">
        <v>431</v>
      </c>
      <c r="EUQ90" t="s">
        <v>432</v>
      </c>
      <c r="EUS90" t="s">
        <v>429</v>
      </c>
      <c r="EUT90" t="s">
        <v>143</v>
      </c>
      <c r="EUU90" t="s">
        <v>398</v>
      </c>
      <c r="EUV90">
        <v>1</v>
      </c>
      <c r="EUW90" t="s">
        <v>430</v>
      </c>
      <c r="EUX90" t="s">
        <v>431</v>
      </c>
      <c r="EUY90" t="s">
        <v>432</v>
      </c>
      <c r="EVA90" t="s">
        <v>429</v>
      </c>
      <c r="EVB90" t="s">
        <v>143</v>
      </c>
      <c r="EVC90" t="s">
        <v>398</v>
      </c>
      <c r="EVD90">
        <v>1</v>
      </c>
      <c r="EVE90" t="s">
        <v>430</v>
      </c>
      <c r="EVF90" t="s">
        <v>431</v>
      </c>
      <c r="EVG90" t="s">
        <v>432</v>
      </c>
      <c r="EVI90" t="s">
        <v>429</v>
      </c>
      <c r="EVJ90" t="s">
        <v>143</v>
      </c>
      <c r="EVK90" t="s">
        <v>398</v>
      </c>
      <c r="EVL90">
        <v>1</v>
      </c>
      <c r="EVM90" t="s">
        <v>430</v>
      </c>
      <c r="EVN90" t="s">
        <v>431</v>
      </c>
      <c r="EVO90" t="s">
        <v>432</v>
      </c>
      <c r="EVQ90" t="s">
        <v>429</v>
      </c>
      <c r="EVR90" t="s">
        <v>143</v>
      </c>
      <c r="EVS90" t="s">
        <v>398</v>
      </c>
      <c r="EVT90">
        <v>1</v>
      </c>
      <c r="EVU90" t="s">
        <v>430</v>
      </c>
      <c r="EVV90" t="s">
        <v>431</v>
      </c>
      <c r="EVW90" t="s">
        <v>432</v>
      </c>
      <c r="EVY90" t="s">
        <v>429</v>
      </c>
      <c r="EVZ90" t="s">
        <v>143</v>
      </c>
      <c r="EWA90" t="s">
        <v>398</v>
      </c>
      <c r="EWB90">
        <v>1</v>
      </c>
      <c r="EWC90" t="s">
        <v>430</v>
      </c>
      <c r="EWD90" t="s">
        <v>431</v>
      </c>
      <c r="EWE90" t="s">
        <v>432</v>
      </c>
      <c r="EWG90" t="s">
        <v>429</v>
      </c>
      <c r="EWH90" t="s">
        <v>143</v>
      </c>
      <c r="EWI90" t="s">
        <v>398</v>
      </c>
      <c r="EWJ90">
        <v>1</v>
      </c>
      <c r="EWK90" t="s">
        <v>430</v>
      </c>
      <c r="EWL90" t="s">
        <v>431</v>
      </c>
      <c r="EWM90" t="s">
        <v>432</v>
      </c>
      <c r="EWO90" t="s">
        <v>429</v>
      </c>
      <c r="EWP90" t="s">
        <v>143</v>
      </c>
      <c r="EWQ90" t="s">
        <v>398</v>
      </c>
      <c r="EWR90">
        <v>1</v>
      </c>
      <c r="EWS90" t="s">
        <v>430</v>
      </c>
      <c r="EWT90" t="s">
        <v>431</v>
      </c>
      <c r="EWU90" t="s">
        <v>432</v>
      </c>
      <c r="EWW90" t="s">
        <v>429</v>
      </c>
      <c r="EWX90" t="s">
        <v>143</v>
      </c>
      <c r="EWY90" t="s">
        <v>398</v>
      </c>
      <c r="EWZ90">
        <v>1</v>
      </c>
      <c r="EXA90" t="s">
        <v>430</v>
      </c>
      <c r="EXB90" t="s">
        <v>431</v>
      </c>
      <c r="EXC90" t="s">
        <v>432</v>
      </c>
      <c r="EXE90" t="s">
        <v>429</v>
      </c>
      <c r="EXF90" t="s">
        <v>143</v>
      </c>
      <c r="EXG90" t="s">
        <v>398</v>
      </c>
      <c r="EXH90">
        <v>1</v>
      </c>
      <c r="EXI90" t="s">
        <v>430</v>
      </c>
      <c r="EXJ90" t="s">
        <v>431</v>
      </c>
      <c r="EXK90" t="s">
        <v>432</v>
      </c>
      <c r="EXM90" t="s">
        <v>429</v>
      </c>
      <c r="EXN90" t="s">
        <v>143</v>
      </c>
      <c r="EXO90" t="s">
        <v>398</v>
      </c>
      <c r="EXP90">
        <v>1</v>
      </c>
      <c r="EXQ90" t="s">
        <v>430</v>
      </c>
      <c r="EXR90" t="s">
        <v>431</v>
      </c>
      <c r="EXS90" t="s">
        <v>432</v>
      </c>
      <c r="EXU90" t="s">
        <v>429</v>
      </c>
      <c r="EXV90" t="s">
        <v>143</v>
      </c>
      <c r="EXW90" t="s">
        <v>398</v>
      </c>
      <c r="EXX90">
        <v>1</v>
      </c>
      <c r="EXY90" t="s">
        <v>430</v>
      </c>
      <c r="EXZ90" t="s">
        <v>431</v>
      </c>
      <c r="EYA90" t="s">
        <v>432</v>
      </c>
      <c r="EYC90" t="s">
        <v>429</v>
      </c>
      <c r="EYD90" t="s">
        <v>143</v>
      </c>
      <c r="EYE90" t="s">
        <v>398</v>
      </c>
      <c r="EYF90">
        <v>1</v>
      </c>
      <c r="EYG90" t="s">
        <v>430</v>
      </c>
      <c r="EYH90" t="s">
        <v>431</v>
      </c>
      <c r="EYI90" t="s">
        <v>432</v>
      </c>
      <c r="EYK90" t="s">
        <v>429</v>
      </c>
      <c r="EYL90" t="s">
        <v>143</v>
      </c>
      <c r="EYM90" t="s">
        <v>398</v>
      </c>
      <c r="EYN90">
        <v>1</v>
      </c>
      <c r="EYO90" t="s">
        <v>430</v>
      </c>
      <c r="EYP90" t="s">
        <v>431</v>
      </c>
      <c r="EYQ90" t="s">
        <v>432</v>
      </c>
      <c r="EYS90" t="s">
        <v>429</v>
      </c>
      <c r="EYT90" t="s">
        <v>143</v>
      </c>
      <c r="EYU90" t="s">
        <v>398</v>
      </c>
      <c r="EYV90">
        <v>1</v>
      </c>
      <c r="EYW90" t="s">
        <v>430</v>
      </c>
      <c r="EYX90" t="s">
        <v>431</v>
      </c>
      <c r="EYY90" t="s">
        <v>432</v>
      </c>
      <c r="EZA90" t="s">
        <v>429</v>
      </c>
      <c r="EZB90" t="s">
        <v>143</v>
      </c>
      <c r="EZC90" t="s">
        <v>398</v>
      </c>
      <c r="EZD90">
        <v>1</v>
      </c>
      <c r="EZE90" t="s">
        <v>430</v>
      </c>
      <c r="EZF90" t="s">
        <v>431</v>
      </c>
      <c r="EZG90" t="s">
        <v>432</v>
      </c>
      <c r="EZI90" t="s">
        <v>429</v>
      </c>
      <c r="EZJ90" t="s">
        <v>143</v>
      </c>
      <c r="EZK90" t="s">
        <v>398</v>
      </c>
      <c r="EZL90">
        <v>1</v>
      </c>
      <c r="EZM90" t="s">
        <v>430</v>
      </c>
      <c r="EZN90" t="s">
        <v>431</v>
      </c>
      <c r="EZO90" t="s">
        <v>432</v>
      </c>
      <c r="EZQ90" t="s">
        <v>429</v>
      </c>
      <c r="EZR90" t="s">
        <v>143</v>
      </c>
      <c r="EZS90" t="s">
        <v>398</v>
      </c>
      <c r="EZT90">
        <v>1</v>
      </c>
      <c r="EZU90" t="s">
        <v>430</v>
      </c>
      <c r="EZV90" t="s">
        <v>431</v>
      </c>
      <c r="EZW90" t="s">
        <v>432</v>
      </c>
      <c r="EZY90" t="s">
        <v>429</v>
      </c>
      <c r="EZZ90" t="s">
        <v>143</v>
      </c>
      <c r="FAA90" t="s">
        <v>398</v>
      </c>
      <c r="FAB90">
        <v>1</v>
      </c>
      <c r="FAC90" t="s">
        <v>430</v>
      </c>
      <c r="FAD90" t="s">
        <v>431</v>
      </c>
      <c r="FAE90" t="s">
        <v>432</v>
      </c>
      <c r="FAG90" t="s">
        <v>429</v>
      </c>
      <c r="FAH90" t="s">
        <v>143</v>
      </c>
      <c r="FAI90" t="s">
        <v>398</v>
      </c>
      <c r="FAJ90">
        <v>1</v>
      </c>
      <c r="FAK90" t="s">
        <v>430</v>
      </c>
      <c r="FAL90" t="s">
        <v>431</v>
      </c>
      <c r="FAM90" t="s">
        <v>432</v>
      </c>
      <c r="FAO90" t="s">
        <v>429</v>
      </c>
      <c r="FAP90" t="s">
        <v>143</v>
      </c>
      <c r="FAQ90" t="s">
        <v>398</v>
      </c>
      <c r="FAR90">
        <v>1</v>
      </c>
      <c r="FAS90" t="s">
        <v>430</v>
      </c>
      <c r="FAT90" t="s">
        <v>431</v>
      </c>
      <c r="FAU90" t="s">
        <v>432</v>
      </c>
      <c r="FAW90" t="s">
        <v>429</v>
      </c>
      <c r="FAX90" t="s">
        <v>143</v>
      </c>
      <c r="FAY90" t="s">
        <v>398</v>
      </c>
      <c r="FAZ90">
        <v>1</v>
      </c>
      <c r="FBA90" t="s">
        <v>430</v>
      </c>
      <c r="FBB90" t="s">
        <v>431</v>
      </c>
      <c r="FBC90" t="s">
        <v>432</v>
      </c>
      <c r="FBE90" t="s">
        <v>429</v>
      </c>
      <c r="FBF90" t="s">
        <v>143</v>
      </c>
      <c r="FBG90" t="s">
        <v>398</v>
      </c>
      <c r="FBH90">
        <v>1</v>
      </c>
      <c r="FBI90" t="s">
        <v>430</v>
      </c>
      <c r="FBJ90" t="s">
        <v>431</v>
      </c>
      <c r="FBK90" t="s">
        <v>432</v>
      </c>
      <c r="FBM90" t="s">
        <v>429</v>
      </c>
      <c r="FBN90" t="s">
        <v>143</v>
      </c>
      <c r="FBO90" t="s">
        <v>398</v>
      </c>
      <c r="FBP90">
        <v>1</v>
      </c>
      <c r="FBQ90" t="s">
        <v>430</v>
      </c>
      <c r="FBR90" t="s">
        <v>431</v>
      </c>
      <c r="FBS90" t="s">
        <v>432</v>
      </c>
      <c r="FBU90" t="s">
        <v>429</v>
      </c>
      <c r="FBV90" t="s">
        <v>143</v>
      </c>
      <c r="FBW90" t="s">
        <v>398</v>
      </c>
      <c r="FBX90">
        <v>1</v>
      </c>
      <c r="FBY90" t="s">
        <v>430</v>
      </c>
      <c r="FBZ90" t="s">
        <v>431</v>
      </c>
      <c r="FCA90" t="s">
        <v>432</v>
      </c>
      <c r="FCC90" t="s">
        <v>429</v>
      </c>
      <c r="FCD90" t="s">
        <v>143</v>
      </c>
      <c r="FCE90" t="s">
        <v>398</v>
      </c>
      <c r="FCF90">
        <v>1</v>
      </c>
      <c r="FCG90" t="s">
        <v>430</v>
      </c>
      <c r="FCH90" t="s">
        <v>431</v>
      </c>
      <c r="FCI90" t="s">
        <v>432</v>
      </c>
      <c r="FCK90" t="s">
        <v>429</v>
      </c>
      <c r="FCL90" t="s">
        <v>143</v>
      </c>
      <c r="FCM90" t="s">
        <v>398</v>
      </c>
      <c r="FCN90">
        <v>1</v>
      </c>
      <c r="FCO90" t="s">
        <v>430</v>
      </c>
      <c r="FCP90" t="s">
        <v>431</v>
      </c>
      <c r="FCQ90" t="s">
        <v>432</v>
      </c>
      <c r="FCS90" t="s">
        <v>429</v>
      </c>
      <c r="FCT90" t="s">
        <v>143</v>
      </c>
      <c r="FCU90" t="s">
        <v>398</v>
      </c>
      <c r="FCV90">
        <v>1</v>
      </c>
      <c r="FCW90" t="s">
        <v>430</v>
      </c>
      <c r="FCX90" t="s">
        <v>431</v>
      </c>
      <c r="FCY90" t="s">
        <v>432</v>
      </c>
      <c r="FDA90" t="s">
        <v>429</v>
      </c>
      <c r="FDB90" t="s">
        <v>143</v>
      </c>
      <c r="FDC90" t="s">
        <v>398</v>
      </c>
      <c r="FDD90">
        <v>1</v>
      </c>
      <c r="FDE90" t="s">
        <v>430</v>
      </c>
      <c r="FDF90" t="s">
        <v>431</v>
      </c>
      <c r="FDG90" t="s">
        <v>432</v>
      </c>
      <c r="FDI90" t="s">
        <v>429</v>
      </c>
      <c r="FDJ90" t="s">
        <v>143</v>
      </c>
      <c r="FDK90" t="s">
        <v>398</v>
      </c>
      <c r="FDL90">
        <v>1</v>
      </c>
      <c r="FDM90" t="s">
        <v>430</v>
      </c>
      <c r="FDN90" t="s">
        <v>431</v>
      </c>
      <c r="FDO90" t="s">
        <v>432</v>
      </c>
      <c r="FDQ90" t="s">
        <v>429</v>
      </c>
      <c r="FDR90" t="s">
        <v>143</v>
      </c>
      <c r="FDS90" t="s">
        <v>398</v>
      </c>
      <c r="FDT90">
        <v>1</v>
      </c>
      <c r="FDU90" t="s">
        <v>430</v>
      </c>
      <c r="FDV90" t="s">
        <v>431</v>
      </c>
      <c r="FDW90" t="s">
        <v>432</v>
      </c>
      <c r="FDY90" t="s">
        <v>429</v>
      </c>
      <c r="FDZ90" t="s">
        <v>143</v>
      </c>
      <c r="FEA90" t="s">
        <v>398</v>
      </c>
      <c r="FEB90">
        <v>1</v>
      </c>
      <c r="FEC90" t="s">
        <v>430</v>
      </c>
      <c r="FED90" t="s">
        <v>431</v>
      </c>
      <c r="FEE90" t="s">
        <v>432</v>
      </c>
      <c r="FEG90" t="s">
        <v>429</v>
      </c>
      <c r="FEH90" t="s">
        <v>143</v>
      </c>
      <c r="FEI90" t="s">
        <v>398</v>
      </c>
      <c r="FEJ90">
        <v>1</v>
      </c>
      <c r="FEK90" t="s">
        <v>430</v>
      </c>
      <c r="FEL90" t="s">
        <v>431</v>
      </c>
      <c r="FEM90" t="s">
        <v>432</v>
      </c>
      <c r="FEO90" t="s">
        <v>429</v>
      </c>
      <c r="FEP90" t="s">
        <v>143</v>
      </c>
      <c r="FEQ90" t="s">
        <v>398</v>
      </c>
      <c r="FER90">
        <v>1</v>
      </c>
      <c r="FES90" t="s">
        <v>430</v>
      </c>
      <c r="FET90" t="s">
        <v>431</v>
      </c>
      <c r="FEU90" t="s">
        <v>432</v>
      </c>
      <c r="FEW90" t="s">
        <v>429</v>
      </c>
      <c r="FEX90" t="s">
        <v>143</v>
      </c>
      <c r="FEY90" t="s">
        <v>398</v>
      </c>
      <c r="FEZ90">
        <v>1</v>
      </c>
      <c r="FFA90" t="s">
        <v>430</v>
      </c>
      <c r="FFB90" t="s">
        <v>431</v>
      </c>
      <c r="FFC90" t="s">
        <v>432</v>
      </c>
      <c r="FFE90" t="s">
        <v>429</v>
      </c>
      <c r="FFF90" t="s">
        <v>143</v>
      </c>
      <c r="FFG90" t="s">
        <v>398</v>
      </c>
      <c r="FFH90">
        <v>1</v>
      </c>
      <c r="FFI90" t="s">
        <v>430</v>
      </c>
      <c r="FFJ90" t="s">
        <v>431</v>
      </c>
      <c r="FFK90" t="s">
        <v>432</v>
      </c>
      <c r="FFM90" t="s">
        <v>429</v>
      </c>
      <c r="FFN90" t="s">
        <v>143</v>
      </c>
      <c r="FFO90" t="s">
        <v>398</v>
      </c>
      <c r="FFP90">
        <v>1</v>
      </c>
      <c r="FFQ90" t="s">
        <v>430</v>
      </c>
      <c r="FFR90" t="s">
        <v>431</v>
      </c>
      <c r="FFS90" t="s">
        <v>432</v>
      </c>
      <c r="FFU90" t="s">
        <v>429</v>
      </c>
      <c r="FFV90" t="s">
        <v>143</v>
      </c>
      <c r="FFW90" t="s">
        <v>398</v>
      </c>
      <c r="FFX90">
        <v>1</v>
      </c>
      <c r="FFY90" t="s">
        <v>430</v>
      </c>
      <c r="FFZ90" t="s">
        <v>431</v>
      </c>
      <c r="FGA90" t="s">
        <v>432</v>
      </c>
      <c r="FGC90" t="s">
        <v>429</v>
      </c>
      <c r="FGD90" t="s">
        <v>143</v>
      </c>
      <c r="FGE90" t="s">
        <v>398</v>
      </c>
      <c r="FGF90">
        <v>1</v>
      </c>
      <c r="FGG90" t="s">
        <v>430</v>
      </c>
      <c r="FGH90" t="s">
        <v>431</v>
      </c>
      <c r="FGI90" t="s">
        <v>432</v>
      </c>
      <c r="FGK90" t="s">
        <v>429</v>
      </c>
      <c r="FGL90" t="s">
        <v>143</v>
      </c>
      <c r="FGM90" t="s">
        <v>398</v>
      </c>
      <c r="FGN90">
        <v>1</v>
      </c>
      <c r="FGO90" t="s">
        <v>430</v>
      </c>
      <c r="FGP90" t="s">
        <v>431</v>
      </c>
      <c r="FGQ90" t="s">
        <v>432</v>
      </c>
      <c r="FGS90" t="s">
        <v>429</v>
      </c>
      <c r="FGT90" t="s">
        <v>143</v>
      </c>
      <c r="FGU90" t="s">
        <v>398</v>
      </c>
      <c r="FGV90">
        <v>1</v>
      </c>
      <c r="FGW90" t="s">
        <v>430</v>
      </c>
      <c r="FGX90" t="s">
        <v>431</v>
      </c>
      <c r="FGY90" t="s">
        <v>432</v>
      </c>
      <c r="FHA90" t="s">
        <v>429</v>
      </c>
      <c r="FHB90" t="s">
        <v>143</v>
      </c>
      <c r="FHC90" t="s">
        <v>398</v>
      </c>
      <c r="FHD90">
        <v>1</v>
      </c>
      <c r="FHE90" t="s">
        <v>430</v>
      </c>
      <c r="FHF90" t="s">
        <v>431</v>
      </c>
      <c r="FHG90" t="s">
        <v>432</v>
      </c>
      <c r="FHI90" t="s">
        <v>429</v>
      </c>
      <c r="FHJ90" t="s">
        <v>143</v>
      </c>
      <c r="FHK90" t="s">
        <v>398</v>
      </c>
      <c r="FHL90">
        <v>1</v>
      </c>
      <c r="FHM90" t="s">
        <v>430</v>
      </c>
      <c r="FHN90" t="s">
        <v>431</v>
      </c>
      <c r="FHO90" t="s">
        <v>432</v>
      </c>
      <c r="FHQ90" t="s">
        <v>429</v>
      </c>
      <c r="FHR90" t="s">
        <v>143</v>
      </c>
      <c r="FHS90" t="s">
        <v>398</v>
      </c>
      <c r="FHT90">
        <v>1</v>
      </c>
      <c r="FHU90" t="s">
        <v>430</v>
      </c>
      <c r="FHV90" t="s">
        <v>431</v>
      </c>
      <c r="FHW90" t="s">
        <v>432</v>
      </c>
      <c r="FHY90" t="s">
        <v>429</v>
      </c>
      <c r="FHZ90" t="s">
        <v>143</v>
      </c>
      <c r="FIA90" t="s">
        <v>398</v>
      </c>
      <c r="FIB90">
        <v>1</v>
      </c>
      <c r="FIC90" t="s">
        <v>430</v>
      </c>
      <c r="FID90" t="s">
        <v>431</v>
      </c>
      <c r="FIE90" t="s">
        <v>432</v>
      </c>
      <c r="FIG90" t="s">
        <v>429</v>
      </c>
      <c r="FIH90" t="s">
        <v>143</v>
      </c>
      <c r="FII90" t="s">
        <v>398</v>
      </c>
      <c r="FIJ90">
        <v>1</v>
      </c>
      <c r="FIK90" t="s">
        <v>430</v>
      </c>
      <c r="FIL90" t="s">
        <v>431</v>
      </c>
      <c r="FIM90" t="s">
        <v>432</v>
      </c>
      <c r="FIO90" t="s">
        <v>429</v>
      </c>
      <c r="FIP90" t="s">
        <v>143</v>
      </c>
      <c r="FIQ90" t="s">
        <v>398</v>
      </c>
      <c r="FIR90">
        <v>1</v>
      </c>
      <c r="FIS90" t="s">
        <v>430</v>
      </c>
      <c r="FIT90" t="s">
        <v>431</v>
      </c>
      <c r="FIU90" t="s">
        <v>432</v>
      </c>
      <c r="FIW90" t="s">
        <v>429</v>
      </c>
      <c r="FIX90" t="s">
        <v>143</v>
      </c>
      <c r="FIY90" t="s">
        <v>398</v>
      </c>
      <c r="FIZ90">
        <v>1</v>
      </c>
      <c r="FJA90" t="s">
        <v>430</v>
      </c>
      <c r="FJB90" t="s">
        <v>431</v>
      </c>
      <c r="FJC90" t="s">
        <v>432</v>
      </c>
      <c r="FJE90" t="s">
        <v>429</v>
      </c>
      <c r="FJF90" t="s">
        <v>143</v>
      </c>
      <c r="FJG90" t="s">
        <v>398</v>
      </c>
      <c r="FJH90">
        <v>1</v>
      </c>
      <c r="FJI90" t="s">
        <v>430</v>
      </c>
      <c r="FJJ90" t="s">
        <v>431</v>
      </c>
      <c r="FJK90" t="s">
        <v>432</v>
      </c>
      <c r="FJM90" t="s">
        <v>429</v>
      </c>
      <c r="FJN90" t="s">
        <v>143</v>
      </c>
      <c r="FJO90" t="s">
        <v>398</v>
      </c>
      <c r="FJP90">
        <v>1</v>
      </c>
      <c r="FJQ90" t="s">
        <v>430</v>
      </c>
      <c r="FJR90" t="s">
        <v>431</v>
      </c>
      <c r="FJS90" t="s">
        <v>432</v>
      </c>
      <c r="FJU90" t="s">
        <v>429</v>
      </c>
      <c r="FJV90" t="s">
        <v>143</v>
      </c>
      <c r="FJW90" t="s">
        <v>398</v>
      </c>
      <c r="FJX90">
        <v>1</v>
      </c>
      <c r="FJY90" t="s">
        <v>430</v>
      </c>
      <c r="FJZ90" t="s">
        <v>431</v>
      </c>
      <c r="FKA90" t="s">
        <v>432</v>
      </c>
      <c r="FKC90" t="s">
        <v>429</v>
      </c>
      <c r="FKD90" t="s">
        <v>143</v>
      </c>
      <c r="FKE90" t="s">
        <v>398</v>
      </c>
      <c r="FKF90">
        <v>1</v>
      </c>
      <c r="FKG90" t="s">
        <v>430</v>
      </c>
      <c r="FKH90" t="s">
        <v>431</v>
      </c>
      <c r="FKI90" t="s">
        <v>432</v>
      </c>
      <c r="FKK90" t="s">
        <v>429</v>
      </c>
      <c r="FKL90" t="s">
        <v>143</v>
      </c>
      <c r="FKM90" t="s">
        <v>398</v>
      </c>
      <c r="FKN90">
        <v>1</v>
      </c>
      <c r="FKO90" t="s">
        <v>430</v>
      </c>
      <c r="FKP90" t="s">
        <v>431</v>
      </c>
      <c r="FKQ90" t="s">
        <v>432</v>
      </c>
      <c r="FKS90" t="s">
        <v>429</v>
      </c>
      <c r="FKT90" t="s">
        <v>143</v>
      </c>
      <c r="FKU90" t="s">
        <v>398</v>
      </c>
      <c r="FKV90">
        <v>1</v>
      </c>
      <c r="FKW90" t="s">
        <v>430</v>
      </c>
      <c r="FKX90" t="s">
        <v>431</v>
      </c>
      <c r="FKY90" t="s">
        <v>432</v>
      </c>
      <c r="FLA90" t="s">
        <v>429</v>
      </c>
      <c r="FLB90" t="s">
        <v>143</v>
      </c>
      <c r="FLC90" t="s">
        <v>398</v>
      </c>
      <c r="FLD90">
        <v>1</v>
      </c>
      <c r="FLE90" t="s">
        <v>430</v>
      </c>
      <c r="FLF90" t="s">
        <v>431</v>
      </c>
      <c r="FLG90" t="s">
        <v>432</v>
      </c>
      <c r="FLI90" t="s">
        <v>429</v>
      </c>
      <c r="FLJ90" t="s">
        <v>143</v>
      </c>
      <c r="FLK90" t="s">
        <v>398</v>
      </c>
      <c r="FLL90">
        <v>1</v>
      </c>
      <c r="FLM90" t="s">
        <v>430</v>
      </c>
      <c r="FLN90" t="s">
        <v>431</v>
      </c>
      <c r="FLO90" t="s">
        <v>432</v>
      </c>
      <c r="FLQ90" t="s">
        <v>429</v>
      </c>
      <c r="FLR90" t="s">
        <v>143</v>
      </c>
      <c r="FLS90" t="s">
        <v>398</v>
      </c>
      <c r="FLT90">
        <v>1</v>
      </c>
      <c r="FLU90" t="s">
        <v>430</v>
      </c>
      <c r="FLV90" t="s">
        <v>431</v>
      </c>
      <c r="FLW90" t="s">
        <v>432</v>
      </c>
      <c r="FLY90" t="s">
        <v>429</v>
      </c>
      <c r="FLZ90" t="s">
        <v>143</v>
      </c>
      <c r="FMA90" t="s">
        <v>398</v>
      </c>
      <c r="FMB90">
        <v>1</v>
      </c>
      <c r="FMC90" t="s">
        <v>430</v>
      </c>
      <c r="FMD90" t="s">
        <v>431</v>
      </c>
      <c r="FME90" t="s">
        <v>432</v>
      </c>
      <c r="FMG90" t="s">
        <v>429</v>
      </c>
      <c r="FMH90" t="s">
        <v>143</v>
      </c>
      <c r="FMI90" t="s">
        <v>398</v>
      </c>
      <c r="FMJ90">
        <v>1</v>
      </c>
      <c r="FMK90" t="s">
        <v>430</v>
      </c>
      <c r="FML90" t="s">
        <v>431</v>
      </c>
      <c r="FMM90" t="s">
        <v>432</v>
      </c>
      <c r="FMO90" t="s">
        <v>429</v>
      </c>
      <c r="FMP90" t="s">
        <v>143</v>
      </c>
      <c r="FMQ90" t="s">
        <v>398</v>
      </c>
      <c r="FMR90">
        <v>1</v>
      </c>
      <c r="FMS90" t="s">
        <v>430</v>
      </c>
      <c r="FMT90" t="s">
        <v>431</v>
      </c>
      <c r="FMU90" t="s">
        <v>432</v>
      </c>
      <c r="FMW90" t="s">
        <v>429</v>
      </c>
      <c r="FMX90" t="s">
        <v>143</v>
      </c>
      <c r="FMY90" t="s">
        <v>398</v>
      </c>
      <c r="FMZ90">
        <v>1</v>
      </c>
      <c r="FNA90" t="s">
        <v>430</v>
      </c>
      <c r="FNB90" t="s">
        <v>431</v>
      </c>
      <c r="FNC90" t="s">
        <v>432</v>
      </c>
      <c r="FNE90" t="s">
        <v>429</v>
      </c>
      <c r="FNF90" t="s">
        <v>143</v>
      </c>
      <c r="FNG90" t="s">
        <v>398</v>
      </c>
      <c r="FNH90">
        <v>1</v>
      </c>
      <c r="FNI90" t="s">
        <v>430</v>
      </c>
      <c r="FNJ90" t="s">
        <v>431</v>
      </c>
      <c r="FNK90" t="s">
        <v>432</v>
      </c>
      <c r="FNM90" t="s">
        <v>429</v>
      </c>
      <c r="FNN90" t="s">
        <v>143</v>
      </c>
      <c r="FNO90" t="s">
        <v>398</v>
      </c>
      <c r="FNP90">
        <v>1</v>
      </c>
      <c r="FNQ90" t="s">
        <v>430</v>
      </c>
      <c r="FNR90" t="s">
        <v>431</v>
      </c>
      <c r="FNS90" t="s">
        <v>432</v>
      </c>
      <c r="FNU90" t="s">
        <v>429</v>
      </c>
      <c r="FNV90" t="s">
        <v>143</v>
      </c>
      <c r="FNW90" t="s">
        <v>398</v>
      </c>
      <c r="FNX90">
        <v>1</v>
      </c>
      <c r="FNY90" t="s">
        <v>430</v>
      </c>
      <c r="FNZ90" t="s">
        <v>431</v>
      </c>
      <c r="FOA90" t="s">
        <v>432</v>
      </c>
      <c r="FOC90" t="s">
        <v>429</v>
      </c>
      <c r="FOD90" t="s">
        <v>143</v>
      </c>
      <c r="FOE90" t="s">
        <v>398</v>
      </c>
      <c r="FOF90">
        <v>1</v>
      </c>
      <c r="FOG90" t="s">
        <v>430</v>
      </c>
      <c r="FOH90" t="s">
        <v>431</v>
      </c>
      <c r="FOI90" t="s">
        <v>432</v>
      </c>
      <c r="FOK90" t="s">
        <v>429</v>
      </c>
      <c r="FOL90" t="s">
        <v>143</v>
      </c>
      <c r="FOM90" t="s">
        <v>398</v>
      </c>
      <c r="FON90">
        <v>1</v>
      </c>
      <c r="FOO90" t="s">
        <v>430</v>
      </c>
      <c r="FOP90" t="s">
        <v>431</v>
      </c>
      <c r="FOQ90" t="s">
        <v>432</v>
      </c>
      <c r="FOS90" t="s">
        <v>429</v>
      </c>
      <c r="FOT90" t="s">
        <v>143</v>
      </c>
      <c r="FOU90" t="s">
        <v>398</v>
      </c>
      <c r="FOV90">
        <v>1</v>
      </c>
      <c r="FOW90" t="s">
        <v>430</v>
      </c>
      <c r="FOX90" t="s">
        <v>431</v>
      </c>
      <c r="FOY90" t="s">
        <v>432</v>
      </c>
      <c r="FPA90" t="s">
        <v>429</v>
      </c>
      <c r="FPB90" t="s">
        <v>143</v>
      </c>
      <c r="FPC90" t="s">
        <v>398</v>
      </c>
      <c r="FPD90">
        <v>1</v>
      </c>
      <c r="FPE90" t="s">
        <v>430</v>
      </c>
      <c r="FPF90" t="s">
        <v>431</v>
      </c>
      <c r="FPG90" t="s">
        <v>432</v>
      </c>
      <c r="FPI90" t="s">
        <v>429</v>
      </c>
      <c r="FPJ90" t="s">
        <v>143</v>
      </c>
      <c r="FPK90" t="s">
        <v>398</v>
      </c>
      <c r="FPL90">
        <v>1</v>
      </c>
      <c r="FPM90" t="s">
        <v>430</v>
      </c>
      <c r="FPN90" t="s">
        <v>431</v>
      </c>
      <c r="FPO90" t="s">
        <v>432</v>
      </c>
      <c r="FPQ90" t="s">
        <v>429</v>
      </c>
      <c r="FPR90" t="s">
        <v>143</v>
      </c>
      <c r="FPS90" t="s">
        <v>398</v>
      </c>
      <c r="FPT90">
        <v>1</v>
      </c>
      <c r="FPU90" t="s">
        <v>430</v>
      </c>
      <c r="FPV90" t="s">
        <v>431</v>
      </c>
      <c r="FPW90" t="s">
        <v>432</v>
      </c>
      <c r="FPY90" t="s">
        <v>429</v>
      </c>
      <c r="FPZ90" t="s">
        <v>143</v>
      </c>
      <c r="FQA90" t="s">
        <v>398</v>
      </c>
      <c r="FQB90">
        <v>1</v>
      </c>
      <c r="FQC90" t="s">
        <v>430</v>
      </c>
      <c r="FQD90" t="s">
        <v>431</v>
      </c>
      <c r="FQE90" t="s">
        <v>432</v>
      </c>
      <c r="FQG90" t="s">
        <v>429</v>
      </c>
      <c r="FQH90" t="s">
        <v>143</v>
      </c>
      <c r="FQI90" t="s">
        <v>398</v>
      </c>
      <c r="FQJ90">
        <v>1</v>
      </c>
      <c r="FQK90" t="s">
        <v>430</v>
      </c>
      <c r="FQL90" t="s">
        <v>431</v>
      </c>
      <c r="FQM90" t="s">
        <v>432</v>
      </c>
      <c r="FQO90" t="s">
        <v>429</v>
      </c>
      <c r="FQP90" t="s">
        <v>143</v>
      </c>
      <c r="FQQ90" t="s">
        <v>398</v>
      </c>
      <c r="FQR90">
        <v>1</v>
      </c>
      <c r="FQS90" t="s">
        <v>430</v>
      </c>
      <c r="FQT90" t="s">
        <v>431</v>
      </c>
      <c r="FQU90" t="s">
        <v>432</v>
      </c>
      <c r="FQW90" t="s">
        <v>429</v>
      </c>
      <c r="FQX90" t="s">
        <v>143</v>
      </c>
      <c r="FQY90" t="s">
        <v>398</v>
      </c>
      <c r="FQZ90">
        <v>1</v>
      </c>
      <c r="FRA90" t="s">
        <v>430</v>
      </c>
      <c r="FRB90" t="s">
        <v>431</v>
      </c>
      <c r="FRC90" t="s">
        <v>432</v>
      </c>
      <c r="FRE90" t="s">
        <v>429</v>
      </c>
      <c r="FRF90" t="s">
        <v>143</v>
      </c>
      <c r="FRG90" t="s">
        <v>398</v>
      </c>
      <c r="FRH90">
        <v>1</v>
      </c>
      <c r="FRI90" t="s">
        <v>430</v>
      </c>
      <c r="FRJ90" t="s">
        <v>431</v>
      </c>
      <c r="FRK90" t="s">
        <v>432</v>
      </c>
      <c r="FRM90" t="s">
        <v>429</v>
      </c>
      <c r="FRN90" t="s">
        <v>143</v>
      </c>
      <c r="FRO90" t="s">
        <v>398</v>
      </c>
      <c r="FRP90">
        <v>1</v>
      </c>
      <c r="FRQ90" t="s">
        <v>430</v>
      </c>
      <c r="FRR90" t="s">
        <v>431</v>
      </c>
      <c r="FRS90" t="s">
        <v>432</v>
      </c>
      <c r="FRU90" t="s">
        <v>429</v>
      </c>
      <c r="FRV90" t="s">
        <v>143</v>
      </c>
      <c r="FRW90" t="s">
        <v>398</v>
      </c>
      <c r="FRX90">
        <v>1</v>
      </c>
      <c r="FRY90" t="s">
        <v>430</v>
      </c>
      <c r="FRZ90" t="s">
        <v>431</v>
      </c>
      <c r="FSA90" t="s">
        <v>432</v>
      </c>
      <c r="FSC90" t="s">
        <v>429</v>
      </c>
      <c r="FSD90" t="s">
        <v>143</v>
      </c>
      <c r="FSE90" t="s">
        <v>398</v>
      </c>
      <c r="FSF90">
        <v>1</v>
      </c>
      <c r="FSG90" t="s">
        <v>430</v>
      </c>
      <c r="FSH90" t="s">
        <v>431</v>
      </c>
      <c r="FSI90" t="s">
        <v>432</v>
      </c>
      <c r="FSK90" t="s">
        <v>429</v>
      </c>
      <c r="FSL90" t="s">
        <v>143</v>
      </c>
      <c r="FSM90" t="s">
        <v>398</v>
      </c>
      <c r="FSN90">
        <v>1</v>
      </c>
      <c r="FSO90" t="s">
        <v>430</v>
      </c>
      <c r="FSP90" t="s">
        <v>431</v>
      </c>
      <c r="FSQ90" t="s">
        <v>432</v>
      </c>
      <c r="FSS90" t="s">
        <v>429</v>
      </c>
      <c r="FST90" t="s">
        <v>143</v>
      </c>
      <c r="FSU90" t="s">
        <v>398</v>
      </c>
      <c r="FSV90">
        <v>1</v>
      </c>
      <c r="FSW90" t="s">
        <v>430</v>
      </c>
      <c r="FSX90" t="s">
        <v>431</v>
      </c>
      <c r="FSY90" t="s">
        <v>432</v>
      </c>
      <c r="FTA90" t="s">
        <v>429</v>
      </c>
      <c r="FTB90" t="s">
        <v>143</v>
      </c>
      <c r="FTC90" t="s">
        <v>398</v>
      </c>
      <c r="FTD90">
        <v>1</v>
      </c>
      <c r="FTE90" t="s">
        <v>430</v>
      </c>
      <c r="FTF90" t="s">
        <v>431</v>
      </c>
      <c r="FTG90" t="s">
        <v>432</v>
      </c>
      <c r="FTI90" t="s">
        <v>429</v>
      </c>
      <c r="FTJ90" t="s">
        <v>143</v>
      </c>
      <c r="FTK90" t="s">
        <v>398</v>
      </c>
      <c r="FTL90">
        <v>1</v>
      </c>
      <c r="FTM90" t="s">
        <v>430</v>
      </c>
      <c r="FTN90" t="s">
        <v>431</v>
      </c>
      <c r="FTO90" t="s">
        <v>432</v>
      </c>
      <c r="FTQ90" t="s">
        <v>429</v>
      </c>
      <c r="FTR90" t="s">
        <v>143</v>
      </c>
      <c r="FTS90" t="s">
        <v>398</v>
      </c>
      <c r="FTT90">
        <v>1</v>
      </c>
      <c r="FTU90" t="s">
        <v>430</v>
      </c>
      <c r="FTV90" t="s">
        <v>431</v>
      </c>
      <c r="FTW90" t="s">
        <v>432</v>
      </c>
      <c r="FTY90" t="s">
        <v>429</v>
      </c>
      <c r="FTZ90" t="s">
        <v>143</v>
      </c>
      <c r="FUA90" t="s">
        <v>398</v>
      </c>
      <c r="FUB90">
        <v>1</v>
      </c>
      <c r="FUC90" t="s">
        <v>430</v>
      </c>
      <c r="FUD90" t="s">
        <v>431</v>
      </c>
      <c r="FUE90" t="s">
        <v>432</v>
      </c>
      <c r="FUG90" t="s">
        <v>429</v>
      </c>
      <c r="FUH90" t="s">
        <v>143</v>
      </c>
      <c r="FUI90" t="s">
        <v>398</v>
      </c>
      <c r="FUJ90">
        <v>1</v>
      </c>
      <c r="FUK90" t="s">
        <v>430</v>
      </c>
      <c r="FUL90" t="s">
        <v>431</v>
      </c>
      <c r="FUM90" t="s">
        <v>432</v>
      </c>
      <c r="FUO90" t="s">
        <v>429</v>
      </c>
      <c r="FUP90" t="s">
        <v>143</v>
      </c>
      <c r="FUQ90" t="s">
        <v>398</v>
      </c>
      <c r="FUR90">
        <v>1</v>
      </c>
      <c r="FUS90" t="s">
        <v>430</v>
      </c>
      <c r="FUT90" t="s">
        <v>431</v>
      </c>
      <c r="FUU90" t="s">
        <v>432</v>
      </c>
      <c r="FUW90" t="s">
        <v>429</v>
      </c>
      <c r="FUX90" t="s">
        <v>143</v>
      </c>
      <c r="FUY90" t="s">
        <v>398</v>
      </c>
      <c r="FUZ90">
        <v>1</v>
      </c>
      <c r="FVA90" t="s">
        <v>430</v>
      </c>
      <c r="FVB90" t="s">
        <v>431</v>
      </c>
      <c r="FVC90" t="s">
        <v>432</v>
      </c>
      <c r="FVE90" t="s">
        <v>429</v>
      </c>
      <c r="FVF90" t="s">
        <v>143</v>
      </c>
      <c r="FVG90" t="s">
        <v>398</v>
      </c>
      <c r="FVH90">
        <v>1</v>
      </c>
      <c r="FVI90" t="s">
        <v>430</v>
      </c>
      <c r="FVJ90" t="s">
        <v>431</v>
      </c>
      <c r="FVK90" t="s">
        <v>432</v>
      </c>
      <c r="FVM90" t="s">
        <v>429</v>
      </c>
      <c r="FVN90" t="s">
        <v>143</v>
      </c>
      <c r="FVO90" t="s">
        <v>398</v>
      </c>
      <c r="FVP90">
        <v>1</v>
      </c>
      <c r="FVQ90" t="s">
        <v>430</v>
      </c>
      <c r="FVR90" t="s">
        <v>431</v>
      </c>
      <c r="FVS90" t="s">
        <v>432</v>
      </c>
      <c r="FVU90" t="s">
        <v>429</v>
      </c>
      <c r="FVV90" t="s">
        <v>143</v>
      </c>
      <c r="FVW90" t="s">
        <v>398</v>
      </c>
      <c r="FVX90">
        <v>1</v>
      </c>
      <c r="FVY90" t="s">
        <v>430</v>
      </c>
      <c r="FVZ90" t="s">
        <v>431</v>
      </c>
      <c r="FWA90" t="s">
        <v>432</v>
      </c>
      <c r="FWC90" t="s">
        <v>429</v>
      </c>
      <c r="FWD90" t="s">
        <v>143</v>
      </c>
      <c r="FWE90" t="s">
        <v>398</v>
      </c>
      <c r="FWF90">
        <v>1</v>
      </c>
      <c r="FWG90" t="s">
        <v>430</v>
      </c>
      <c r="FWH90" t="s">
        <v>431</v>
      </c>
      <c r="FWI90" t="s">
        <v>432</v>
      </c>
      <c r="FWK90" t="s">
        <v>429</v>
      </c>
      <c r="FWL90" t="s">
        <v>143</v>
      </c>
      <c r="FWM90" t="s">
        <v>398</v>
      </c>
      <c r="FWN90">
        <v>1</v>
      </c>
      <c r="FWO90" t="s">
        <v>430</v>
      </c>
      <c r="FWP90" t="s">
        <v>431</v>
      </c>
      <c r="FWQ90" t="s">
        <v>432</v>
      </c>
      <c r="FWS90" t="s">
        <v>429</v>
      </c>
      <c r="FWT90" t="s">
        <v>143</v>
      </c>
      <c r="FWU90" t="s">
        <v>398</v>
      </c>
      <c r="FWV90">
        <v>1</v>
      </c>
      <c r="FWW90" t="s">
        <v>430</v>
      </c>
      <c r="FWX90" t="s">
        <v>431</v>
      </c>
      <c r="FWY90" t="s">
        <v>432</v>
      </c>
      <c r="FXA90" t="s">
        <v>429</v>
      </c>
      <c r="FXB90" t="s">
        <v>143</v>
      </c>
      <c r="FXC90" t="s">
        <v>398</v>
      </c>
      <c r="FXD90">
        <v>1</v>
      </c>
      <c r="FXE90" t="s">
        <v>430</v>
      </c>
      <c r="FXF90" t="s">
        <v>431</v>
      </c>
      <c r="FXG90" t="s">
        <v>432</v>
      </c>
      <c r="FXI90" t="s">
        <v>429</v>
      </c>
      <c r="FXJ90" t="s">
        <v>143</v>
      </c>
      <c r="FXK90" t="s">
        <v>398</v>
      </c>
      <c r="FXL90">
        <v>1</v>
      </c>
      <c r="FXM90" t="s">
        <v>430</v>
      </c>
      <c r="FXN90" t="s">
        <v>431</v>
      </c>
      <c r="FXO90" t="s">
        <v>432</v>
      </c>
      <c r="FXQ90" t="s">
        <v>429</v>
      </c>
      <c r="FXR90" t="s">
        <v>143</v>
      </c>
      <c r="FXS90" t="s">
        <v>398</v>
      </c>
      <c r="FXT90">
        <v>1</v>
      </c>
      <c r="FXU90" t="s">
        <v>430</v>
      </c>
      <c r="FXV90" t="s">
        <v>431</v>
      </c>
      <c r="FXW90" t="s">
        <v>432</v>
      </c>
      <c r="FXY90" t="s">
        <v>429</v>
      </c>
      <c r="FXZ90" t="s">
        <v>143</v>
      </c>
      <c r="FYA90" t="s">
        <v>398</v>
      </c>
      <c r="FYB90">
        <v>1</v>
      </c>
      <c r="FYC90" t="s">
        <v>430</v>
      </c>
      <c r="FYD90" t="s">
        <v>431</v>
      </c>
      <c r="FYE90" t="s">
        <v>432</v>
      </c>
      <c r="FYG90" t="s">
        <v>429</v>
      </c>
      <c r="FYH90" t="s">
        <v>143</v>
      </c>
      <c r="FYI90" t="s">
        <v>398</v>
      </c>
      <c r="FYJ90">
        <v>1</v>
      </c>
      <c r="FYK90" t="s">
        <v>430</v>
      </c>
      <c r="FYL90" t="s">
        <v>431</v>
      </c>
      <c r="FYM90" t="s">
        <v>432</v>
      </c>
      <c r="FYO90" t="s">
        <v>429</v>
      </c>
      <c r="FYP90" t="s">
        <v>143</v>
      </c>
      <c r="FYQ90" t="s">
        <v>398</v>
      </c>
      <c r="FYR90">
        <v>1</v>
      </c>
      <c r="FYS90" t="s">
        <v>430</v>
      </c>
      <c r="FYT90" t="s">
        <v>431</v>
      </c>
      <c r="FYU90" t="s">
        <v>432</v>
      </c>
      <c r="FYW90" t="s">
        <v>429</v>
      </c>
      <c r="FYX90" t="s">
        <v>143</v>
      </c>
      <c r="FYY90" t="s">
        <v>398</v>
      </c>
      <c r="FYZ90">
        <v>1</v>
      </c>
      <c r="FZA90" t="s">
        <v>430</v>
      </c>
      <c r="FZB90" t="s">
        <v>431</v>
      </c>
      <c r="FZC90" t="s">
        <v>432</v>
      </c>
      <c r="FZE90" t="s">
        <v>429</v>
      </c>
      <c r="FZF90" t="s">
        <v>143</v>
      </c>
      <c r="FZG90" t="s">
        <v>398</v>
      </c>
      <c r="FZH90">
        <v>1</v>
      </c>
      <c r="FZI90" t="s">
        <v>430</v>
      </c>
      <c r="FZJ90" t="s">
        <v>431</v>
      </c>
      <c r="FZK90" t="s">
        <v>432</v>
      </c>
      <c r="FZM90" t="s">
        <v>429</v>
      </c>
      <c r="FZN90" t="s">
        <v>143</v>
      </c>
      <c r="FZO90" t="s">
        <v>398</v>
      </c>
      <c r="FZP90">
        <v>1</v>
      </c>
      <c r="FZQ90" t="s">
        <v>430</v>
      </c>
      <c r="FZR90" t="s">
        <v>431</v>
      </c>
      <c r="FZS90" t="s">
        <v>432</v>
      </c>
      <c r="FZU90" t="s">
        <v>429</v>
      </c>
      <c r="FZV90" t="s">
        <v>143</v>
      </c>
      <c r="FZW90" t="s">
        <v>398</v>
      </c>
      <c r="FZX90">
        <v>1</v>
      </c>
      <c r="FZY90" t="s">
        <v>430</v>
      </c>
      <c r="FZZ90" t="s">
        <v>431</v>
      </c>
      <c r="GAA90" t="s">
        <v>432</v>
      </c>
      <c r="GAC90" t="s">
        <v>429</v>
      </c>
      <c r="GAD90" t="s">
        <v>143</v>
      </c>
      <c r="GAE90" t="s">
        <v>398</v>
      </c>
      <c r="GAF90">
        <v>1</v>
      </c>
      <c r="GAG90" t="s">
        <v>430</v>
      </c>
      <c r="GAH90" t="s">
        <v>431</v>
      </c>
      <c r="GAI90" t="s">
        <v>432</v>
      </c>
      <c r="GAK90" t="s">
        <v>429</v>
      </c>
      <c r="GAL90" t="s">
        <v>143</v>
      </c>
      <c r="GAM90" t="s">
        <v>398</v>
      </c>
      <c r="GAN90">
        <v>1</v>
      </c>
      <c r="GAO90" t="s">
        <v>430</v>
      </c>
      <c r="GAP90" t="s">
        <v>431</v>
      </c>
      <c r="GAQ90" t="s">
        <v>432</v>
      </c>
      <c r="GAS90" t="s">
        <v>429</v>
      </c>
      <c r="GAT90" t="s">
        <v>143</v>
      </c>
      <c r="GAU90" t="s">
        <v>398</v>
      </c>
      <c r="GAV90">
        <v>1</v>
      </c>
      <c r="GAW90" t="s">
        <v>430</v>
      </c>
      <c r="GAX90" t="s">
        <v>431</v>
      </c>
      <c r="GAY90" t="s">
        <v>432</v>
      </c>
      <c r="GBA90" t="s">
        <v>429</v>
      </c>
      <c r="GBB90" t="s">
        <v>143</v>
      </c>
      <c r="GBC90" t="s">
        <v>398</v>
      </c>
      <c r="GBD90">
        <v>1</v>
      </c>
      <c r="GBE90" t="s">
        <v>430</v>
      </c>
      <c r="GBF90" t="s">
        <v>431</v>
      </c>
      <c r="GBG90" t="s">
        <v>432</v>
      </c>
      <c r="GBI90" t="s">
        <v>429</v>
      </c>
      <c r="GBJ90" t="s">
        <v>143</v>
      </c>
      <c r="GBK90" t="s">
        <v>398</v>
      </c>
      <c r="GBL90">
        <v>1</v>
      </c>
      <c r="GBM90" t="s">
        <v>430</v>
      </c>
      <c r="GBN90" t="s">
        <v>431</v>
      </c>
      <c r="GBO90" t="s">
        <v>432</v>
      </c>
      <c r="GBQ90" t="s">
        <v>429</v>
      </c>
      <c r="GBR90" t="s">
        <v>143</v>
      </c>
      <c r="GBS90" t="s">
        <v>398</v>
      </c>
      <c r="GBT90">
        <v>1</v>
      </c>
      <c r="GBU90" t="s">
        <v>430</v>
      </c>
      <c r="GBV90" t="s">
        <v>431</v>
      </c>
      <c r="GBW90" t="s">
        <v>432</v>
      </c>
      <c r="GBY90" t="s">
        <v>429</v>
      </c>
      <c r="GBZ90" t="s">
        <v>143</v>
      </c>
      <c r="GCA90" t="s">
        <v>398</v>
      </c>
      <c r="GCB90">
        <v>1</v>
      </c>
      <c r="GCC90" t="s">
        <v>430</v>
      </c>
      <c r="GCD90" t="s">
        <v>431</v>
      </c>
      <c r="GCE90" t="s">
        <v>432</v>
      </c>
      <c r="GCG90" t="s">
        <v>429</v>
      </c>
      <c r="GCH90" t="s">
        <v>143</v>
      </c>
      <c r="GCI90" t="s">
        <v>398</v>
      </c>
      <c r="GCJ90">
        <v>1</v>
      </c>
      <c r="GCK90" t="s">
        <v>430</v>
      </c>
      <c r="GCL90" t="s">
        <v>431</v>
      </c>
      <c r="GCM90" t="s">
        <v>432</v>
      </c>
      <c r="GCO90" t="s">
        <v>429</v>
      </c>
      <c r="GCP90" t="s">
        <v>143</v>
      </c>
      <c r="GCQ90" t="s">
        <v>398</v>
      </c>
      <c r="GCR90">
        <v>1</v>
      </c>
      <c r="GCS90" t="s">
        <v>430</v>
      </c>
      <c r="GCT90" t="s">
        <v>431</v>
      </c>
      <c r="GCU90" t="s">
        <v>432</v>
      </c>
      <c r="GCW90" t="s">
        <v>429</v>
      </c>
      <c r="GCX90" t="s">
        <v>143</v>
      </c>
      <c r="GCY90" t="s">
        <v>398</v>
      </c>
      <c r="GCZ90">
        <v>1</v>
      </c>
      <c r="GDA90" t="s">
        <v>430</v>
      </c>
      <c r="GDB90" t="s">
        <v>431</v>
      </c>
      <c r="GDC90" t="s">
        <v>432</v>
      </c>
      <c r="GDE90" t="s">
        <v>429</v>
      </c>
      <c r="GDF90" t="s">
        <v>143</v>
      </c>
      <c r="GDG90" t="s">
        <v>398</v>
      </c>
      <c r="GDH90">
        <v>1</v>
      </c>
      <c r="GDI90" t="s">
        <v>430</v>
      </c>
      <c r="GDJ90" t="s">
        <v>431</v>
      </c>
      <c r="GDK90" t="s">
        <v>432</v>
      </c>
      <c r="GDM90" t="s">
        <v>429</v>
      </c>
      <c r="GDN90" t="s">
        <v>143</v>
      </c>
      <c r="GDO90" t="s">
        <v>398</v>
      </c>
      <c r="GDP90">
        <v>1</v>
      </c>
      <c r="GDQ90" t="s">
        <v>430</v>
      </c>
      <c r="GDR90" t="s">
        <v>431</v>
      </c>
      <c r="GDS90" t="s">
        <v>432</v>
      </c>
      <c r="GDU90" t="s">
        <v>429</v>
      </c>
      <c r="GDV90" t="s">
        <v>143</v>
      </c>
      <c r="GDW90" t="s">
        <v>398</v>
      </c>
      <c r="GDX90">
        <v>1</v>
      </c>
      <c r="GDY90" t="s">
        <v>430</v>
      </c>
      <c r="GDZ90" t="s">
        <v>431</v>
      </c>
      <c r="GEA90" t="s">
        <v>432</v>
      </c>
      <c r="GEC90" t="s">
        <v>429</v>
      </c>
      <c r="GED90" t="s">
        <v>143</v>
      </c>
      <c r="GEE90" t="s">
        <v>398</v>
      </c>
      <c r="GEF90">
        <v>1</v>
      </c>
      <c r="GEG90" t="s">
        <v>430</v>
      </c>
      <c r="GEH90" t="s">
        <v>431</v>
      </c>
      <c r="GEI90" t="s">
        <v>432</v>
      </c>
      <c r="GEK90" t="s">
        <v>429</v>
      </c>
      <c r="GEL90" t="s">
        <v>143</v>
      </c>
      <c r="GEM90" t="s">
        <v>398</v>
      </c>
      <c r="GEN90">
        <v>1</v>
      </c>
      <c r="GEO90" t="s">
        <v>430</v>
      </c>
      <c r="GEP90" t="s">
        <v>431</v>
      </c>
      <c r="GEQ90" t="s">
        <v>432</v>
      </c>
      <c r="GES90" t="s">
        <v>429</v>
      </c>
      <c r="GET90" t="s">
        <v>143</v>
      </c>
      <c r="GEU90" t="s">
        <v>398</v>
      </c>
      <c r="GEV90">
        <v>1</v>
      </c>
      <c r="GEW90" t="s">
        <v>430</v>
      </c>
      <c r="GEX90" t="s">
        <v>431</v>
      </c>
      <c r="GEY90" t="s">
        <v>432</v>
      </c>
      <c r="GFA90" t="s">
        <v>429</v>
      </c>
      <c r="GFB90" t="s">
        <v>143</v>
      </c>
      <c r="GFC90" t="s">
        <v>398</v>
      </c>
      <c r="GFD90">
        <v>1</v>
      </c>
      <c r="GFE90" t="s">
        <v>430</v>
      </c>
      <c r="GFF90" t="s">
        <v>431</v>
      </c>
      <c r="GFG90" t="s">
        <v>432</v>
      </c>
      <c r="GFI90" t="s">
        <v>429</v>
      </c>
      <c r="GFJ90" t="s">
        <v>143</v>
      </c>
      <c r="GFK90" t="s">
        <v>398</v>
      </c>
      <c r="GFL90">
        <v>1</v>
      </c>
      <c r="GFM90" t="s">
        <v>430</v>
      </c>
      <c r="GFN90" t="s">
        <v>431</v>
      </c>
      <c r="GFO90" t="s">
        <v>432</v>
      </c>
      <c r="GFQ90" t="s">
        <v>429</v>
      </c>
      <c r="GFR90" t="s">
        <v>143</v>
      </c>
      <c r="GFS90" t="s">
        <v>398</v>
      </c>
      <c r="GFT90">
        <v>1</v>
      </c>
      <c r="GFU90" t="s">
        <v>430</v>
      </c>
      <c r="GFV90" t="s">
        <v>431</v>
      </c>
      <c r="GFW90" t="s">
        <v>432</v>
      </c>
      <c r="GFY90" t="s">
        <v>429</v>
      </c>
      <c r="GFZ90" t="s">
        <v>143</v>
      </c>
      <c r="GGA90" t="s">
        <v>398</v>
      </c>
      <c r="GGB90">
        <v>1</v>
      </c>
      <c r="GGC90" t="s">
        <v>430</v>
      </c>
      <c r="GGD90" t="s">
        <v>431</v>
      </c>
      <c r="GGE90" t="s">
        <v>432</v>
      </c>
      <c r="GGG90" t="s">
        <v>429</v>
      </c>
      <c r="GGH90" t="s">
        <v>143</v>
      </c>
      <c r="GGI90" t="s">
        <v>398</v>
      </c>
      <c r="GGJ90">
        <v>1</v>
      </c>
      <c r="GGK90" t="s">
        <v>430</v>
      </c>
      <c r="GGL90" t="s">
        <v>431</v>
      </c>
      <c r="GGM90" t="s">
        <v>432</v>
      </c>
      <c r="GGO90" t="s">
        <v>429</v>
      </c>
      <c r="GGP90" t="s">
        <v>143</v>
      </c>
      <c r="GGQ90" t="s">
        <v>398</v>
      </c>
      <c r="GGR90">
        <v>1</v>
      </c>
      <c r="GGS90" t="s">
        <v>430</v>
      </c>
      <c r="GGT90" t="s">
        <v>431</v>
      </c>
      <c r="GGU90" t="s">
        <v>432</v>
      </c>
      <c r="GGW90" t="s">
        <v>429</v>
      </c>
      <c r="GGX90" t="s">
        <v>143</v>
      </c>
      <c r="GGY90" t="s">
        <v>398</v>
      </c>
      <c r="GGZ90">
        <v>1</v>
      </c>
      <c r="GHA90" t="s">
        <v>430</v>
      </c>
      <c r="GHB90" t="s">
        <v>431</v>
      </c>
      <c r="GHC90" t="s">
        <v>432</v>
      </c>
      <c r="GHE90" t="s">
        <v>429</v>
      </c>
      <c r="GHF90" t="s">
        <v>143</v>
      </c>
      <c r="GHG90" t="s">
        <v>398</v>
      </c>
      <c r="GHH90">
        <v>1</v>
      </c>
      <c r="GHI90" t="s">
        <v>430</v>
      </c>
      <c r="GHJ90" t="s">
        <v>431</v>
      </c>
      <c r="GHK90" t="s">
        <v>432</v>
      </c>
      <c r="GHM90" t="s">
        <v>429</v>
      </c>
      <c r="GHN90" t="s">
        <v>143</v>
      </c>
      <c r="GHO90" t="s">
        <v>398</v>
      </c>
      <c r="GHP90">
        <v>1</v>
      </c>
      <c r="GHQ90" t="s">
        <v>430</v>
      </c>
      <c r="GHR90" t="s">
        <v>431</v>
      </c>
      <c r="GHS90" t="s">
        <v>432</v>
      </c>
      <c r="GHU90" t="s">
        <v>429</v>
      </c>
      <c r="GHV90" t="s">
        <v>143</v>
      </c>
      <c r="GHW90" t="s">
        <v>398</v>
      </c>
      <c r="GHX90">
        <v>1</v>
      </c>
      <c r="GHY90" t="s">
        <v>430</v>
      </c>
      <c r="GHZ90" t="s">
        <v>431</v>
      </c>
      <c r="GIA90" t="s">
        <v>432</v>
      </c>
      <c r="GIC90" t="s">
        <v>429</v>
      </c>
      <c r="GID90" t="s">
        <v>143</v>
      </c>
      <c r="GIE90" t="s">
        <v>398</v>
      </c>
      <c r="GIF90">
        <v>1</v>
      </c>
      <c r="GIG90" t="s">
        <v>430</v>
      </c>
      <c r="GIH90" t="s">
        <v>431</v>
      </c>
      <c r="GII90" t="s">
        <v>432</v>
      </c>
      <c r="GIK90" t="s">
        <v>429</v>
      </c>
      <c r="GIL90" t="s">
        <v>143</v>
      </c>
      <c r="GIM90" t="s">
        <v>398</v>
      </c>
      <c r="GIN90">
        <v>1</v>
      </c>
      <c r="GIO90" t="s">
        <v>430</v>
      </c>
      <c r="GIP90" t="s">
        <v>431</v>
      </c>
      <c r="GIQ90" t="s">
        <v>432</v>
      </c>
      <c r="GIS90" t="s">
        <v>429</v>
      </c>
      <c r="GIT90" t="s">
        <v>143</v>
      </c>
      <c r="GIU90" t="s">
        <v>398</v>
      </c>
      <c r="GIV90">
        <v>1</v>
      </c>
      <c r="GIW90" t="s">
        <v>430</v>
      </c>
      <c r="GIX90" t="s">
        <v>431</v>
      </c>
      <c r="GIY90" t="s">
        <v>432</v>
      </c>
      <c r="GJA90" t="s">
        <v>429</v>
      </c>
      <c r="GJB90" t="s">
        <v>143</v>
      </c>
      <c r="GJC90" t="s">
        <v>398</v>
      </c>
      <c r="GJD90">
        <v>1</v>
      </c>
      <c r="GJE90" t="s">
        <v>430</v>
      </c>
      <c r="GJF90" t="s">
        <v>431</v>
      </c>
      <c r="GJG90" t="s">
        <v>432</v>
      </c>
      <c r="GJI90" t="s">
        <v>429</v>
      </c>
      <c r="GJJ90" t="s">
        <v>143</v>
      </c>
      <c r="GJK90" t="s">
        <v>398</v>
      </c>
      <c r="GJL90">
        <v>1</v>
      </c>
      <c r="GJM90" t="s">
        <v>430</v>
      </c>
      <c r="GJN90" t="s">
        <v>431</v>
      </c>
      <c r="GJO90" t="s">
        <v>432</v>
      </c>
      <c r="GJQ90" t="s">
        <v>429</v>
      </c>
      <c r="GJR90" t="s">
        <v>143</v>
      </c>
      <c r="GJS90" t="s">
        <v>398</v>
      </c>
      <c r="GJT90">
        <v>1</v>
      </c>
      <c r="GJU90" t="s">
        <v>430</v>
      </c>
      <c r="GJV90" t="s">
        <v>431</v>
      </c>
      <c r="GJW90" t="s">
        <v>432</v>
      </c>
      <c r="GJY90" t="s">
        <v>429</v>
      </c>
      <c r="GJZ90" t="s">
        <v>143</v>
      </c>
      <c r="GKA90" t="s">
        <v>398</v>
      </c>
      <c r="GKB90">
        <v>1</v>
      </c>
      <c r="GKC90" t="s">
        <v>430</v>
      </c>
      <c r="GKD90" t="s">
        <v>431</v>
      </c>
      <c r="GKE90" t="s">
        <v>432</v>
      </c>
      <c r="GKG90" t="s">
        <v>429</v>
      </c>
      <c r="GKH90" t="s">
        <v>143</v>
      </c>
      <c r="GKI90" t="s">
        <v>398</v>
      </c>
      <c r="GKJ90">
        <v>1</v>
      </c>
      <c r="GKK90" t="s">
        <v>430</v>
      </c>
      <c r="GKL90" t="s">
        <v>431</v>
      </c>
      <c r="GKM90" t="s">
        <v>432</v>
      </c>
      <c r="GKO90" t="s">
        <v>429</v>
      </c>
      <c r="GKP90" t="s">
        <v>143</v>
      </c>
      <c r="GKQ90" t="s">
        <v>398</v>
      </c>
      <c r="GKR90">
        <v>1</v>
      </c>
      <c r="GKS90" t="s">
        <v>430</v>
      </c>
      <c r="GKT90" t="s">
        <v>431</v>
      </c>
      <c r="GKU90" t="s">
        <v>432</v>
      </c>
      <c r="GKW90" t="s">
        <v>429</v>
      </c>
      <c r="GKX90" t="s">
        <v>143</v>
      </c>
      <c r="GKY90" t="s">
        <v>398</v>
      </c>
      <c r="GKZ90">
        <v>1</v>
      </c>
      <c r="GLA90" t="s">
        <v>430</v>
      </c>
      <c r="GLB90" t="s">
        <v>431</v>
      </c>
      <c r="GLC90" t="s">
        <v>432</v>
      </c>
      <c r="GLE90" t="s">
        <v>429</v>
      </c>
      <c r="GLF90" t="s">
        <v>143</v>
      </c>
      <c r="GLG90" t="s">
        <v>398</v>
      </c>
      <c r="GLH90">
        <v>1</v>
      </c>
      <c r="GLI90" t="s">
        <v>430</v>
      </c>
      <c r="GLJ90" t="s">
        <v>431</v>
      </c>
      <c r="GLK90" t="s">
        <v>432</v>
      </c>
      <c r="GLM90" t="s">
        <v>429</v>
      </c>
      <c r="GLN90" t="s">
        <v>143</v>
      </c>
      <c r="GLO90" t="s">
        <v>398</v>
      </c>
      <c r="GLP90">
        <v>1</v>
      </c>
      <c r="GLQ90" t="s">
        <v>430</v>
      </c>
      <c r="GLR90" t="s">
        <v>431</v>
      </c>
      <c r="GLS90" t="s">
        <v>432</v>
      </c>
      <c r="GLU90" t="s">
        <v>429</v>
      </c>
      <c r="GLV90" t="s">
        <v>143</v>
      </c>
      <c r="GLW90" t="s">
        <v>398</v>
      </c>
      <c r="GLX90">
        <v>1</v>
      </c>
      <c r="GLY90" t="s">
        <v>430</v>
      </c>
      <c r="GLZ90" t="s">
        <v>431</v>
      </c>
      <c r="GMA90" t="s">
        <v>432</v>
      </c>
      <c r="GMC90" t="s">
        <v>429</v>
      </c>
      <c r="GMD90" t="s">
        <v>143</v>
      </c>
      <c r="GME90" t="s">
        <v>398</v>
      </c>
      <c r="GMF90">
        <v>1</v>
      </c>
      <c r="GMG90" t="s">
        <v>430</v>
      </c>
      <c r="GMH90" t="s">
        <v>431</v>
      </c>
      <c r="GMI90" t="s">
        <v>432</v>
      </c>
      <c r="GMK90" t="s">
        <v>429</v>
      </c>
      <c r="GML90" t="s">
        <v>143</v>
      </c>
      <c r="GMM90" t="s">
        <v>398</v>
      </c>
      <c r="GMN90">
        <v>1</v>
      </c>
      <c r="GMO90" t="s">
        <v>430</v>
      </c>
      <c r="GMP90" t="s">
        <v>431</v>
      </c>
      <c r="GMQ90" t="s">
        <v>432</v>
      </c>
      <c r="GMS90" t="s">
        <v>429</v>
      </c>
      <c r="GMT90" t="s">
        <v>143</v>
      </c>
      <c r="GMU90" t="s">
        <v>398</v>
      </c>
      <c r="GMV90">
        <v>1</v>
      </c>
      <c r="GMW90" t="s">
        <v>430</v>
      </c>
      <c r="GMX90" t="s">
        <v>431</v>
      </c>
      <c r="GMY90" t="s">
        <v>432</v>
      </c>
      <c r="GNA90" t="s">
        <v>429</v>
      </c>
      <c r="GNB90" t="s">
        <v>143</v>
      </c>
      <c r="GNC90" t="s">
        <v>398</v>
      </c>
      <c r="GND90">
        <v>1</v>
      </c>
      <c r="GNE90" t="s">
        <v>430</v>
      </c>
      <c r="GNF90" t="s">
        <v>431</v>
      </c>
      <c r="GNG90" t="s">
        <v>432</v>
      </c>
      <c r="GNI90" t="s">
        <v>429</v>
      </c>
      <c r="GNJ90" t="s">
        <v>143</v>
      </c>
      <c r="GNK90" t="s">
        <v>398</v>
      </c>
      <c r="GNL90">
        <v>1</v>
      </c>
      <c r="GNM90" t="s">
        <v>430</v>
      </c>
      <c r="GNN90" t="s">
        <v>431</v>
      </c>
      <c r="GNO90" t="s">
        <v>432</v>
      </c>
      <c r="GNQ90" t="s">
        <v>429</v>
      </c>
      <c r="GNR90" t="s">
        <v>143</v>
      </c>
      <c r="GNS90" t="s">
        <v>398</v>
      </c>
      <c r="GNT90">
        <v>1</v>
      </c>
      <c r="GNU90" t="s">
        <v>430</v>
      </c>
      <c r="GNV90" t="s">
        <v>431</v>
      </c>
      <c r="GNW90" t="s">
        <v>432</v>
      </c>
      <c r="GNY90" t="s">
        <v>429</v>
      </c>
      <c r="GNZ90" t="s">
        <v>143</v>
      </c>
      <c r="GOA90" t="s">
        <v>398</v>
      </c>
      <c r="GOB90">
        <v>1</v>
      </c>
      <c r="GOC90" t="s">
        <v>430</v>
      </c>
      <c r="GOD90" t="s">
        <v>431</v>
      </c>
      <c r="GOE90" t="s">
        <v>432</v>
      </c>
      <c r="GOG90" t="s">
        <v>429</v>
      </c>
      <c r="GOH90" t="s">
        <v>143</v>
      </c>
      <c r="GOI90" t="s">
        <v>398</v>
      </c>
      <c r="GOJ90">
        <v>1</v>
      </c>
      <c r="GOK90" t="s">
        <v>430</v>
      </c>
      <c r="GOL90" t="s">
        <v>431</v>
      </c>
      <c r="GOM90" t="s">
        <v>432</v>
      </c>
      <c r="GOO90" t="s">
        <v>429</v>
      </c>
      <c r="GOP90" t="s">
        <v>143</v>
      </c>
      <c r="GOQ90" t="s">
        <v>398</v>
      </c>
      <c r="GOR90">
        <v>1</v>
      </c>
      <c r="GOS90" t="s">
        <v>430</v>
      </c>
      <c r="GOT90" t="s">
        <v>431</v>
      </c>
      <c r="GOU90" t="s">
        <v>432</v>
      </c>
      <c r="GOW90" t="s">
        <v>429</v>
      </c>
      <c r="GOX90" t="s">
        <v>143</v>
      </c>
      <c r="GOY90" t="s">
        <v>398</v>
      </c>
      <c r="GOZ90">
        <v>1</v>
      </c>
      <c r="GPA90" t="s">
        <v>430</v>
      </c>
      <c r="GPB90" t="s">
        <v>431</v>
      </c>
      <c r="GPC90" t="s">
        <v>432</v>
      </c>
      <c r="GPE90" t="s">
        <v>429</v>
      </c>
      <c r="GPF90" t="s">
        <v>143</v>
      </c>
      <c r="GPG90" t="s">
        <v>398</v>
      </c>
      <c r="GPH90">
        <v>1</v>
      </c>
      <c r="GPI90" t="s">
        <v>430</v>
      </c>
      <c r="GPJ90" t="s">
        <v>431</v>
      </c>
      <c r="GPK90" t="s">
        <v>432</v>
      </c>
      <c r="GPM90" t="s">
        <v>429</v>
      </c>
      <c r="GPN90" t="s">
        <v>143</v>
      </c>
      <c r="GPO90" t="s">
        <v>398</v>
      </c>
      <c r="GPP90">
        <v>1</v>
      </c>
      <c r="GPQ90" t="s">
        <v>430</v>
      </c>
      <c r="GPR90" t="s">
        <v>431</v>
      </c>
      <c r="GPS90" t="s">
        <v>432</v>
      </c>
      <c r="GPU90" t="s">
        <v>429</v>
      </c>
      <c r="GPV90" t="s">
        <v>143</v>
      </c>
      <c r="GPW90" t="s">
        <v>398</v>
      </c>
      <c r="GPX90">
        <v>1</v>
      </c>
      <c r="GPY90" t="s">
        <v>430</v>
      </c>
      <c r="GPZ90" t="s">
        <v>431</v>
      </c>
      <c r="GQA90" t="s">
        <v>432</v>
      </c>
      <c r="GQC90" t="s">
        <v>429</v>
      </c>
      <c r="GQD90" t="s">
        <v>143</v>
      </c>
      <c r="GQE90" t="s">
        <v>398</v>
      </c>
      <c r="GQF90">
        <v>1</v>
      </c>
      <c r="GQG90" t="s">
        <v>430</v>
      </c>
      <c r="GQH90" t="s">
        <v>431</v>
      </c>
      <c r="GQI90" t="s">
        <v>432</v>
      </c>
      <c r="GQK90" t="s">
        <v>429</v>
      </c>
      <c r="GQL90" t="s">
        <v>143</v>
      </c>
      <c r="GQM90" t="s">
        <v>398</v>
      </c>
      <c r="GQN90">
        <v>1</v>
      </c>
      <c r="GQO90" t="s">
        <v>430</v>
      </c>
      <c r="GQP90" t="s">
        <v>431</v>
      </c>
      <c r="GQQ90" t="s">
        <v>432</v>
      </c>
      <c r="GQS90" t="s">
        <v>429</v>
      </c>
      <c r="GQT90" t="s">
        <v>143</v>
      </c>
      <c r="GQU90" t="s">
        <v>398</v>
      </c>
      <c r="GQV90">
        <v>1</v>
      </c>
      <c r="GQW90" t="s">
        <v>430</v>
      </c>
      <c r="GQX90" t="s">
        <v>431</v>
      </c>
      <c r="GQY90" t="s">
        <v>432</v>
      </c>
      <c r="GRA90" t="s">
        <v>429</v>
      </c>
      <c r="GRB90" t="s">
        <v>143</v>
      </c>
      <c r="GRC90" t="s">
        <v>398</v>
      </c>
      <c r="GRD90">
        <v>1</v>
      </c>
      <c r="GRE90" t="s">
        <v>430</v>
      </c>
      <c r="GRF90" t="s">
        <v>431</v>
      </c>
      <c r="GRG90" t="s">
        <v>432</v>
      </c>
      <c r="GRI90" t="s">
        <v>429</v>
      </c>
      <c r="GRJ90" t="s">
        <v>143</v>
      </c>
      <c r="GRK90" t="s">
        <v>398</v>
      </c>
      <c r="GRL90">
        <v>1</v>
      </c>
      <c r="GRM90" t="s">
        <v>430</v>
      </c>
      <c r="GRN90" t="s">
        <v>431</v>
      </c>
      <c r="GRO90" t="s">
        <v>432</v>
      </c>
      <c r="GRQ90" t="s">
        <v>429</v>
      </c>
      <c r="GRR90" t="s">
        <v>143</v>
      </c>
      <c r="GRS90" t="s">
        <v>398</v>
      </c>
      <c r="GRT90">
        <v>1</v>
      </c>
      <c r="GRU90" t="s">
        <v>430</v>
      </c>
      <c r="GRV90" t="s">
        <v>431</v>
      </c>
      <c r="GRW90" t="s">
        <v>432</v>
      </c>
      <c r="GRY90" t="s">
        <v>429</v>
      </c>
      <c r="GRZ90" t="s">
        <v>143</v>
      </c>
      <c r="GSA90" t="s">
        <v>398</v>
      </c>
      <c r="GSB90">
        <v>1</v>
      </c>
      <c r="GSC90" t="s">
        <v>430</v>
      </c>
      <c r="GSD90" t="s">
        <v>431</v>
      </c>
      <c r="GSE90" t="s">
        <v>432</v>
      </c>
      <c r="GSG90" t="s">
        <v>429</v>
      </c>
      <c r="GSH90" t="s">
        <v>143</v>
      </c>
      <c r="GSI90" t="s">
        <v>398</v>
      </c>
      <c r="GSJ90">
        <v>1</v>
      </c>
      <c r="GSK90" t="s">
        <v>430</v>
      </c>
      <c r="GSL90" t="s">
        <v>431</v>
      </c>
      <c r="GSM90" t="s">
        <v>432</v>
      </c>
      <c r="GSO90" t="s">
        <v>429</v>
      </c>
      <c r="GSP90" t="s">
        <v>143</v>
      </c>
      <c r="GSQ90" t="s">
        <v>398</v>
      </c>
      <c r="GSR90">
        <v>1</v>
      </c>
      <c r="GSS90" t="s">
        <v>430</v>
      </c>
      <c r="GST90" t="s">
        <v>431</v>
      </c>
      <c r="GSU90" t="s">
        <v>432</v>
      </c>
      <c r="GSW90" t="s">
        <v>429</v>
      </c>
      <c r="GSX90" t="s">
        <v>143</v>
      </c>
      <c r="GSY90" t="s">
        <v>398</v>
      </c>
      <c r="GSZ90">
        <v>1</v>
      </c>
      <c r="GTA90" t="s">
        <v>430</v>
      </c>
      <c r="GTB90" t="s">
        <v>431</v>
      </c>
      <c r="GTC90" t="s">
        <v>432</v>
      </c>
      <c r="GTE90" t="s">
        <v>429</v>
      </c>
      <c r="GTF90" t="s">
        <v>143</v>
      </c>
      <c r="GTG90" t="s">
        <v>398</v>
      </c>
      <c r="GTH90">
        <v>1</v>
      </c>
      <c r="GTI90" t="s">
        <v>430</v>
      </c>
      <c r="GTJ90" t="s">
        <v>431</v>
      </c>
      <c r="GTK90" t="s">
        <v>432</v>
      </c>
      <c r="GTM90" t="s">
        <v>429</v>
      </c>
      <c r="GTN90" t="s">
        <v>143</v>
      </c>
      <c r="GTO90" t="s">
        <v>398</v>
      </c>
      <c r="GTP90">
        <v>1</v>
      </c>
      <c r="GTQ90" t="s">
        <v>430</v>
      </c>
      <c r="GTR90" t="s">
        <v>431</v>
      </c>
      <c r="GTS90" t="s">
        <v>432</v>
      </c>
      <c r="GTU90" t="s">
        <v>429</v>
      </c>
      <c r="GTV90" t="s">
        <v>143</v>
      </c>
      <c r="GTW90" t="s">
        <v>398</v>
      </c>
      <c r="GTX90">
        <v>1</v>
      </c>
      <c r="GTY90" t="s">
        <v>430</v>
      </c>
      <c r="GTZ90" t="s">
        <v>431</v>
      </c>
      <c r="GUA90" t="s">
        <v>432</v>
      </c>
      <c r="GUC90" t="s">
        <v>429</v>
      </c>
      <c r="GUD90" t="s">
        <v>143</v>
      </c>
      <c r="GUE90" t="s">
        <v>398</v>
      </c>
      <c r="GUF90">
        <v>1</v>
      </c>
      <c r="GUG90" t="s">
        <v>430</v>
      </c>
      <c r="GUH90" t="s">
        <v>431</v>
      </c>
      <c r="GUI90" t="s">
        <v>432</v>
      </c>
      <c r="GUK90" t="s">
        <v>429</v>
      </c>
      <c r="GUL90" t="s">
        <v>143</v>
      </c>
      <c r="GUM90" t="s">
        <v>398</v>
      </c>
      <c r="GUN90">
        <v>1</v>
      </c>
      <c r="GUO90" t="s">
        <v>430</v>
      </c>
      <c r="GUP90" t="s">
        <v>431</v>
      </c>
      <c r="GUQ90" t="s">
        <v>432</v>
      </c>
      <c r="GUS90" t="s">
        <v>429</v>
      </c>
      <c r="GUT90" t="s">
        <v>143</v>
      </c>
      <c r="GUU90" t="s">
        <v>398</v>
      </c>
      <c r="GUV90">
        <v>1</v>
      </c>
      <c r="GUW90" t="s">
        <v>430</v>
      </c>
      <c r="GUX90" t="s">
        <v>431</v>
      </c>
      <c r="GUY90" t="s">
        <v>432</v>
      </c>
      <c r="GVA90" t="s">
        <v>429</v>
      </c>
      <c r="GVB90" t="s">
        <v>143</v>
      </c>
      <c r="GVC90" t="s">
        <v>398</v>
      </c>
      <c r="GVD90">
        <v>1</v>
      </c>
      <c r="GVE90" t="s">
        <v>430</v>
      </c>
      <c r="GVF90" t="s">
        <v>431</v>
      </c>
      <c r="GVG90" t="s">
        <v>432</v>
      </c>
      <c r="GVI90" t="s">
        <v>429</v>
      </c>
      <c r="GVJ90" t="s">
        <v>143</v>
      </c>
      <c r="GVK90" t="s">
        <v>398</v>
      </c>
      <c r="GVL90">
        <v>1</v>
      </c>
      <c r="GVM90" t="s">
        <v>430</v>
      </c>
      <c r="GVN90" t="s">
        <v>431</v>
      </c>
      <c r="GVO90" t="s">
        <v>432</v>
      </c>
      <c r="GVQ90" t="s">
        <v>429</v>
      </c>
      <c r="GVR90" t="s">
        <v>143</v>
      </c>
      <c r="GVS90" t="s">
        <v>398</v>
      </c>
      <c r="GVT90">
        <v>1</v>
      </c>
      <c r="GVU90" t="s">
        <v>430</v>
      </c>
      <c r="GVV90" t="s">
        <v>431</v>
      </c>
      <c r="GVW90" t="s">
        <v>432</v>
      </c>
      <c r="GVY90" t="s">
        <v>429</v>
      </c>
      <c r="GVZ90" t="s">
        <v>143</v>
      </c>
      <c r="GWA90" t="s">
        <v>398</v>
      </c>
      <c r="GWB90">
        <v>1</v>
      </c>
      <c r="GWC90" t="s">
        <v>430</v>
      </c>
      <c r="GWD90" t="s">
        <v>431</v>
      </c>
      <c r="GWE90" t="s">
        <v>432</v>
      </c>
      <c r="GWG90" t="s">
        <v>429</v>
      </c>
      <c r="GWH90" t="s">
        <v>143</v>
      </c>
      <c r="GWI90" t="s">
        <v>398</v>
      </c>
      <c r="GWJ90">
        <v>1</v>
      </c>
      <c r="GWK90" t="s">
        <v>430</v>
      </c>
      <c r="GWL90" t="s">
        <v>431</v>
      </c>
      <c r="GWM90" t="s">
        <v>432</v>
      </c>
      <c r="GWO90" t="s">
        <v>429</v>
      </c>
      <c r="GWP90" t="s">
        <v>143</v>
      </c>
      <c r="GWQ90" t="s">
        <v>398</v>
      </c>
      <c r="GWR90">
        <v>1</v>
      </c>
      <c r="GWS90" t="s">
        <v>430</v>
      </c>
      <c r="GWT90" t="s">
        <v>431</v>
      </c>
      <c r="GWU90" t="s">
        <v>432</v>
      </c>
      <c r="GWW90" t="s">
        <v>429</v>
      </c>
      <c r="GWX90" t="s">
        <v>143</v>
      </c>
      <c r="GWY90" t="s">
        <v>398</v>
      </c>
      <c r="GWZ90">
        <v>1</v>
      </c>
      <c r="GXA90" t="s">
        <v>430</v>
      </c>
      <c r="GXB90" t="s">
        <v>431</v>
      </c>
      <c r="GXC90" t="s">
        <v>432</v>
      </c>
      <c r="GXE90" t="s">
        <v>429</v>
      </c>
      <c r="GXF90" t="s">
        <v>143</v>
      </c>
      <c r="GXG90" t="s">
        <v>398</v>
      </c>
      <c r="GXH90">
        <v>1</v>
      </c>
      <c r="GXI90" t="s">
        <v>430</v>
      </c>
      <c r="GXJ90" t="s">
        <v>431</v>
      </c>
      <c r="GXK90" t="s">
        <v>432</v>
      </c>
      <c r="GXM90" t="s">
        <v>429</v>
      </c>
      <c r="GXN90" t="s">
        <v>143</v>
      </c>
      <c r="GXO90" t="s">
        <v>398</v>
      </c>
      <c r="GXP90">
        <v>1</v>
      </c>
      <c r="GXQ90" t="s">
        <v>430</v>
      </c>
      <c r="GXR90" t="s">
        <v>431</v>
      </c>
      <c r="GXS90" t="s">
        <v>432</v>
      </c>
      <c r="GXU90" t="s">
        <v>429</v>
      </c>
      <c r="GXV90" t="s">
        <v>143</v>
      </c>
      <c r="GXW90" t="s">
        <v>398</v>
      </c>
      <c r="GXX90">
        <v>1</v>
      </c>
      <c r="GXY90" t="s">
        <v>430</v>
      </c>
      <c r="GXZ90" t="s">
        <v>431</v>
      </c>
      <c r="GYA90" t="s">
        <v>432</v>
      </c>
      <c r="GYC90" t="s">
        <v>429</v>
      </c>
      <c r="GYD90" t="s">
        <v>143</v>
      </c>
      <c r="GYE90" t="s">
        <v>398</v>
      </c>
      <c r="GYF90">
        <v>1</v>
      </c>
      <c r="GYG90" t="s">
        <v>430</v>
      </c>
      <c r="GYH90" t="s">
        <v>431</v>
      </c>
      <c r="GYI90" t="s">
        <v>432</v>
      </c>
      <c r="GYK90" t="s">
        <v>429</v>
      </c>
      <c r="GYL90" t="s">
        <v>143</v>
      </c>
      <c r="GYM90" t="s">
        <v>398</v>
      </c>
      <c r="GYN90">
        <v>1</v>
      </c>
      <c r="GYO90" t="s">
        <v>430</v>
      </c>
      <c r="GYP90" t="s">
        <v>431</v>
      </c>
      <c r="GYQ90" t="s">
        <v>432</v>
      </c>
      <c r="GYS90" t="s">
        <v>429</v>
      </c>
      <c r="GYT90" t="s">
        <v>143</v>
      </c>
      <c r="GYU90" t="s">
        <v>398</v>
      </c>
      <c r="GYV90">
        <v>1</v>
      </c>
      <c r="GYW90" t="s">
        <v>430</v>
      </c>
      <c r="GYX90" t="s">
        <v>431</v>
      </c>
      <c r="GYY90" t="s">
        <v>432</v>
      </c>
      <c r="GZA90" t="s">
        <v>429</v>
      </c>
      <c r="GZB90" t="s">
        <v>143</v>
      </c>
      <c r="GZC90" t="s">
        <v>398</v>
      </c>
      <c r="GZD90">
        <v>1</v>
      </c>
      <c r="GZE90" t="s">
        <v>430</v>
      </c>
      <c r="GZF90" t="s">
        <v>431</v>
      </c>
      <c r="GZG90" t="s">
        <v>432</v>
      </c>
      <c r="GZI90" t="s">
        <v>429</v>
      </c>
      <c r="GZJ90" t="s">
        <v>143</v>
      </c>
      <c r="GZK90" t="s">
        <v>398</v>
      </c>
      <c r="GZL90">
        <v>1</v>
      </c>
      <c r="GZM90" t="s">
        <v>430</v>
      </c>
      <c r="GZN90" t="s">
        <v>431</v>
      </c>
      <c r="GZO90" t="s">
        <v>432</v>
      </c>
      <c r="GZQ90" t="s">
        <v>429</v>
      </c>
      <c r="GZR90" t="s">
        <v>143</v>
      </c>
      <c r="GZS90" t="s">
        <v>398</v>
      </c>
      <c r="GZT90">
        <v>1</v>
      </c>
      <c r="GZU90" t="s">
        <v>430</v>
      </c>
      <c r="GZV90" t="s">
        <v>431</v>
      </c>
      <c r="GZW90" t="s">
        <v>432</v>
      </c>
      <c r="GZY90" t="s">
        <v>429</v>
      </c>
      <c r="GZZ90" t="s">
        <v>143</v>
      </c>
      <c r="HAA90" t="s">
        <v>398</v>
      </c>
      <c r="HAB90">
        <v>1</v>
      </c>
      <c r="HAC90" t="s">
        <v>430</v>
      </c>
      <c r="HAD90" t="s">
        <v>431</v>
      </c>
      <c r="HAE90" t="s">
        <v>432</v>
      </c>
      <c r="HAG90" t="s">
        <v>429</v>
      </c>
      <c r="HAH90" t="s">
        <v>143</v>
      </c>
      <c r="HAI90" t="s">
        <v>398</v>
      </c>
      <c r="HAJ90">
        <v>1</v>
      </c>
      <c r="HAK90" t="s">
        <v>430</v>
      </c>
      <c r="HAL90" t="s">
        <v>431</v>
      </c>
      <c r="HAM90" t="s">
        <v>432</v>
      </c>
      <c r="HAO90" t="s">
        <v>429</v>
      </c>
      <c r="HAP90" t="s">
        <v>143</v>
      </c>
      <c r="HAQ90" t="s">
        <v>398</v>
      </c>
      <c r="HAR90">
        <v>1</v>
      </c>
      <c r="HAS90" t="s">
        <v>430</v>
      </c>
      <c r="HAT90" t="s">
        <v>431</v>
      </c>
      <c r="HAU90" t="s">
        <v>432</v>
      </c>
      <c r="HAW90" t="s">
        <v>429</v>
      </c>
      <c r="HAX90" t="s">
        <v>143</v>
      </c>
      <c r="HAY90" t="s">
        <v>398</v>
      </c>
      <c r="HAZ90">
        <v>1</v>
      </c>
      <c r="HBA90" t="s">
        <v>430</v>
      </c>
      <c r="HBB90" t="s">
        <v>431</v>
      </c>
      <c r="HBC90" t="s">
        <v>432</v>
      </c>
      <c r="HBE90" t="s">
        <v>429</v>
      </c>
      <c r="HBF90" t="s">
        <v>143</v>
      </c>
      <c r="HBG90" t="s">
        <v>398</v>
      </c>
      <c r="HBH90">
        <v>1</v>
      </c>
      <c r="HBI90" t="s">
        <v>430</v>
      </c>
      <c r="HBJ90" t="s">
        <v>431</v>
      </c>
      <c r="HBK90" t="s">
        <v>432</v>
      </c>
      <c r="HBM90" t="s">
        <v>429</v>
      </c>
      <c r="HBN90" t="s">
        <v>143</v>
      </c>
      <c r="HBO90" t="s">
        <v>398</v>
      </c>
      <c r="HBP90">
        <v>1</v>
      </c>
      <c r="HBQ90" t="s">
        <v>430</v>
      </c>
      <c r="HBR90" t="s">
        <v>431</v>
      </c>
      <c r="HBS90" t="s">
        <v>432</v>
      </c>
      <c r="HBU90" t="s">
        <v>429</v>
      </c>
      <c r="HBV90" t="s">
        <v>143</v>
      </c>
      <c r="HBW90" t="s">
        <v>398</v>
      </c>
      <c r="HBX90">
        <v>1</v>
      </c>
      <c r="HBY90" t="s">
        <v>430</v>
      </c>
      <c r="HBZ90" t="s">
        <v>431</v>
      </c>
      <c r="HCA90" t="s">
        <v>432</v>
      </c>
      <c r="HCC90" t="s">
        <v>429</v>
      </c>
      <c r="HCD90" t="s">
        <v>143</v>
      </c>
      <c r="HCE90" t="s">
        <v>398</v>
      </c>
      <c r="HCF90">
        <v>1</v>
      </c>
      <c r="HCG90" t="s">
        <v>430</v>
      </c>
      <c r="HCH90" t="s">
        <v>431</v>
      </c>
      <c r="HCI90" t="s">
        <v>432</v>
      </c>
      <c r="HCK90" t="s">
        <v>429</v>
      </c>
      <c r="HCL90" t="s">
        <v>143</v>
      </c>
      <c r="HCM90" t="s">
        <v>398</v>
      </c>
      <c r="HCN90">
        <v>1</v>
      </c>
      <c r="HCO90" t="s">
        <v>430</v>
      </c>
      <c r="HCP90" t="s">
        <v>431</v>
      </c>
      <c r="HCQ90" t="s">
        <v>432</v>
      </c>
      <c r="HCS90" t="s">
        <v>429</v>
      </c>
      <c r="HCT90" t="s">
        <v>143</v>
      </c>
      <c r="HCU90" t="s">
        <v>398</v>
      </c>
      <c r="HCV90">
        <v>1</v>
      </c>
      <c r="HCW90" t="s">
        <v>430</v>
      </c>
      <c r="HCX90" t="s">
        <v>431</v>
      </c>
      <c r="HCY90" t="s">
        <v>432</v>
      </c>
      <c r="HDA90" t="s">
        <v>429</v>
      </c>
      <c r="HDB90" t="s">
        <v>143</v>
      </c>
      <c r="HDC90" t="s">
        <v>398</v>
      </c>
      <c r="HDD90">
        <v>1</v>
      </c>
      <c r="HDE90" t="s">
        <v>430</v>
      </c>
      <c r="HDF90" t="s">
        <v>431</v>
      </c>
      <c r="HDG90" t="s">
        <v>432</v>
      </c>
      <c r="HDI90" t="s">
        <v>429</v>
      </c>
      <c r="HDJ90" t="s">
        <v>143</v>
      </c>
      <c r="HDK90" t="s">
        <v>398</v>
      </c>
      <c r="HDL90">
        <v>1</v>
      </c>
      <c r="HDM90" t="s">
        <v>430</v>
      </c>
      <c r="HDN90" t="s">
        <v>431</v>
      </c>
      <c r="HDO90" t="s">
        <v>432</v>
      </c>
      <c r="HDQ90" t="s">
        <v>429</v>
      </c>
      <c r="HDR90" t="s">
        <v>143</v>
      </c>
      <c r="HDS90" t="s">
        <v>398</v>
      </c>
      <c r="HDT90">
        <v>1</v>
      </c>
      <c r="HDU90" t="s">
        <v>430</v>
      </c>
      <c r="HDV90" t="s">
        <v>431</v>
      </c>
      <c r="HDW90" t="s">
        <v>432</v>
      </c>
      <c r="HDY90" t="s">
        <v>429</v>
      </c>
      <c r="HDZ90" t="s">
        <v>143</v>
      </c>
      <c r="HEA90" t="s">
        <v>398</v>
      </c>
      <c r="HEB90">
        <v>1</v>
      </c>
      <c r="HEC90" t="s">
        <v>430</v>
      </c>
      <c r="HED90" t="s">
        <v>431</v>
      </c>
      <c r="HEE90" t="s">
        <v>432</v>
      </c>
      <c r="HEG90" t="s">
        <v>429</v>
      </c>
      <c r="HEH90" t="s">
        <v>143</v>
      </c>
      <c r="HEI90" t="s">
        <v>398</v>
      </c>
      <c r="HEJ90">
        <v>1</v>
      </c>
      <c r="HEK90" t="s">
        <v>430</v>
      </c>
      <c r="HEL90" t="s">
        <v>431</v>
      </c>
      <c r="HEM90" t="s">
        <v>432</v>
      </c>
      <c r="HEO90" t="s">
        <v>429</v>
      </c>
      <c r="HEP90" t="s">
        <v>143</v>
      </c>
      <c r="HEQ90" t="s">
        <v>398</v>
      </c>
      <c r="HER90">
        <v>1</v>
      </c>
      <c r="HES90" t="s">
        <v>430</v>
      </c>
      <c r="HET90" t="s">
        <v>431</v>
      </c>
      <c r="HEU90" t="s">
        <v>432</v>
      </c>
      <c r="HEW90" t="s">
        <v>429</v>
      </c>
      <c r="HEX90" t="s">
        <v>143</v>
      </c>
      <c r="HEY90" t="s">
        <v>398</v>
      </c>
      <c r="HEZ90">
        <v>1</v>
      </c>
      <c r="HFA90" t="s">
        <v>430</v>
      </c>
      <c r="HFB90" t="s">
        <v>431</v>
      </c>
      <c r="HFC90" t="s">
        <v>432</v>
      </c>
      <c r="HFE90" t="s">
        <v>429</v>
      </c>
      <c r="HFF90" t="s">
        <v>143</v>
      </c>
      <c r="HFG90" t="s">
        <v>398</v>
      </c>
      <c r="HFH90">
        <v>1</v>
      </c>
      <c r="HFI90" t="s">
        <v>430</v>
      </c>
      <c r="HFJ90" t="s">
        <v>431</v>
      </c>
      <c r="HFK90" t="s">
        <v>432</v>
      </c>
      <c r="HFM90" t="s">
        <v>429</v>
      </c>
      <c r="HFN90" t="s">
        <v>143</v>
      </c>
      <c r="HFO90" t="s">
        <v>398</v>
      </c>
      <c r="HFP90">
        <v>1</v>
      </c>
      <c r="HFQ90" t="s">
        <v>430</v>
      </c>
      <c r="HFR90" t="s">
        <v>431</v>
      </c>
      <c r="HFS90" t="s">
        <v>432</v>
      </c>
      <c r="HFU90" t="s">
        <v>429</v>
      </c>
      <c r="HFV90" t="s">
        <v>143</v>
      </c>
      <c r="HFW90" t="s">
        <v>398</v>
      </c>
      <c r="HFX90">
        <v>1</v>
      </c>
      <c r="HFY90" t="s">
        <v>430</v>
      </c>
      <c r="HFZ90" t="s">
        <v>431</v>
      </c>
      <c r="HGA90" t="s">
        <v>432</v>
      </c>
      <c r="HGC90" t="s">
        <v>429</v>
      </c>
      <c r="HGD90" t="s">
        <v>143</v>
      </c>
      <c r="HGE90" t="s">
        <v>398</v>
      </c>
      <c r="HGF90">
        <v>1</v>
      </c>
      <c r="HGG90" t="s">
        <v>430</v>
      </c>
      <c r="HGH90" t="s">
        <v>431</v>
      </c>
      <c r="HGI90" t="s">
        <v>432</v>
      </c>
      <c r="HGK90" t="s">
        <v>429</v>
      </c>
      <c r="HGL90" t="s">
        <v>143</v>
      </c>
      <c r="HGM90" t="s">
        <v>398</v>
      </c>
      <c r="HGN90">
        <v>1</v>
      </c>
      <c r="HGO90" t="s">
        <v>430</v>
      </c>
      <c r="HGP90" t="s">
        <v>431</v>
      </c>
      <c r="HGQ90" t="s">
        <v>432</v>
      </c>
      <c r="HGS90" t="s">
        <v>429</v>
      </c>
      <c r="HGT90" t="s">
        <v>143</v>
      </c>
      <c r="HGU90" t="s">
        <v>398</v>
      </c>
      <c r="HGV90">
        <v>1</v>
      </c>
      <c r="HGW90" t="s">
        <v>430</v>
      </c>
      <c r="HGX90" t="s">
        <v>431</v>
      </c>
      <c r="HGY90" t="s">
        <v>432</v>
      </c>
      <c r="HHA90" t="s">
        <v>429</v>
      </c>
      <c r="HHB90" t="s">
        <v>143</v>
      </c>
      <c r="HHC90" t="s">
        <v>398</v>
      </c>
      <c r="HHD90">
        <v>1</v>
      </c>
      <c r="HHE90" t="s">
        <v>430</v>
      </c>
      <c r="HHF90" t="s">
        <v>431</v>
      </c>
      <c r="HHG90" t="s">
        <v>432</v>
      </c>
      <c r="HHI90" t="s">
        <v>429</v>
      </c>
      <c r="HHJ90" t="s">
        <v>143</v>
      </c>
      <c r="HHK90" t="s">
        <v>398</v>
      </c>
      <c r="HHL90">
        <v>1</v>
      </c>
      <c r="HHM90" t="s">
        <v>430</v>
      </c>
      <c r="HHN90" t="s">
        <v>431</v>
      </c>
      <c r="HHO90" t="s">
        <v>432</v>
      </c>
      <c r="HHQ90" t="s">
        <v>429</v>
      </c>
      <c r="HHR90" t="s">
        <v>143</v>
      </c>
      <c r="HHS90" t="s">
        <v>398</v>
      </c>
      <c r="HHT90">
        <v>1</v>
      </c>
      <c r="HHU90" t="s">
        <v>430</v>
      </c>
      <c r="HHV90" t="s">
        <v>431</v>
      </c>
      <c r="HHW90" t="s">
        <v>432</v>
      </c>
      <c r="HHY90" t="s">
        <v>429</v>
      </c>
      <c r="HHZ90" t="s">
        <v>143</v>
      </c>
      <c r="HIA90" t="s">
        <v>398</v>
      </c>
      <c r="HIB90">
        <v>1</v>
      </c>
      <c r="HIC90" t="s">
        <v>430</v>
      </c>
      <c r="HID90" t="s">
        <v>431</v>
      </c>
      <c r="HIE90" t="s">
        <v>432</v>
      </c>
      <c r="HIG90" t="s">
        <v>429</v>
      </c>
      <c r="HIH90" t="s">
        <v>143</v>
      </c>
      <c r="HII90" t="s">
        <v>398</v>
      </c>
      <c r="HIJ90">
        <v>1</v>
      </c>
      <c r="HIK90" t="s">
        <v>430</v>
      </c>
      <c r="HIL90" t="s">
        <v>431</v>
      </c>
      <c r="HIM90" t="s">
        <v>432</v>
      </c>
      <c r="HIO90" t="s">
        <v>429</v>
      </c>
      <c r="HIP90" t="s">
        <v>143</v>
      </c>
      <c r="HIQ90" t="s">
        <v>398</v>
      </c>
      <c r="HIR90">
        <v>1</v>
      </c>
      <c r="HIS90" t="s">
        <v>430</v>
      </c>
      <c r="HIT90" t="s">
        <v>431</v>
      </c>
      <c r="HIU90" t="s">
        <v>432</v>
      </c>
      <c r="HIW90" t="s">
        <v>429</v>
      </c>
      <c r="HIX90" t="s">
        <v>143</v>
      </c>
      <c r="HIY90" t="s">
        <v>398</v>
      </c>
      <c r="HIZ90">
        <v>1</v>
      </c>
      <c r="HJA90" t="s">
        <v>430</v>
      </c>
      <c r="HJB90" t="s">
        <v>431</v>
      </c>
      <c r="HJC90" t="s">
        <v>432</v>
      </c>
      <c r="HJE90" t="s">
        <v>429</v>
      </c>
      <c r="HJF90" t="s">
        <v>143</v>
      </c>
      <c r="HJG90" t="s">
        <v>398</v>
      </c>
      <c r="HJH90">
        <v>1</v>
      </c>
      <c r="HJI90" t="s">
        <v>430</v>
      </c>
      <c r="HJJ90" t="s">
        <v>431</v>
      </c>
      <c r="HJK90" t="s">
        <v>432</v>
      </c>
      <c r="HJM90" t="s">
        <v>429</v>
      </c>
      <c r="HJN90" t="s">
        <v>143</v>
      </c>
      <c r="HJO90" t="s">
        <v>398</v>
      </c>
      <c r="HJP90">
        <v>1</v>
      </c>
      <c r="HJQ90" t="s">
        <v>430</v>
      </c>
      <c r="HJR90" t="s">
        <v>431</v>
      </c>
      <c r="HJS90" t="s">
        <v>432</v>
      </c>
      <c r="HJU90" t="s">
        <v>429</v>
      </c>
      <c r="HJV90" t="s">
        <v>143</v>
      </c>
      <c r="HJW90" t="s">
        <v>398</v>
      </c>
      <c r="HJX90">
        <v>1</v>
      </c>
      <c r="HJY90" t="s">
        <v>430</v>
      </c>
      <c r="HJZ90" t="s">
        <v>431</v>
      </c>
      <c r="HKA90" t="s">
        <v>432</v>
      </c>
      <c r="HKC90" t="s">
        <v>429</v>
      </c>
      <c r="HKD90" t="s">
        <v>143</v>
      </c>
      <c r="HKE90" t="s">
        <v>398</v>
      </c>
      <c r="HKF90">
        <v>1</v>
      </c>
      <c r="HKG90" t="s">
        <v>430</v>
      </c>
      <c r="HKH90" t="s">
        <v>431</v>
      </c>
      <c r="HKI90" t="s">
        <v>432</v>
      </c>
      <c r="HKK90" t="s">
        <v>429</v>
      </c>
      <c r="HKL90" t="s">
        <v>143</v>
      </c>
      <c r="HKM90" t="s">
        <v>398</v>
      </c>
      <c r="HKN90">
        <v>1</v>
      </c>
      <c r="HKO90" t="s">
        <v>430</v>
      </c>
      <c r="HKP90" t="s">
        <v>431</v>
      </c>
      <c r="HKQ90" t="s">
        <v>432</v>
      </c>
      <c r="HKS90" t="s">
        <v>429</v>
      </c>
      <c r="HKT90" t="s">
        <v>143</v>
      </c>
      <c r="HKU90" t="s">
        <v>398</v>
      </c>
      <c r="HKV90">
        <v>1</v>
      </c>
      <c r="HKW90" t="s">
        <v>430</v>
      </c>
      <c r="HKX90" t="s">
        <v>431</v>
      </c>
      <c r="HKY90" t="s">
        <v>432</v>
      </c>
      <c r="HLA90" t="s">
        <v>429</v>
      </c>
      <c r="HLB90" t="s">
        <v>143</v>
      </c>
      <c r="HLC90" t="s">
        <v>398</v>
      </c>
      <c r="HLD90">
        <v>1</v>
      </c>
      <c r="HLE90" t="s">
        <v>430</v>
      </c>
      <c r="HLF90" t="s">
        <v>431</v>
      </c>
      <c r="HLG90" t="s">
        <v>432</v>
      </c>
      <c r="HLI90" t="s">
        <v>429</v>
      </c>
      <c r="HLJ90" t="s">
        <v>143</v>
      </c>
      <c r="HLK90" t="s">
        <v>398</v>
      </c>
      <c r="HLL90">
        <v>1</v>
      </c>
      <c r="HLM90" t="s">
        <v>430</v>
      </c>
      <c r="HLN90" t="s">
        <v>431</v>
      </c>
      <c r="HLO90" t="s">
        <v>432</v>
      </c>
      <c r="HLQ90" t="s">
        <v>429</v>
      </c>
      <c r="HLR90" t="s">
        <v>143</v>
      </c>
      <c r="HLS90" t="s">
        <v>398</v>
      </c>
      <c r="HLT90">
        <v>1</v>
      </c>
      <c r="HLU90" t="s">
        <v>430</v>
      </c>
      <c r="HLV90" t="s">
        <v>431</v>
      </c>
      <c r="HLW90" t="s">
        <v>432</v>
      </c>
      <c r="HLY90" t="s">
        <v>429</v>
      </c>
      <c r="HLZ90" t="s">
        <v>143</v>
      </c>
      <c r="HMA90" t="s">
        <v>398</v>
      </c>
      <c r="HMB90">
        <v>1</v>
      </c>
      <c r="HMC90" t="s">
        <v>430</v>
      </c>
      <c r="HMD90" t="s">
        <v>431</v>
      </c>
      <c r="HME90" t="s">
        <v>432</v>
      </c>
      <c r="HMG90" t="s">
        <v>429</v>
      </c>
      <c r="HMH90" t="s">
        <v>143</v>
      </c>
      <c r="HMI90" t="s">
        <v>398</v>
      </c>
      <c r="HMJ90">
        <v>1</v>
      </c>
      <c r="HMK90" t="s">
        <v>430</v>
      </c>
      <c r="HML90" t="s">
        <v>431</v>
      </c>
      <c r="HMM90" t="s">
        <v>432</v>
      </c>
      <c r="HMO90" t="s">
        <v>429</v>
      </c>
      <c r="HMP90" t="s">
        <v>143</v>
      </c>
      <c r="HMQ90" t="s">
        <v>398</v>
      </c>
      <c r="HMR90">
        <v>1</v>
      </c>
      <c r="HMS90" t="s">
        <v>430</v>
      </c>
      <c r="HMT90" t="s">
        <v>431</v>
      </c>
      <c r="HMU90" t="s">
        <v>432</v>
      </c>
      <c r="HMW90" t="s">
        <v>429</v>
      </c>
      <c r="HMX90" t="s">
        <v>143</v>
      </c>
      <c r="HMY90" t="s">
        <v>398</v>
      </c>
      <c r="HMZ90">
        <v>1</v>
      </c>
      <c r="HNA90" t="s">
        <v>430</v>
      </c>
      <c r="HNB90" t="s">
        <v>431</v>
      </c>
      <c r="HNC90" t="s">
        <v>432</v>
      </c>
      <c r="HNE90" t="s">
        <v>429</v>
      </c>
      <c r="HNF90" t="s">
        <v>143</v>
      </c>
      <c r="HNG90" t="s">
        <v>398</v>
      </c>
      <c r="HNH90">
        <v>1</v>
      </c>
      <c r="HNI90" t="s">
        <v>430</v>
      </c>
      <c r="HNJ90" t="s">
        <v>431</v>
      </c>
      <c r="HNK90" t="s">
        <v>432</v>
      </c>
      <c r="HNM90" t="s">
        <v>429</v>
      </c>
      <c r="HNN90" t="s">
        <v>143</v>
      </c>
      <c r="HNO90" t="s">
        <v>398</v>
      </c>
      <c r="HNP90">
        <v>1</v>
      </c>
      <c r="HNQ90" t="s">
        <v>430</v>
      </c>
      <c r="HNR90" t="s">
        <v>431</v>
      </c>
      <c r="HNS90" t="s">
        <v>432</v>
      </c>
      <c r="HNU90" t="s">
        <v>429</v>
      </c>
      <c r="HNV90" t="s">
        <v>143</v>
      </c>
      <c r="HNW90" t="s">
        <v>398</v>
      </c>
      <c r="HNX90">
        <v>1</v>
      </c>
      <c r="HNY90" t="s">
        <v>430</v>
      </c>
      <c r="HNZ90" t="s">
        <v>431</v>
      </c>
      <c r="HOA90" t="s">
        <v>432</v>
      </c>
      <c r="HOC90" t="s">
        <v>429</v>
      </c>
      <c r="HOD90" t="s">
        <v>143</v>
      </c>
      <c r="HOE90" t="s">
        <v>398</v>
      </c>
      <c r="HOF90">
        <v>1</v>
      </c>
      <c r="HOG90" t="s">
        <v>430</v>
      </c>
      <c r="HOH90" t="s">
        <v>431</v>
      </c>
      <c r="HOI90" t="s">
        <v>432</v>
      </c>
      <c r="HOK90" t="s">
        <v>429</v>
      </c>
      <c r="HOL90" t="s">
        <v>143</v>
      </c>
      <c r="HOM90" t="s">
        <v>398</v>
      </c>
      <c r="HON90">
        <v>1</v>
      </c>
      <c r="HOO90" t="s">
        <v>430</v>
      </c>
      <c r="HOP90" t="s">
        <v>431</v>
      </c>
      <c r="HOQ90" t="s">
        <v>432</v>
      </c>
      <c r="HOS90" t="s">
        <v>429</v>
      </c>
      <c r="HOT90" t="s">
        <v>143</v>
      </c>
      <c r="HOU90" t="s">
        <v>398</v>
      </c>
      <c r="HOV90">
        <v>1</v>
      </c>
      <c r="HOW90" t="s">
        <v>430</v>
      </c>
      <c r="HOX90" t="s">
        <v>431</v>
      </c>
      <c r="HOY90" t="s">
        <v>432</v>
      </c>
      <c r="HPA90" t="s">
        <v>429</v>
      </c>
      <c r="HPB90" t="s">
        <v>143</v>
      </c>
      <c r="HPC90" t="s">
        <v>398</v>
      </c>
      <c r="HPD90">
        <v>1</v>
      </c>
      <c r="HPE90" t="s">
        <v>430</v>
      </c>
      <c r="HPF90" t="s">
        <v>431</v>
      </c>
      <c r="HPG90" t="s">
        <v>432</v>
      </c>
      <c r="HPI90" t="s">
        <v>429</v>
      </c>
      <c r="HPJ90" t="s">
        <v>143</v>
      </c>
      <c r="HPK90" t="s">
        <v>398</v>
      </c>
      <c r="HPL90">
        <v>1</v>
      </c>
      <c r="HPM90" t="s">
        <v>430</v>
      </c>
      <c r="HPN90" t="s">
        <v>431</v>
      </c>
      <c r="HPO90" t="s">
        <v>432</v>
      </c>
      <c r="HPQ90" t="s">
        <v>429</v>
      </c>
      <c r="HPR90" t="s">
        <v>143</v>
      </c>
      <c r="HPS90" t="s">
        <v>398</v>
      </c>
      <c r="HPT90">
        <v>1</v>
      </c>
      <c r="HPU90" t="s">
        <v>430</v>
      </c>
      <c r="HPV90" t="s">
        <v>431</v>
      </c>
      <c r="HPW90" t="s">
        <v>432</v>
      </c>
      <c r="HPY90" t="s">
        <v>429</v>
      </c>
      <c r="HPZ90" t="s">
        <v>143</v>
      </c>
      <c r="HQA90" t="s">
        <v>398</v>
      </c>
      <c r="HQB90">
        <v>1</v>
      </c>
      <c r="HQC90" t="s">
        <v>430</v>
      </c>
      <c r="HQD90" t="s">
        <v>431</v>
      </c>
      <c r="HQE90" t="s">
        <v>432</v>
      </c>
      <c r="HQG90" t="s">
        <v>429</v>
      </c>
      <c r="HQH90" t="s">
        <v>143</v>
      </c>
      <c r="HQI90" t="s">
        <v>398</v>
      </c>
      <c r="HQJ90">
        <v>1</v>
      </c>
      <c r="HQK90" t="s">
        <v>430</v>
      </c>
      <c r="HQL90" t="s">
        <v>431</v>
      </c>
      <c r="HQM90" t="s">
        <v>432</v>
      </c>
      <c r="HQO90" t="s">
        <v>429</v>
      </c>
      <c r="HQP90" t="s">
        <v>143</v>
      </c>
      <c r="HQQ90" t="s">
        <v>398</v>
      </c>
      <c r="HQR90">
        <v>1</v>
      </c>
      <c r="HQS90" t="s">
        <v>430</v>
      </c>
      <c r="HQT90" t="s">
        <v>431</v>
      </c>
      <c r="HQU90" t="s">
        <v>432</v>
      </c>
      <c r="HQW90" t="s">
        <v>429</v>
      </c>
      <c r="HQX90" t="s">
        <v>143</v>
      </c>
      <c r="HQY90" t="s">
        <v>398</v>
      </c>
      <c r="HQZ90">
        <v>1</v>
      </c>
      <c r="HRA90" t="s">
        <v>430</v>
      </c>
      <c r="HRB90" t="s">
        <v>431</v>
      </c>
      <c r="HRC90" t="s">
        <v>432</v>
      </c>
      <c r="HRE90" t="s">
        <v>429</v>
      </c>
      <c r="HRF90" t="s">
        <v>143</v>
      </c>
      <c r="HRG90" t="s">
        <v>398</v>
      </c>
      <c r="HRH90">
        <v>1</v>
      </c>
      <c r="HRI90" t="s">
        <v>430</v>
      </c>
      <c r="HRJ90" t="s">
        <v>431</v>
      </c>
      <c r="HRK90" t="s">
        <v>432</v>
      </c>
      <c r="HRM90" t="s">
        <v>429</v>
      </c>
      <c r="HRN90" t="s">
        <v>143</v>
      </c>
      <c r="HRO90" t="s">
        <v>398</v>
      </c>
      <c r="HRP90">
        <v>1</v>
      </c>
      <c r="HRQ90" t="s">
        <v>430</v>
      </c>
      <c r="HRR90" t="s">
        <v>431</v>
      </c>
      <c r="HRS90" t="s">
        <v>432</v>
      </c>
      <c r="HRU90" t="s">
        <v>429</v>
      </c>
      <c r="HRV90" t="s">
        <v>143</v>
      </c>
      <c r="HRW90" t="s">
        <v>398</v>
      </c>
      <c r="HRX90">
        <v>1</v>
      </c>
      <c r="HRY90" t="s">
        <v>430</v>
      </c>
      <c r="HRZ90" t="s">
        <v>431</v>
      </c>
      <c r="HSA90" t="s">
        <v>432</v>
      </c>
      <c r="HSC90" t="s">
        <v>429</v>
      </c>
      <c r="HSD90" t="s">
        <v>143</v>
      </c>
      <c r="HSE90" t="s">
        <v>398</v>
      </c>
      <c r="HSF90">
        <v>1</v>
      </c>
      <c r="HSG90" t="s">
        <v>430</v>
      </c>
      <c r="HSH90" t="s">
        <v>431</v>
      </c>
      <c r="HSI90" t="s">
        <v>432</v>
      </c>
      <c r="HSK90" t="s">
        <v>429</v>
      </c>
      <c r="HSL90" t="s">
        <v>143</v>
      </c>
      <c r="HSM90" t="s">
        <v>398</v>
      </c>
      <c r="HSN90">
        <v>1</v>
      </c>
      <c r="HSO90" t="s">
        <v>430</v>
      </c>
      <c r="HSP90" t="s">
        <v>431</v>
      </c>
      <c r="HSQ90" t="s">
        <v>432</v>
      </c>
      <c r="HSS90" t="s">
        <v>429</v>
      </c>
      <c r="HST90" t="s">
        <v>143</v>
      </c>
      <c r="HSU90" t="s">
        <v>398</v>
      </c>
      <c r="HSV90">
        <v>1</v>
      </c>
      <c r="HSW90" t="s">
        <v>430</v>
      </c>
      <c r="HSX90" t="s">
        <v>431</v>
      </c>
      <c r="HSY90" t="s">
        <v>432</v>
      </c>
      <c r="HTA90" t="s">
        <v>429</v>
      </c>
      <c r="HTB90" t="s">
        <v>143</v>
      </c>
      <c r="HTC90" t="s">
        <v>398</v>
      </c>
      <c r="HTD90">
        <v>1</v>
      </c>
      <c r="HTE90" t="s">
        <v>430</v>
      </c>
      <c r="HTF90" t="s">
        <v>431</v>
      </c>
      <c r="HTG90" t="s">
        <v>432</v>
      </c>
      <c r="HTI90" t="s">
        <v>429</v>
      </c>
      <c r="HTJ90" t="s">
        <v>143</v>
      </c>
      <c r="HTK90" t="s">
        <v>398</v>
      </c>
      <c r="HTL90">
        <v>1</v>
      </c>
      <c r="HTM90" t="s">
        <v>430</v>
      </c>
      <c r="HTN90" t="s">
        <v>431</v>
      </c>
      <c r="HTO90" t="s">
        <v>432</v>
      </c>
      <c r="HTQ90" t="s">
        <v>429</v>
      </c>
      <c r="HTR90" t="s">
        <v>143</v>
      </c>
      <c r="HTS90" t="s">
        <v>398</v>
      </c>
      <c r="HTT90">
        <v>1</v>
      </c>
      <c r="HTU90" t="s">
        <v>430</v>
      </c>
      <c r="HTV90" t="s">
        <v>431</v>
      </c>
      <c r="HTW90" t="s">
        <v>432</v>
      </c>
      <c r="HTY90" t="s">
        <v>429</v>
      </c>
      <c r="HTZ90" t="s">
        <v>143</v>
      </c>
      <c r="HUA90" t="s">
        <v>398</v>
      </c>
      <c r="HUB90">
        <v>1</v>
      </c>
      <c r="HUC90" t="s">
        <v>430</v>
      </c>
      <c r="HUD90" t="s">
        <v>431</v>
      </c>
      <c r="HUE90" t="s">
        <v>432</v>
      </c>
      <c r="HUG90" t="s">
        <v>429</v>
      </c>
      <c r="HUH90" t="s">
        <v>143</v>
      </c>
      <c r="HUI90" t="s">
        <v>398</v>
      </c>
      <c r="HUJ90">
        <v>1</v>
      </c>
      <c r="HUK90" t="s">
        <v>430</v>
      </c>
      <c r="HUL90" t="s">
        <v>431</v>
      </c>
      <c r="HUM90" t="s">
        <v>432</v>
      </c>
      <c r="HUO90" t="s">
        <v>429</v>
      </c>
      <c r="HUP90" t="s">
        <v>143</v>
      </c>
      <c r="HUQ90" t="s">
        <v>398</v>
      </c>
      <c r="HUR90">
        <v>1</v>
      </c>
      <c r="HUS90" t="s">
        <v>430</v>
      </c>
      <c r="HUT90" t="s">
        <v>431</v>
      </c>
      <c r="HUU90" t="s">
        <v>432</v>
      </c>
      <c r="HUW90" t="s">
        <v>429</v>
      </c>
      <c r="HUX90" t="s">
        <v>143</v>
      </c>
      <c r="HUY90" t="s">
        <v>398</v>
      </c>
      <c r="HUZ90">
        <v>1</v>
      </c>
      <c r="HVA90" t="s">
        <v>430</v>
      </c>
      <c r="HVB90" t="s">
        <v>431</v>
      </c>
      <c r="HVC90" t="s">
        <v>432</v>
      </c>
      <c r="HVE90" t="s">
        <v>429</v>
      </c>
      <c r="HVF90" t="s">
        <v>143</v>
      </c>
      <c r="HVG90" t="s">
        <v>398</v>
      </c>
      <c r="HVH90">
        <v>1</v>
      </c>
      <c r="HVI90" t="s">
        <v>430</v>
      </c>
      <c r="HVJ90" t="s">
        <v>431</v>
      </c>
      <c r="HVK90" t="s">
        <v>432</v>
      </c>
      <c r="HVM90" t="s">
        <v>429</v>
      </c>
      <c r="HVN90" t="s">
        <v>143</v>
      </c>
      <c r="HVO90" t="s">
        <v>398</v>
      </c>
      <c r="HVP90">
        <v>1</v>
      </c>
      <c r="HVQ90" t="s">
        <v>430</v>
      </c>
      <c r="HVR90" t="s">
        <v>431</v>
      </c>
      <c r="HVS90" t="s">
        <v>432</v>
      </c>
      <c r="HVU90" t="s">
        <v>429</v>
      </c>
      <c r="HVV90" t="s">
        <v>143</v>
      </c>
      <c r="HVW90" t="s">
        <v>398</v>
      </c>
      <c r="HVX90">
        <v>1</v>
      </c>
      <c r="HVY90" t="s">
        <v>430</v>
      </c>
      <c r="HVZ90" t="s">
        <v>431</v>
      </c>
      <c r="HWA90" t="s">
        <v>432</v>
      </c>
      <c r="HWC90" t="s">
        <v>429</v>
      </c>
      <c r="HWD90" t="s">
        <v>143</v>
      </c>
      <c r="HWE90" t="s">
        <v>398</v>
      </c>
      <c r="HWF90">
        <v>1</v>
      </c>
      <c r="HWG90" t="s">
        <v>430</v>
      </c>
      <c r="HWH90" t="s">
        <v>431</v>
      </c>
      <c r="HWI90" t="s">
        <v>432</v>
      </c>
      <c r="HWK90" t="s">
        <v>429</v>
      </c>
      <c r="HWL90" t="s">
        <v>143</v>
      </c>
      <c r="HWM90" t="s">
        <v>398</v>
      </c>
      <c r="HWN90">
        <v>1</v>
      </c>
      <c r="HWO90" t="s">
        <v>430</v>
      </c>
      <c r="HWP90" t="s">
        <v>431</v>
      </c>
      <c r="HWQ90" t="s">
        <v>432</v>
      </c>
      <c r="HWS90" t="s">
        <v>429</v>
      </c>
      <c r="HWT90" t="s">
        <v>143</v>
      </c>
      <c r="HWU90" t="s">
        <v>398</v>
      </c>
      <c r="HWV90">
        <v>1</v>
      </c>
      <c r="HWW90" t="s">
        <v>430</v>
      </c>
      <c r="HWX90" t="s">
        <v>431</v>
      </c>
      <c r="HWY90" t="s">
        <v>432</v>
      </c>
      <c r="HXA90" t="s">
        <v>429</v>
      </c>
      <c r="HXB90" t="s">
        <v>143</v>
      </c>
      <c r="HXC90" t="s">
        <v>398</v>
      </c>
      <c r="HXD90">
        <v>1</v>
      </c>
      <c r="HXE90" t="s">
        <v>430</v>
      </c>
      <c r="HXF90" t="s">
        <v>431</v>
      </c>
      <c r="HXG90" t="s">
        <v>432</v>
      </c>
      <c r="HXI90" t="s">
        <v>429</v>
      </c>
      <c r="HXJ90" t="s">
        <v>143</v>
      </c>
      <c r="HXK90" t="s">
        <v>398</v>
      </c>
      <c r="HXL90">
        <v>1</v>
      </c>
      <c r="HXM90" t="s">
        <v>430</v>
      </c>
      <c r="HXN90" t="s">
        <v>431</v>
      </c>
      <c r="HXO90" t="s">
        <v>432</v>
      </c>
      <c r="HXQ90" t="s">
        <v>429</v>
      </c>
      <c r="HXR90" t="s">
        <v>143</v>
      </c>
      <c r="HXS90" t="s">
        <v>398</v>
      </c>
      <c r="HXT90">
        <v>1</v>
      </c>
      <c r="HXU90" t="s">
        <v>430</v>
      </c>
      <c r="HXV90" t="s">
        <v>431</v>
      </c>
      <c r="HXW90" t="s">
        <v>432</v>
      </c>
      <c r="HXY90" t="s">
        <v>429</v>
      </c>
      <c r="HXZ90" t="s">
        <v>143</v>
      </c>
      <c r="HYA90" t="s">
        <v>398</v>
      </c>
      <c r="HYB90">
        <v>1</v>
      </c>
      <c r="HYC90" t="s">
        <v>430</v>
      </c>
      <c r="HYD90" t="s">
        <v>431</v>
      </c>
      <c r="HYE90" t="s">
        <v>432</v>
      </c>
      <c r="HYG90" t="s">
        <v>429</v>
      </c>
      <c r="HYH90" t="s">
        <v>143</v>
      </c>
      <c r="HYI90" t="s">
        <v>398</v>
      </c>
      <c r="HYJ90">
        <v>1</v>
      </c>
      <c r="HYK90" t="s">
        <v>430</v>
      </c>
      <c r="HYL90" t="s">
        <v>431</v>
      </c>
      <c r="HYM90" t="s">
        <v>432</v>
      </c>
      <c r="HYO90" t="s">
        <v>429</v>
      </c>
      <c r="HYP90" t="s">
        <v>143</v>
      </c>
      <c r="HYQ90" t="s">
        <v>398</v>
      </c>
      <c r="HYR90">
        <v>1</v>
      </c>
      <c r="HYS90" t="s">
        <v>430</v>
      </c>
      <c r="HYT90" t="s">
        <v>431</v>
      </c>
      <c r="HYU90" t="s">
        <v>432</v>
      </c>
      <c r="HYW90" t="s">
        <v>429</v>
      </c>
      <c r="HYX90" t="s">
        <v>143</v>
      </c>
      <c r="HYY90" t="s">
        <v>398</v>
      </c>
      <c r="HYZ90">
        <v>1</v>
      </c>
      <c r="HZA90" t="s">
        <v>430</v>
      </c>
      <c r="HZB90" t="s">
        <v>431</v>
      </c>
      <c r="HZC90" t="s">
        <v>432</v>
      </c>
      <c r="HZE90" t="s">
        <v>429</v>
      </c>
      <c r="HZF90" t="s">
        <v>143</v>
      </c>
      <c r="HZG90" t="s">
        <v>398</v>
      </c>
      <c r="HZH90">
        <v>1</v>
      </c>
      <c r="HZI90" t="s">
        <v>430</v>
      </c>
      <c r="HZJ90" t="s">
        <v>431</v>
      </c>
      <c r="HZK90" t="s">
        <v>432</v>
      </c>
      <c r="HZM90" t="s">
        <v>429</v>
      </c>
      <c r="HZN90" t="s">
        <v>143</v>
      </c>
      <c r="HZO90" t="s">
        <v>398</v>
      </c>
      <c r="HZP90">
        <v>1</v>
      </c>
      <c r="HZQ90" t="s">
        <v>430</v>
      </c>
      <c r="HZR90" t="s">
        <v>431</v>
      </c>
      <c r="HZS90" t="s">
        <v>432</v>
      </c>
      <c r="HZU90" t="s">
        <v>429</v>
      </c>
      <c r="HZV90" t="s">
        <v>143</v>
      </c>
      <c r="HZW90" t="s">
        <v>398</v>
      </c>
      <c r="HZX90">
        <v>1</v>
      </c>
      <c r="HZY90" t="s">
        <v>430</v>
      </c>
      <c r="HZZ90" t="s">
        <v>431</v>
      </c>
      <c r="IAA90" t="s">
        <v>432</v>
      </c>
      <c r="IAC90" t="s">
        <v>429</v>
      </c>
      <c r="IAD90" t="s">
        <v>143</v>
      </c>
      <c r="IAE90" t="s">
        <v>398</v>
      </c>
      <c r="IAF90">
        <v>1</v>
      </c>
      <c r="IAG90" t="s">
        <v>430</v>
      </c>
      <c r="IAH90" t="s">
        <v>431</v>
      </c>
      <c r="IAI90" t="s">
        <v>432</v>
      </c>
      <c r="IAK90" t="s">
        <v>429</v>
      </c>
      <c r="IAL90" t="s">
        <v>143</v>
      </c>
      <c r="IAM90" t="s">
        <v>398</v>
      </c>
      <c r="IAN90">
        <v>1</v>
      </c>
      <c r="IAO90" t="s">
        <v>430</v>
      </c>
      <c r="IAP90" t="s">
        <v>431</v>
      </c>
      <c r="IAQ90" t="s">
        <v>432</v>
      </c>
      <c r="IAS90" t="s">
        <v>429</v>
      </c>
      <c r="IAT90" t="s">
        <v>143</v>
      </c>
      <c r="IAU90" t="s">
        <v>398</v>
      </c>
      <c r="IAV90">
        <v>1</v>
      </c>
      <c r="IAW90" t="s">
        <v>430</v>
      </c>
      <c r="IAX90" t="s">
        <v>431</v>
      </c>
      <c r="IAY90" t="s">
        <v>432</v>
      </c>
      <c r="IBA90" t="s">
        <v>429</v>
      </c>
      <c r="IBB90" t="s">
        <v>143</v>
      </c>
      <c r="IBC90" t="s">
        <v>398</v>
      </c>
      <c r="IBD90">
        <v>1</v>
      </c>
      <c r="IBE90" t="s">
        <v>430</v>
      </c>
      <c r="IBF90" t="s">
        <v>431</v>
      </c>
      <c r="IBG90" t="s">
        <v>432</v>
      </c>
      <c r="IBI90" t="s">
        <v>429</v>
      </c>
      <c r="IBJ90" t="s">
        <v>143</v>
      </c>
      <c r="IBK90" t="s">
        <v>398</v>
      </c>
      <c r="IBL90">
        <v>1</v>
      </c>
      <c r="IBM90" t="s">
        <v>430</v>
      </c>
      <c r="IBN90" t="s">
        <v>431</v>
      </c>
      <c r="IBO90" t="s">
        <v>432</v>
      </c>
      <c r="IBQ90" t="s">
        <v>429</v>
      </c>
      <c r="IBR90" t="s">
        <v>143</v>
      </c>
      <c r="IBS90" t="s">
        <v>398</v>
      </c>
      <c r="IBT90">
        <v>1</v>
      </c>
      <c r="IBU90" t="s">
        <v>430</v>
      </c>
      <c r="IBV90" t="s">
        <v>431</v>
      </c>
      <c r="IBW90" t="s">
        <v>432</v>
      </c>
      <c r="IBY90" t="s">
        <v>429</v>
      </c>
      <c r="IBZ90" t="s">
        <v>143</v>
      </c>
      <c r="ICA90" t="s">
        <v>398</v>
      </c>
      <c r="ICB90">
        <v>1</v>
      </c>
      <c r="ICC90" t="s">
        <v>430</v>
      </c>
      <c r="ICD90" t="s">
        <v>431</v>
      </c>
      <c r="ICE90" t="s">
        <v>432</v>
      </c>
      <c r="ICG90" t="s">
        <v>429</v>
      </c>
      <c r="ICH90" t="s">
        <v>143</v>
      </c>
      <c r="ICI90" t="s">
        <v>398</v>
      </c>
      <c r="ICJ90">
        <v>1</v>
      </c>
      <c r="ICK90" t="s">
        <v>430</v>
      </c>
      <c r="ICL90" t="s">
        <v>431</v>
      </c>
      <c r="ICM90" t="s">
        <v>432</v>
      </c>
      <c r="ICO90" t="s">
        <v>429</v>
      </c>
      <c r="ICP90" t="s">
        <v>143</v>
      </c>
      <c r="ICQ90" t="s">
        <v>398</v>
      </c>
      <c r="ICR90">
        <v>1</v>
      </c>
      <c r="ICS90" t="s">
        <v>430</v>
      </c>
      <c r="ICT90" t="s">
        <v>431</v>
      </c>
      <c r="ICU90" t="s">
        <v>432</v>
      </c>
      <c r="ICW90" t="s">
        <v>429</v>
      </c>
      <c r="ICX90" t="s">
        <v>143</v>
      </c>
      <c r="ICY90" t="s">
        <v>398</v>
      </c>
      <c r="ICZ90">
        <v>1</v>
      </c>
      <c r="IDA90" t="s">
        <v>430</v>
      </c>
      <c r="IDB90" t="s">
        <v>431</v>
      </c>
      <c r="IDC90" t="s">
        <v>432</v>
      </c>
      <c r="IDE90" t="s">
        <v>429</v>
      </c>
      <c r="IDF90" t="s">
        <v>143</v>
      </c>
      <c r="IDG90" t="s">
        <v>398</v>
      </c>
      <c r="IDH90">
        <v>1</v>
      </c>
      <c r="IDI90" t="s">
        <v>430</v>
      </c>
      <c r="IDJ90" t="s">
        <v>431</v>
      </c>
      <c r="IDK90" t="s">
        <v>432</v>
      </c>
      <c r="IDM90" t="s">
        <v>429</v>
      </c>
      <c r="IDN90" t="s">
        <v>143</v>
      </c>
      <c r="IDO90" t="s">
        <v>398</v>
      </c>
      <c r="IDP90">
        <v>1</v>
      </c>
      <c r="IDQ90" t="s">
        <v>430</v>
      </c>
      <c r="IDR90" t="s">
        <v>431</v>
      </c>
      <c r="IDS90" t="s">
        <v>432</v>
      </c>
      <c r="IDU90" t="s">
        <v>429</v>
      </c>
      <c r="IDV90" t="s">
        <v>143</v>
      </c>
      <c r="IDW90" t="s">
        <v>398</v>
      </c>
      <c r="IDX90">
        <v>1</v>
      </c>
      <c r="IDY90" t="s">
        <v>430</v>
      </c>
      <c r="IDZ90" t="s">
        <v>431</v>
      </c>
      <c r="IEA90" t="s">
        <v>432</v>
      </c>
      <c r="IEC90" t="s">
        <v>429</v>
      </c>
      <c r="IED90" t="s">
        <v>143</v>
      </c>
      <c r="IEE90" t="s">
        <v>398</v>
      </c>
      <c r="IEF90">
        <v>1</v>
      </c>
      <c r="IEG90" t="s">
        <v>430</v>
      </c>
      <c r="IEH90" t="s">
        <v>431</v>
      </c>
      <c r="IEI90" t="s">
        <v>432</v>
      </c>
      <c r="IEK90" t="s">
        <v>429</v>
      </c>
      <c r="IEL90" t="s">
        <v>143</v>
      </c>
      <c r="IEM90" t="s">
        <v>398</v>
      </c>
      <c r="IEN90">
        <v>1</v>
      </c>
      <c r="IEO90" t="s">
        <v>430</v>
      </c>
      <c r="IEP90" t="s">
        <v>431</v>
      </c>
      <c r="IEQ90" t="s">
        <v>432</v>
      </c>
      <c r="IES90" t="s">
        <v>429</v>
      </c>
      <c r="IET90" t="s">
        <v>143</v>
      </c>
      <c r="IEU90" t="s">
        <v>398</v>
      </c>
      <c r="IEV90">
        <v>1</v>
      </c>
      <c r="IEW90" t="s">
        <v>430</v>
      </c>
      <c r="IEX90" t="s">
        <v>431</v>
      </c>
      <c r="IEY90" t="s">
        <v>432</v>
      </c>
      <c r="IFA90" t="s">
        <v>429</v>
      </c>
      <c r="IFB90" t="s">
        <v>143</v>
      </c>
      <c r="IFC90" t="s">
        <v>398</v>
      </c>
      <c r="IFD90">
        <v>1</v>
      </c>
      <c r="IFE90" t="s">
        <v>430</v>
      </c>
      <c r="IFF90" t="s">
        <v>431</v>
      </c>
      <c r="IFG90" t="s">
        <v>432</v>
      </c>
      <c r="IFI90" t="s">
        <v>429</v>
      </c>
      <c r="IFJ90" t="s">
        <v>143</v>
      </c>
      <c r="IFK90" t="s">
        <v>398</v>
      </c>
      <c r="IFL90">
        <v>1</v>
      </c>
      <c r="IFM90" t="s">
        <v>430</v>
      </c>
      <c r="IFN90" t="s">
        <v>431</v>
      </c>
      <c r="IFO90" t="s">
        <v>432</v>
      </c>
      <c r="IFQ90" t="s">
        <v>429</v>
      </c>
      <c r="IFR90" t="s">
        <v>143</v>
      </c>
      <c r="IFS90" t="s">
        <v>398</v>
      </c>
      <c r="IFT90">
        <v>1</v>
      </c>
      <c r="IFU90" t="s">
        <v>430</v>
      </c>
      <c r="IFV90" t="s">
        <v>431</v>
      </c>
      <c r="IFW90" t="s">
        <v>432</v>
      </c>
      <c r="IFY90" t="s">
        <v>429</v>
      </c>
      <c r="IFZ90" t="s">
        <v>143</v>
      </c>
      <c r="IGA90" t="s">
        <v>398</v>
      </c>
      <c r="IGB90">
        <v>1</v>
      </c>
      <c r="IGC90" t="s">
        <v>430</v>
      </c>
      <c r="IGD90" t="s">
        <v>431</v>
      </c>
      <c r="IGE90" t="s">
        <v>432</v>
      </c>
      <c r="IGG90" t="s">
        <v>429</v>
      </c>
      <c r="IGH90" t="s">
        <v>143</v>
      </c>
      <c r="IGI90" t="s">
        <v>398</v>
      </c>
      <c r="IGJ90">
        <v>1</v>
      </c>
      <c r="IGK90" t="s">
        <v>430</v>
      </c>
      <c r="IGL90" t="s">
        <v>431</v>
      </c>
      <c r="IGM90" t="s">
        <v>432</v>
      </c>
      <c r="IGO90" t="s">
        <v>429</v>
      </c>
      <c r="IGP90" t="s">
        <v>143</v>
      </c>
      <c r="IGQ90" t="s">
        <v>398</v>
      </c>
      <c r="IGR90">
        <v>1</v>
      </c>
      <c r="IGS90" t="s">
        <v>430</v>
      </c>
      <c r="IGT90" t="s">
        <v>431</v>
      </c>
      <c r="IGU90" t="s">
        <v>432</v>
      </c>
      <c r="IGW90" t="s">
        <v>429</v>
      </c>
      <c r="IGX90" t="s">
        <v>143</v>
      </c>
      <c r="IGY90" t="s">
        <v>398</v>
      </c>
      <c r="IGZ90">
        <v>1</v>
      </c>
      <c r="IHA90" t="s">
        <v>430</v>
      </c>
      <c r="IHB90" t="s">
        <v>431</v>
      </c>
      <c r="IHC90" t="s">
        <v>432</v>
      </c>
      <c r="IHE90" t="s">
        <v>429</v>
      </c>
      <c r="IHF90" t="s">
        <v>143</v>
      </c>
      <c r="IHG90" t="s">
        <v>398</v>
      </c>
      <c r="IHH90">
        <v>1</v>
      </c>
      <c r="IHI90" t="s">
        <v>430</v>
      </c>
      <c r="IHJ90" t="s">
        <v>431</v>
      </c>
      <c r="IHK90" t="s">
        <v>432</v>
      </c>
      <c r="IHM90" t="s">
        <v>429</v>
      </c>
      <c r="IHN90" t="s">
        <v>143</v>
      </c>
      <c r="IHO90" t="s">
        <v>398</v>
      </c>
      <c r="IHP90">
        <v>1</v>
      </c>
      <c r="IHQ90" t="s">
        <v>430</v>
      </c>
      <c r="IHR90" t="s">
        <v>431</v>
      </c>
      <c r="IHS90" t="s">
        <v>432</v>
      </c>
      <c r="IHU90" t="s">
        <v>429</v>
      </c>
      <c r="IHV90" t="s">
        <v>143</v>
      </c>
      <c r="IHW90" t="s">
        <v>398</v>
      </c>
      <c r="IHX90">
        <v>1</v>
      </c>
      <c r="IHY90" t="s">
        <v>430</v>
      </c>
      <c r="IHZ90" t="s">
        <v>431</v>
      </c>
      <c r="IIA90" t="s">
        <v>432</v>
      </c>
      <c r="IIC90" t="s">
        <v>429</v>
      </c>
      <c r="IID90" t="s">
        <v>143</v>
      </c>
      <c r="IIE90" t="s">
        <v>398</v>
      </c>
      <c r="IIF90">
        <v>1</v>
      </c>
      <c r="IIG90" t="s">
        <v>430</v>
      </c>
      <c r="IIH90" t="s">
        <v>431</v>
      </c>
      <c r="III90" t="s">
        <v>432</v>
      </c>
      <c r="IIK90" t="s">
        <v>429</v>
      </c>
      <c r="IIL90" t="s">
        <v>143</v>
      </c>
      <c r="IIM90" t="s">
        <v>398</v>
      </c>
      <c r="IIN90">
        <v>1</v>
      </c>
      <c r="IIO90" t="s">
        <v>430</v>
      </c>
      <c r="IIP90" t="s">
        <v>431</v>
      </c>
      <c r="IIQ90" t="s">
        <v>432</v>
      </c>
      <c r="IIS90" t="s">
        <v>429</v>
      </c>
      <c r="IIT90" t="s">
        <v>143</v>
      </c>
      <c r="IIU90" t="s">
        <v>398</v>
      </c>
      <c r="IIV90">
        <v>1</v>
      </c>
      <c r="IIW90" t="s">
        <v>430</v>
      </c>
      <c r="IIX90" t="s">
        <v>431</v>
      </c>
      <c r="IIY90" t="s">
        <v>432</v>
      </c>
      <c r="IJA90" t="s">
        <v>429</v>
      </c>
      <c r="IJB90" t="s">
        <v>143</v>
      </c>
      <c r="IJC90" t="s">
        <v>398</v>
      </c>
      <c r="IJD90">
        <v>1</v>
      </c>
      <c r="IJE90" t="s">
        <v>430</v>
      </c>
      <c r="IJF90" t="s">
        <v>431</v>
      </c>
      <c r="IJG90" t="s">
        <v>432</v>
      </c>
      <c r="IJI90" t="s">
        <v>429</v>
      </c>
      <c r="IJJ90" t="s">
        <v>143</v>
      </c>
      <c r="IJK90" t="s">
        <v>398</v>
      </c>
      <c r="IJL90">
        <v>1</v>
      </c>
      <c r="IJM90" t="s">
        <v>430</v>
      </c>
      <c r="IJN90" t="s">
        <v>431</v>
      </c>
      <c r="IJO90" t="s">
        <v>432</v>
      </c>
      <c r="IJQ90" t="s">
        <v>429</v>
      </c>
      <c r="IJR90" t="s">
        <v>143</v>
      </c>
      <c r="IJS90" t="s">
        <v>398</v>
      </c>
      <c r="IJT90">
        <v>1</v>
      </c>
      <c r="IJU90" t="s">
        <v>430</v>
      </c>
      <c r="IJV90" t="s">
        <v>431</v>
      </c>
      <c r="IJW90" t="s">
        <v>432</v>
      </c>
      <c r="IJY90" t="s">
        <v>429</v>
      </c>
      <c r="IJZ90" t="s">
        <v>143</v>
      </c>
      <c r="IKA90" t="s">
        <v>398</v>
      </c>
      <c r="IKB90">
        <v>1</v>
      </c>
      <c r="IKC90" t="s">
        <v>430</v>
      </c>
      <c r="IKD90" t="s">
        <v>431</v>
      </c>
      <c r="IKE90" t="s">
        <v>432</v>
      </c>
      <c r="IKG90" t="s">
        <v>429</v>
      </c>
      <c r="IKH90" t="s">
        <v>143</v>
      </c>
      <c r="IKI90" t="s">
        <v>398</v>
      </c>
      <c r="IKJ90">
        <v>1</v>
      </c>
      <c r="IKK90" t="s">
        <v>430</v>
      </c>
      <c r="IKL90" t="s">
        <v>431</v>
      </c>
      <c r="IKM90" t="s">
        <v>432</v>
      </c>
      <c r="IKO90" t="s">
        <v>429</v>
      </c>
      <c r="IKP90" t="s">
        <v>143</v>
      </c>
      <c r="IKQ90" t="s">
        <v>398</v>
      </c>
      <c r="IKR90">
        <v>1</v>
      </c>
      <c r="IKS90" t="s">
        <v>430</v>
      </c>
      <c r="IKT90" t="s">
        <v>431</v>
      </c>
      <c r="IKU90" t="s">
        <v>432</v>
      </c>
      <c r="IKW90" t="s">
        <v>429</v>
      </c>
      <c r="IKX90" t="s">
        <v>143</v>
      </c>
      <c r="IKY90" t="s">
        <v>398</v>
      </c>
      <c r="IKZ90">
        <v>1</v>
      </c>
      <c r="ILA90" t="s">
        <v>430</v>
      </c>
      <c r="ILB90" t="s">
        <v>431</v>
      </c>
      <c r="ILC90" t="s">
        <v>432</v>
      </c>
      <c r="ILE90" t="s">
        <v>429</v>
      </c>
      <c r="ILF90" t="s">
        <v>143</v>
      </c>
      <c r="ILG90" t="s">
        <v>398</v>
      </c>
      <c r="ILH90">
        <v>1</v>
      </c>
      <c r="ILI90" t="s">
        <v>430</v>
      </c>
      <c r="ILJ90" t="s">
        <v>431</v>
      </c>
      <c r="ILK90" t="s">
        <v>432</v>
      </c>
      <c r="ILM90" t="s">
        <v>429</v>
      </c>
      <c r="ILN90" t="s">
        <v>143</v>
      </c>
      <c r="ILO90" t="s">
        <v>398</v>
      </c>
      <c r="ILP90">
        <v>1</v>
      </c>
      <c r="ILQ90" t="s">
        <v>430</v>
      </c>
      <c r="ILR90" t="s">
        <v>431</v>
      </c>
      <c r="ILS90" t="s">
        <v>432</v>
      </c>
      <c r="ILU90" t="s">
        <v>429</v>
      </c>
      <c r="ILV90" t="s">
        <v>143</v>
      </c>
      <c r="ILW90" t="s">
        <v>398</v>
      </c>
      <c r="ILX90">
        <v>1</v>
      </c>
      <c r="ILY90" t="s">
        <v>430</v>
      </c>
      <c r="ILZ90" t="s">
        <v>431</v>
      </c>
      <c r="IMA90" t="s">
        <v>432</v>
      </c>
      <c r="IMC90" t="s">
        <v>429</v>
      </c>
      <c r="IMD90" t="s">
        <v>143</v>
      </c>
      <c r="IME90" t="s">
        <v>398</v>
      </c>
      <c r="IMF90">
        <v>1</v>
      </c>
      <c r="IMG90" t="s">
        <v>430</v>
      </c>
      <c r="IMH90" t="s">
        <v>431</v>
      </c>
      <c r="IMI90" t="s">
        <v>432</v>
      </c>
      <c r="IMK90" t="s">
        <v>429</v>
      </c>
      <c r="IML90" t="s">
        <v>143</v>
      </c>
      <c r="IMM90" t="s">
        <v>398</v>
      </c>
      <c r="IMN90">
        <v>1</v>
      </c>
      <c r="IMO90" t="s">
        <v>430</v>
      </c>
      <c r="IMP90" t="s">
        <v>431</v>
      </c>
      <c r="IMQ90" t="s">
        <v>432</v>
      </c>
      <c r="IMS90" t="s">
        <v>429</v>
      </c>
      <c r="IMT90" t="s">
        <v>143</v>
      </c>
      <c r="IMU90" t="s">
        <v>398</v>
      </c>
      <c r="IMV90">
        <v>1</v>
      </c>
      <c r="IMW90" t="s">
        <v>430</v>
      </c>
      <c r="IMX90" t="s">
        <v>431</v>
      </c>
      <c r="IMY90" t="s">
        <v>432</v>
      </c>
      <c r="INA90" t="s">
        <v>429</v>
      </c>
      <c r="INB90" t="s">
        <v>143</v>
      </c>
      <c r="INC90" t="s">
        <v>398</v>
      </c>
      <c r="IND90">
        <v>1</v>
      </c>
      <c r="INE90" t="s">
        <v>430</v>
      </c>
      <c r="INF90" t="s">
        <v>431</v>
      </c>
      <c r="ING90" t="s">
        <v>432</v>
      </c>
      <c r="INI90" t="s">
        <v>429</v>
      </c>
      <c r="INJ90" t="s">
        <v>143</v>
      </c>
      <c r="INK90" t="s">
        <v>398</v>
      </c>
      <c r="INL90">
        <v>1</v>
      </c>
      <c r="INM90" t="s">
        <v>430</v>
      </c>
      <c r="INN90" t="s">
        <v>431</v>
      </c>
      <c r="INO90" t="s">
        <v>432</v>
      </c>
      <c r="INQ90" t="s">
        <v>429</v>
      </c>
      <c r="INR90" t="s">
        <v>143</v>
      </c>
      <c r="INS90" t="s">
        <v>398</v>
      </c>
      <c r="INT90">
        <v>1</v>
      </c>
      <c r="INU90" t="s">
        <v>430</v>
      </c>
      <c r="INV90" t="s">
        <v>431</v>
      </c>
      <c r="INW90" t="s">
        <v>432</v>
      </c>
      <c r="INY90" t="s">
        <v>429</v>
      </c>
      <c r="INZ90" t="s">
        <v>143</v>
      </c>
      <c r="IOA90" t="s">
        <v>398</v>
      </c>
      <c r="IOB90">
        <v>1</v>
      </c>
      <c r="IOC90" t="s">
        <v>430</v>
      </c>
      <c r="IOD90" t="s">
        <v>431</v>
      </c>
      <c r="IOE90" t="s">
        <v>432</v>
      </c>
      <c r="IOG90" t="s">
        <v>429</v>
      </c>
      <c r="IOH90" t="s">
        <v>143</v>
      </c>
      <c r="IOI90" t="s">
        <v>398</v>
      </c>
      <c r="IOJ90">
        <v>1</v>
      </c>
      <c r="IOK90" t="s">
        <v>430</v>
      </c>
      <c r="IOL90" t="s">
        <v>431</v>
      </c>
      <c r="IOM90" t="s">
        <v>432</v>
      </c>
      <c r="IOO90" t="s">
        <v>429</v>
      </c>
      <c r="IOP90" t="s">
        <v>143</v>
      </c>
      <c r="IOQ90" t="s">
        <v>398</v>
      </c>
      <c r="IOR90">
        <v>1</v>
      </c>
      <c r="IOS90" t="s">
        <v>430</v>
      </c>
      <c r="IOT90" t="s">
        <v>431</v>
      </c>
      <c r="IOU90" t="s">
        <v>432</v>
      </c>
      <c r="IOW90" t="s">
        <v>429</v>
      </c>
      <c r="IOX90" t="s">
        <v>143</v>
      </c>
      <c r="IOY90" t="s">
        <v>398</v>
      </c>
      <c r="IOZ90">
        <v>1</v>
      </c>
      <c r="IPA90" t="s">
        <v>430</v>
      </c>
      <c r="IPB90" t="s">
        <v>431</v>
      </c>
      <c r="IPC90" t="s">
        <v>432</v>
      </c>
      <c r="IPE90" t="s">
        <v>429</v>
      </c>
      <c r="IPF90" t="s">
        <v>143</v>
      </c>
      <c r="IPG90" t="s">
        <v>398</v>
      </c>
      <c r="IPH90">
        <v>1</v>
      </c>
      <c r="IPI90" t="s">
        <v>430</v>
      </c>
      <c r="IPJ90" t="s">
        <v>431</v>
      </c>
      <c r="IPK90" t="s">
        <v>432</v>
      </c>
      <c r="IPM90" t="s">
        <v>429</v>
      </c>
      <c r="IPN90" t="s">
        <v>143</v>
      </c>
      <c r="IPO90" t="s">
        <v>398</v>
      </c>
      <c r="IPP90">
        <v>1</v>
      </c>
      <c r="IPQ90" t="s">
        <v>430</v>
      </c>
      <c r="IPR90" t="s">
        <v>431</v>
      </c>
      <c r="IPS90" t="s">
        <v>432</v>
      </c>
      <c r="IPU90" t="s">
        <v>429</v>
      </c>
      <c r="IPV90" t="s">
        <v>143</v>
      </c>
      <c r="IPW90" t="s">
        <v>398</v>
      </c>
      <c r="IPX90">
        <v>1</v>
      </c>
      <c r="IPY90" t="s">
        <v>430</v>
      </c>
      <c r="IPZ90" t="s">
        <v>431</v>
      </c>
      <c r="IQA90" t="s">
        <v>432</v>
      </c>
      <c r="IQC90" t="s">
        <v>429</v>
      </c>
      <c r="IQD90" t="s">
        <v>143</v>
      </c>
      <c r="IQE90" t="s">
        <v>398</v>
      </c>
      <c r="IQF90">
        <v>1</v>
      </c>
      <c r="IQG90" t="s">
        <v>430</v>
      </c>
      <c r="IQH90" t="s">
        <v>431</v>
      </c>
      <c r="IQI90" t="s">
        <v>432</v>
      </c>
      <c r="IQK90" t="s">
        <v>429</v>
      </c>
      <c r="IQL90" t="s">
        <v>143</v>
      </c>
      <c r="IQM90" t="s">
        <v>398</v>
      </c>
      <c r="IQN90">
        <v>1</v>
      </c>
      <c r="IQO90" t="s">
        <v>430</v>
      </c>
      <c r="IQP90" t="s">
        <v>431</v>
      </c>
      <c r="IQQ90" t="s">
        <v>432</v>
      </c>
      <c r="IQS90" t="s">
        <v>429</v>
      </c>
      <c r="IQT90" t="s">
        <v>143</v>
      </c>
      <c r="IQU90" t="s">
        <v>398</v>
      </c>
      <c r="IQV90">
        <v>1</v>
      </c>
      <c r="IQW90" t="s">
        <v>430</v>
      </c>
      <c r="IQX90" t="s">
        <v>431</v>
      </c>
      <c r="IQY90" t="s">
        <v>432</v>
      </c>
      <c r="IRA90" t="s">
        <v>429</v>
      </c>
      <c r="IRB90" t="s">
        <v>143</v>
      </c>
      <c r="IRC90" t="s">
        <v>398</v>
      </c>
      <c r="IRD90">
        <v>1</v>
      </c>
      <c r="IRE90" t="s">
        <v>430</v>
      </c>
      <c r="IRF90" t="s">
        <v>431</v>
      </c>
      <c r="IRG90" t="s">
        <v>432</v>
      </c>
      <c r="IRI90" t="s">
        <v>429</v>
      </c>
      <c r="IRJ90" t="s">
        <v>143</v>
      </c>
      <c r="IRK90" t="s">
        <v>398</v>
      </c>
      <c r="IRL90">
        <v>1</v>
      </c>
      <c r="IRM90" t="s">
        <v>430</v>
      </c>
      <c r="IRN90" t="s">
        <v>431</v>
      </c>
      <c r="IRO90" t="s">
        <v>432</v>
      </c>
      <c r="IRQ90" t="s">
        <v>429</v>
      </c>
      <c r="IRR90" t="s">
        <v>143</v>
      </c>
      <c r="IRS90" t="s">
        <v>398</v>
      </c>
      <c r="IRT90">
        <v>1</v>
      </c>
      <c r="IRU90" t="s">
        <v>430</v>
      </c>
      <c r="IRV90" t="s">
        <v>431</v>
      </c>
      <c r="IRW90" t="s">
        <v>432</v>
      </c>
      <c r="IRY90" t="s">
        <v>429</v>
      </c>
      <c r="IRZ90" t="s">
        <v>143</v>
      </c>
      <c r="ISA90" t="s">
        <v>398</v>
      </c>
      <c r="ISB90">
        <v>1</v>
      </c>
      <c r="ISC90" t="s">
        <v>430</v>
      </c>
      <c r="ISD90" t="s">
        <v>431</v>
      </c>
      <c r="ISE90" t="s">
        <v>432</v>
      </c>
      <c r="ISG90" t="s">
        <v>429</v>
      </c>
      <c r="ISH90" t="s">
        <v>143</v>
      </c>
      <c r="ISI90" t="s">
        <v>398</v>
      </c>
      <c r="ISJ90">
        <v>1</v>
      </c>
      <c r="ISK90" t="s">
        <v>430</v>
      </c>
      <c r="ISL90" t="s">
        <v>431</v>
      </c>
      <c r="ISM90" t="s">
        <v>432</v>
      </c>
      <c r="ISO90" t="s">
        <v>429</v>
      </c>
      <c r="ISP90" t="s">
        <v>143</v>
      </c>
      <c r="ISQ90" t="s">
        <v>398</v>
      </c>
      <c r="ISR90">
        <v>1</v>
      </c>
      <c r="ISS90" t="s">
        <v>430</v>
      </c>
      <c r="IST90" t="s">
        <v>431</v>
      </c>
      <c r="ISU90" t="s">
        <v>432</v>
      </c>
      <c r="ISW90" t="s">
        <v>429</v>
      </c>
      <c r="ISX90" t="s">
        <v>143</v>
      </c>
      <c r="ISY90" t="s">
        <v>398</v>
      </c>
      <c r="ISZ90">
        <v>1</v>
      </c>
      <c r="ITA90" t="s">
        <v>430</v>
      </c>
      <c r="ITB90" t="s">
        <v>431</v>
      </c>
      <c r="ITC90" t="s">
        <v>432</v>
      </c>
      <c r="ITE90" t="s">
        <v>429</v>
      </c>
      <c r="ITF90" t="s">
        <v>143</v>
      </c>
      <c r="ITG90" t="s">
        <v>398</v>
      </c>
      <c r="ITH90">
        <v>1</v>
      </c>
      <c r="ITI90" t="s">
        <v>430</v>
      </c>
      <c r="ITJ90" t="s">
        <v>431</v>
      </c>
      <c r="ITK90" t="s">
        <v>432</v>
      </c>
      <c r="ITM90" t="s">
        <v>429</v>
      </c>
      <c r="ITN90" t="s">
        <v>143</v>
      </c>
      <c r="ITO90" t="s">
        <v>398</v>
      </c>
      <c r="ITP90">
        <v>1</v>
      </c>
      <c r="ITQ90" t="s">
        <v>430</v>
      </c>
      <c r="ITR90" t="s">
        <v>431</v>
      </c>
      <c r="ITS90" t="s">
        <v>432</v>
      </c>
      <c r="ITU90" t="s">
        <v>429</v>
      </c>
      <c r="ITV90" t="s">
        <v>143</v>
      </c>
      <c r="ITW90" t="s">
        <v>398</v>
      </c>
      <c r="ITX90">
        <v>1</v>
      </c>
      <c r="ITY90" t="s">
        <v>430</v>
      </c>
      <c r="ITZ90" t="s">
        <v>431</v>
      </c>
      <c r="IUA90" t="s">
        <v>432</v>
      </c>
      <c r="IUC90" t="s">
        <v>429</v>
      </c>
      <c r="IUD90" t="s">
        <v>143</v>
      </c>
      <c r="IUE90" t="s">
        <v>398</v>
      </c>
      <c r="IUF90">
        <v>1</v>
      </c>
      <c r="IUG90" t="s">
        <v>430</v>
      </c>
      <c r="IUH90" t="s">
        <v>431</v>
      </c>
      <c r="IUI90" t="s">
        <v>432</v>
      </c>
      <c r="IUK90" t="s">
        <v>429</v>
      </c>
      <c r="IUL90" t="s">
        <v>143</v>
      </c>
      <c r="IUM90" t="s">
        <v>398</v>
      </c>
      <c r="IUN90">
        <v>1</v>
      </c>
      <c r="IUO90" t="s">
        <v>430</v>
      </c>
      <c r="IUP90" t="s">
        <v>431</v>
      </c>
      <c r="IUQ90" t="s">
        <v>432</v>
      </c>
      <c r="IUS90" t="s">
        <v>429</v>
      </c>
      <c r="IUT90" t="s">
        <v>143</v>
      </c>
      <c r="IUU90" t="s">
        <v>398</v>
      </c>
      <c r="IUV90">
        <v>1</v>
      </c>
      <c r="IUW90" t="s">
        <v>430</v>
      </c>
      <c r="IUX90" t="s">
        <v>431</v>
      </c>
      <c r="IUY90" t="s">
        <v>432</v>
      </c>
      <c r="IVA90" t="s">
        <v>429</v>
      </c>
      <c r="IVB90" t="s">
        <v>143</v>
      </c>
      <c r="IVC90" t="s">
        <v>398</v>
      </c>
      <c r="IVD90">
        <v>1</v>
      </c>
      <c r="IVE90" t="s">
        <v>430</v>
      </c>
      <c r="IVF90" t="s">
        <v>431</v>
      </c>
      <c r="IVG90" t="s">
        <v>432</v>
      </c>
      <c r="IVI90" t="s">
        <v>429</v>
      </c>
      <c r="IVJ90" t="s">
        <v>143</v>
      </c>
      <c r="IVK90" t="s">
        <v>398</v>
      </c>
      <c r="IVL90">
        <v>1</v>
      </c>
      <c r="IVM90" t="s">
        <v>430</v>
      </c>
      <c r="IVN90" t="s">
        <v>431</v>
      </c>
      <c r="IVO90" t="s">
        <v>432</v>
      </c>
      <c r="IVQ90" t="s">
        <v>429</v>
      </c>
      <c r="IVR90" t="s">
        <v>143</v>
      </c>
      <c r="IVS90" t="s">
        <v>398</v>
      </c>
      <c r="IVT90">
        <v>1</v>
      </c>
      <c r="IVU90" t="s">
        <v>430</v>
      </c>
      <c r="IVV90" t="s">
        <v>431</v>
      </c>
      <c r="IVW90" t="s">
        <v>432</v>
      </c>
      <c r="IVY90" t="s">
        <v>429</v>
      </c>
      <c r="IVZ90" t="s">
        <v>143</v>
      </c>
      <c r="IWA90" t="s">
        <v>398</v>
      </c>
      <c r="IWB90">
        <v>1</v>
      </c>
      <c r="IWC90" t="s">
        <v>430</v>
      </c>
      <c r="IWD90" t="s">
        <v>431</v>
      </c>
      <c r="IWE90" t="s">
        <v>432</v>
      </c>
      <c r="IWG90" t="s">
        <v>429</v>
      </c>
      <c r="IWH90" t="s">
        <v>143</v>
      </c>
      <c r="IWI90" t="s">
        <v>398</v>
      </c>
      <c r="IWJ90">
        <v>1</v>
      </c>
      <c r="IWK90" t="s">
        <v>430</v>
      </c>
      <c r="IWL90" t="s">
        <v>431</v>
      </c>
      <c r="IWM90" t="s">
        <v>432</v>
      </c>
      <c r="IWO90" t="s">
        <v>429</v>
      </c>
      <c r="IWP90" t="s">
        <v>143</v>
      </c>
      <c r="IWQ90" t="s">
        <v>398</v>
      </c>
      <c r="IWR90">
        <v>1</v>
      </c>
      <c r="IWS90" t="s">
        <v>430</v>
      </c>
      <c r="IWT90" t="s">
        <v>431</v>
      </c>
      <c r="IWU90" t="s">
        <v>432</v>
      </c>
      <c r="IWW90" t="s">
        <v>429</v>
      </c>
      <c r="IWX90" t="s">
        <v>143</v>
      </c>
      <c r="IWY90" t="s">
        <v>398</v>
      </c>
      <c r="IWZ90">
        <v>1</v>
      </c>
      <c r="IXA90" t="s">
        <v>430</v>
      </c>
      <c r="IXB90" t="s">
        <v>431</v>
      </c>
      <c r="IXC90" t="s">
        <v>432</v>
      </c>
      <c r="IXE90" t="s">
        <v>429</v>
      </c>
      <c r="IXF90" t="s">
        <v>143</v>
      </c>
      <c r="IXG90" t="s">
        <v>398</v>
      </c>
      <c r="IXH90">
        <v>1</v>
      </c>
      <c r="IXI90" t="s">
        <v>430</v>
      </c>
      <c r="IXJ90" t="s">
        <v>431</v>
      </c>
      <c r="IXK90" t="s">
        <v>432</v>
      </c>
      <c r="IXM90" t="s">
        <v>429</v>
      </c>
      <c r="IXN90" t="s">
        <v>143</v>
      </c>
      <c r="IXO90" t="s">
        <v>398</v>
      </c>
      <c r="IXP90">
        <v>1</v>
      </c>
      <c r="IXQ90" t="s">
        <v>430</v>
      </c>
      <c r="IXR90" t="s">
        <v>431</v>
      </c>
      <c r="IXS90" t="s">
        <v>432</v>
      </c>
      <c r="IXU90" t="s">
        <v>429</v>
      </c>
      <c r="IXV90" t="s">
        <v>143</v>
      </c>
      <c r="IXW90" t="s">
        <v>398</v>
      </c>
      <c r="IXX90">
        <v>1</v>
      </c>
      <c r="IXY90" t="s">
        <v>430</v>
      </c>
      <c r="IXZ90" t="s">
        <v>431</v>
      </c>
      <c r="IYA90" t="s">
        <v>432</v>
      </c>
      <c r="IYC90" t="s">
        <v>429</v>
      </c>
      <c r="IYD90" t="s">
        <v>143</v>
      </c>
      <c r="IYE90" t="s">
        <v>398</v>
      </c>
      <c r="IYF90">
        <v>1</v>
      </c>
      <c r="IYG90" t="s">
        <v>430</v>
      </c>
      <c r="IYH90" t="s">
        <v>431</v>
      </c>
      <c r="IYI90" t="s">
        <v>432</v>
      </c>
      <c r="IYK90" t="s">
        <v>429</v>
      </c>
      <c r="IYL90" t="s">
        <v>143</v>
      </c>
      <c r="IYM90" t="s">
        <v>398</v>
      </c>
      <c r="IYN90">
        <v>1</v>
      </c>
      <c r="IYO90" t="s">
        <v>430</v>
      </c>
      <c r="IYP90" t="s">
        <v>431</v>
      </c>
      <c r="IYQ90" t="s">
        <v>432</v>
      </c>
      <c r="IYS90" t="s">
        <v>429</v>
      </c>
      <c r="IYT90" t="s">
        <v>143</v>
      </c>
      <c r="IYU90" t="s">
        <v>398</v>
      </c>
      <c r="IYV90">
        <v>1</v>
      </c>
      <c r="IYW90" t="s">
        <v>430</v>
      </c>
      <c r="IYX90" t="s">
        <v>431</v>
      </c>
      <c r="IYY90" t="s">
        <v>432</v>
      </c>
      <c r="IZA90" t="s">
        <v>429</v>
      </c>
      <c r="IZB90" t="s">
        <v>143</v>
      </c>
      <c r="IZC90" t="s">
        <v>398</v>
      </c>
      <c r="IZD90">
        <v>1</v>
      </c>
      <c r="IZE90" t="s">
        <v>430</v>
      </c>
      <c r="IZF90" t="s">
        <v>431</v>
      </c>
      <c r="IZG90" t="s">
        <v>432</v>
      </c>
      <c r="IZI90" t="s">
        <v>429</v>
      </c>
      <c r="IZJ90" t="s">
        <v>143</v>
      </c>
      <c r="IZK90" t="s">
        <v>398</v>
      </c>
      <c r="IZL90">
        <v>1</v>
      </c>
      <c r="IZM90" t="s">
        <v>430</v>
      </c>
      <c r="IZN90" t="s">
        <v>431</v>
      </c>
      <c r="IZO90" t="s">
        <v>432</v>
      </c>
      <c r="IZQ90" t="s">
        <v>429</v>
      </c>
      <c r="IZR90" t="s">
        <v>143</v>
      </c>
      <c r="IZS90" t="s">
        <v>398</v>
      </c>
      <c r="IZT90">
        <v>1</v>
      </c>
      <c r="IZU90" t="s">
        <v>430</v>
      </c>
      <c r="IZV90" t="s">
        <v>431</v>
      </c>
      <c r="IZW90" t="s">
        <v>432</v>
      </c>
      <c r="IZY90" t="s">
        <v>429</v>
      </c>
      <c r="IZZ90" t="s">
        <v>143</v>
      </c>
      <c r="JAA90" t="s">
        <v>398</v>
      </c>
      <c r="JAB90">
        <v>1</v>
      </c>
      <c r="JAC90" t="s">
        <v>430</v>
      </c>
      <c r="JAD90" t="s">
        <v>431</v>
      </c>
      <c r="JAE90" t="s">
        <v>432</v>
      </c>
      <c r="JAG90" t="s">
        <v>429</v>
      </c>
      <c r="JAH90" t="s">
        <v>143</v>
      </c>
      <c r="JAI90" t="s">
        <v>398</v>
      </c>
      <c r="JAJ90">
        <v>1</v>
      </c>
      <c r="JAK90" t="s">
        <v>430</v>
      </c>
      <c r="JAL90" t="s">
        <v>431</v>
      </c>
      <c r="JAM90" t="s">
        <v>432</v>
      </c>
      <c r="JAO90" t="s">
        <v>429</v>
      </c>
      <c r="JAP90" t="s">
        <v>143</v>
      </c>
      <c r="JAQ90" t="s">
        <v>398</v>
      </c>
      <c r="JAR90">
        <v>1</v>
      </c>
      <c r="JAS90" t="s">
        <v>430</v>
      </c>
      <c r="JAT90" t="s">
        <v>431</v>
      </c>
      <c r="JAU90" t="s">
        <v>432</v>
      </c>
      <c r="JAW90" t="s">
        <v>429</v>
      </c>
      <c r="JAX90" t="s">
        <v>143</v>
      </c>
      <c r="JAY90" t="s">
        <v>398</v>
      </c>
      <c r="JAZ90">
        <v>1</v>
      </c>
      <c r="JBA90" t="s">
        <v>430</v>
      </c>
      <c r="JBB90" t="s">
        <v>431</v>
      </c>
      <c r="JBC90" t="s">
        <v>432</v>
      </c>
      <c r="JBE90" t="s">
        <v>429</v>
      </c>
      <c r="JBF90" t="s">
        <v>143</v>
      </c>
      <c r="JBG90" t="s">
        <v>398</v>
      </c>
      <c r="JBH90">
        <v>1</v>
      </c>
      <c r="JBI90" t="s">
        <v>430</v>
      </c>
      <c r="JBJ90" t="s">
        <v>431</v>
      </c>
      <c r="JBK90" t="s">
        <v>432</v>
      </c>
      <c r="JBM90" t="s">
        <v>429</v>
      </c>
      <c r="JBN90" t="s">
        <v>143</v>
      </c>
      <c r="JBO90" t="s">
        <v>398</v>
      </c>
      <c r="JBP90">
        <v>1</v>
      </c>
      <c r="JBQ90" t="s">
        <v>430</v>
      </c>
      <c r="JBR90" t="s">
        <v>431</v>
      </c>
      <c r="JBS90" t="s">
        <v>432</v>
      </c>
      <c r="JBU90" t="s">
        <v>429</v>
      </c>
      <c r="JBV90" t="s">
        <v>143</v>
      </c>
      <c r="JBW90" t="s">
        <v>398</v>
      </c>
      <c r="JBX90">
        <v>1</v>
      </c>
      <c r="JBY90" t="s">
        <v>430</v>
      </c>
      <c r="JBZ90" t="s">
        <v>431</v>
      </c>
      <c r="JCA90" t="s">
        <v>432</v>
      </c>
      <c r="JCC90" t="s">
        <v>429</v>
      </c>
      <c r="JCD90" t="s">
        <v>143</v>
      </c>
      <c r="JCE90" t="s">
        <v>398</v>
      </c>
      <c r="JCF90">
        <v>1</v>
      </c>
      <c r="JCG90" t="s">
        <v>430</v>
      </c>
      <c r="JCH90" t="s">
        <v>431</v>
      </c>
      <c r="JCI90" t="s">
        <v>432</v>
      </c>
      <c r="JCK90" t="s">
        <v>429</v>
      </c>
      <c r="JCL90" t="s">
        <v>143</v>
      </c>
      <c r="JCM90" t="s">
        <v>398</v>
      </c>
      <c r="JCN90">
        <v>1</v>
      </c>
      <c r="JCO90" t="s">
        <v>430</v>
      </c>
      <c r="JCP90" t="s">
        <v>431</v>
      </c>
      <c r="JCQ90" t="s">
        <v>432</v>
      </c>
      <c r="JCS90" t="s">
        <v>429</v>
      </c>
      <c r="JCT90" t="s">
        <v>143</v>
      </c>
      <c r="JCU90" t="s">
        <v>398</v>
      </c>
      <c r="JCV90">
        <v>1</v>
      </c>
      <c r="JCW90" t="s">
        <v>430</v>
      </c>
      <c r="JCX90" t="s">
        <v>431</v>
      </c>
      <c r="JCY90" t="s">
        <v>432</v>
      </c>
      <c r="JDA90" t="s">
        <v>429</v>
      </c>
      <c r="JDB90" t="s">
        <v>143</v>
      </c>
      <c r="JDC90" t="s">
        <v>398</v>
      </c>
      <c r="JDD90">
        <v>1</v>
      </c>
      <c r="JDE90" t="s">
        <v>430</v>
      </c>
      <c r="JDF90" t="s">
        <v>431</v>
      </c>
      <c r="JDG90" t="s">
        <v>432</v>
      </c>
      <c r="JDI90" t="s">
        <v>429</v>
      </c>
      <c r="JDJ90" t="s">
        <v>143</v>
      </c>
      <c r="JDK90" t="s">
        <v>398</v>
      </c>
      <c r="JDL90">
        <v>1</v>
      </c>
      <c r="JDM90" t="s">
        <v>430</v>
      </c>
      <c r="JDN90" t="s">
        <v>431</v>
      </c>
      <c r="JDO90" t="s">
        <v>432</v>
      </c>
      <c r="JDQ90" t="s">
        <v>429</v>
      </c>
      <c r="JDR90" t="s">
        <v>143</v>
      </c>
      <c r="JDS90" t="s">
        <v>398</v>
      </c>
      <c r="JDT90">
        <v>1</v>
      </c>
      <c r="JDU90" t="s">
        <v>430</v>
      </c>
      <c r="JDV90" t="s">
        <v>431</v>
      </c>
      <c r="JDW90" t="s">
        <v>432</v>
      </c>
      <c r="JDY90" t="s">
        <v>429</v>
      </c>
      <c r="JDZ90" t="s">
        <v>143</v>
      </c>
      <c r="JEA90" t="s">
        <v>398</v>
      </c>
      <c r="JEB90">
        <v>1</v>
      </c>
      <c r="JEC90" t="s">
        <v>430</v>
      </c>
      <c r="JED90" t="s">
        <v>431</v>
      </c>
      <c r="JEE90" t="s">
        <v>432</v>
      </c>
      <c r="JEG90" t="s">
        <v>429</v>
      </c>
      <c r="JEH90" t="s">
        <v>143</v>
      </c>
      <c r="JEI90" t="s">
        <v>398</v>
      </c>
      <c r="JEJ90">
        <v>1</v>
      </c>
      <c r="JEK90" t="s">
        <v>430</v>
      </c>
      <c r="JEL90" t="s">
        <v>431</v>
      </c>
      <c r="JEM90" t="s">
        <v>432</v>
      </c>
      <c r="JEO90" t="s">
        <v>429</v>
      </c>
      <c r="JEP90" t="s">
        <v>143</v>
      </c>
      <c r="JEQ90" t="s">
        <v>398</v>
      </c>
      <c r="JER90">
        <v>1</v>
      </c>
      <c r="JES90" t="s">
        <v>430</v>
      </c>
      <c r="JET90" t="s">
        <v>431</v>
      </c>
      <c r="JEU90" t="s">
        <v>432</v>
      </c>
      <c r="JEW90" t="s">
        <v>429</v>
      </c>
      <c r="JEX90" t="s">
        <v>143</v>
      </c>
      <c r="JEY90" t="s">
        <v>398</v>
      </c>
      <c r="JEZ90">
        <v>1</v>
      </c>
      <c r="JFA90" t="s">
        <v>430</v>
      </c>
      <c r="JFB90" t="s">
        <v>431</v>
      </c>
      <c r="JFC90" t="s">
        <v>432</v>
      </c>
      <c r="JFE90" t="s">
        <v>429</v>
      </c>
      <c r="JFF90" t="s">
        <v>143</v>
      </c>
      <c r="JFG90" t="s">
        <v>398</v>
      </c>
      <c r="JFH90">
        <v>1</v>
      </c>
      <c r="JFI90" t="s">
        <v>430</v>
      </c>
      <c r="JFJ90" t="s">
        <v>431</v>
      </c>
      <c r="JFK90" t="s">
        <v>432</v>
      </c>
      <c r="JFM90" t="s">
        <v>429</v>
      </c>
      <c r="JFN90" t="s">
        <v>143</v>
      </c>
      <c r="JFO90" t="s">
        <v>398</v>
      </c>
      <c r="JFP90">
        <v>1</v>
      </c>
      <c r="JFQ90" t="s">
        <v>430</v>
      </c>
      <c r="JFR90" t="s">
        <v>431</v>
      </c>
      <c r="JFS90" t="s">
        <v>432</v>
      </c>
      <c r="JFU90" t="s">
        <v>429</v>
      </c>
      <c r="JFV90" t="s">
        <v>143</v>
      </c>
      <c r="JFW90" t="s">
        <v>398</v>
      </c>
      <c r="JFX90">
        <v>1</v>
      </c>
      <c r="JFY90" t="s">
        <v>430</v>
      </c>
      <c r="JFZ90" t="s">
        <v>431</v>
      </c>
      <c r="JGA90" t="s">
        <v>432</v>
      </c>
      <c r="JGC90" t="s">
        <v>429</v>
      </c>
      <c r="JGD90" t="s">
        <v>143</v>
      </c>
      <c r="JGE90" t="s">
        <v>398</v>
      </c>
      <c r="JGF90">
        <v>1</v>
      </c>
      <c r="JGG90" t="s">
        <v>430</v>
      </c>
      <c r="JGH90" t="s">
        <v>431</v>
      </c>
      <c r="JGI90" t="s">
        <v>432</v>
      </c>
      <c r="JGK90" t="s">
        <v>429</v>
      </c>
      <c r="JGL90" t="s">
        <v>143</v>
      </c>
      <c r="JGM90" t="s">
        <v>398</v>
      </c>
      <c r="JGN90">
        <v>1</v>
      </c>
      <c r="JGO90" t="s">
        <v>430</v>
      </c>
      <c r="JGP90" t="s">
        <v>431</v>
      </c>
      <c r="JGQ90" t="s">
        <v>432</v>
      </c>
      <c r="JGS90" t="s">
        <v>429</v>
      </c>
      <c r="JGT90" t="s">
        <v>143</v>
      </c>
      <c r="JGU90" t="s">
        <v>398</v>
      </c>
      <c r="JGV90">
        <v>1</v>
      </c>
      <c r="JGW90" t="s">
        <v>430</v>
      </c>
      <c r="JGX90" t="s">
        <v>431</v>
      </c>
      <c r="JGY90" t="s">
        <v>432</v>
      </c>
      <c r="JHA90" t="s">
        <v>429</v>
      </c>
      <c r="JHB90" t="s">
        <v>143</v>
      </c>
      <c r="JHC90" t="s">
        <v>398</v>
      </c>
      <c r="JHD90">
        <v>1</v>
      </c>
      <c r="JHE90" t="s">
        <v>430</v>
      </c>
      <c r="JHF90" t="s">
        <v>431</v>
      </c>
      <c r="JHG90" t="s">
        <v>432</v>
      </c>
      <c r="JHI90" t="s">
        <v>429</v>
      </c>
      <c r="JHJ90" t="s">
        <v>143</v>
      </c>
      <c r="JHK90" t="s">
        <v>398</v>
      </c>
      <c r="JHL90">
        <v>1</v>
      </c>
      <c r="JHM90" t="s">
        <v>430</v>
      </c>
      <c r="JHN90" t="s">
        <v>431</v>
      </c>
      <c r="JHO90" t="s">
        <v>432</v>
      </c>
      <c r="JHQ90" t="s">
        <v>429</v>
      </c>
      <c r="JHR90" t="s">
        <v>143</v>
      </c>
      <c r="JHS90" t="s">
        <v>398</v>
      </c>
      <c r="JHT90">
        <v>1</v>
      </c>
      <c r="JHU90" t="s">
        <v>430</v>
      </c>
      <c r="JHV90" t="s">
        <v>431</v>
      </c>
      <c r="JHW90" t="s">
        <v>432</v>
      </c>
      <c r="JHY90" t="s">
        <v>429</v>
      </c>
      <c r="JHZ90" t="s">
        <v>143</v>
      </c>
      <c r="JIA90" t="s">
        <v>398</v>
      </c>
      <c r="JIB90">
        <v>1</v>
      </c>
      <c r="JIC90" t="s">
        <v>430</v>
      </c>
      <c r="JID90" t="s">
        <v>431</v>
      </c>
      <c r="JIE90" t="s">
        <v>432</v>
      </c>
      <c r="JIG90" t="s">
        <v>429</v>
      </c>
      <c r="JIH90" t="s">
        <v>143</v>
      </c>
      <c r="JII90" t="s">
        <v>398</v>
      </c>
      <c r="JIJ90">
        <v>1</v>
      </c>
      <c r="JIK90" t="s">
        <v>430</v>
      </c>
      <c r="JIL90" t="s">
        <v>431</v>
      </c>
      <c r="JIM90" t="s">
        <v>432</v>
      </c>
      <c r="JIO90" t="s">
        <v>429</v>
      </c>
      <c r="JIP90" t="s">
        <v>143</v>
      </c>
      <c r="JIQ90" t="s">
        <v>398</v>
      </c>
      <c r="JIR90">
        <v>1</v>
      </c>
      <c r="JIS90" t="s">
        <v>430</v>
      </c>
      <c r="JIT90" t="s">
        <v>431</v>
      </c>
      <c r="JIU90" t="s">
        <v>432</v>
      </c>
      <c r="JIW90" t="s">
        <v>429</v>
      </c>
      <c r="JIX90" t="s">
        <v>143</v>
      </c>
      <c r="JIY90" t="s">
        <v>398</v>
      </c>
      <c r="JIZ90">
        <v>1</v>
      </c>
      <c r="JJA90" t="s">
        <v>430</v>
      </c>
      <c r="JJB90" t="s">
        <v>431</v>
      </c>
      <c r="JJC90" t="s">
        <v>432</v>
      </c>
      <c r="JJE90" t="s">
        <v>429</v>
      </c>
      <c r="JJF90" t="s">
        <v>143</v>
      </c>
      <c r="JJG90" t="s">
        <v>398</v>
      </c>
      <c r="JJH90">
        <v>1</v>
      </c>
      <c r="JJI90" t="s">
        <v>430</v>
      </c>
      <c r="JJJ90" t="s">
        <v>431</v>
      </c>
      <c r="JJK90" t="s">
        <v>432</v>
      </c>
      <c r="JJM90" t="s">
        <v>429</v>
      </c>
      <c r="JJN90" t="s">
        <v>143</v>
      </c>
      <c r="JJO90" t="s">
        <v>398</v>
      </c>
      <c r="JJP90">
        <v>1</v>
      </c>
      <c r="JJQ90" t="s">
        <v>430</v>
      </c>
      <c r="JJR90" t="s">
        <v>431</v>
      </c>
      <c r="JJS90" t="s">
        <v>432</v>
      </c>
      <c r="JJU90" t="s">
        <v>429</v>
      </c>
      <c r="JJV90" t="s">
        <v>143</v>
      </c>
      <c r="JJW90" t="s">
        <v>398</v>
      </c>
      <c r="JJX90">
        <v>1</v>
      </c>
      <c r="JJY90" t="s">
        <v>430</v>
      </c>
      <c r="JJZ90" t="s">
        <v>431</v>
      </c>
      <c r="JKA90" t="s">
        <v>432</v>
      </c>
      <c r="JKC90" t="s">
        <v>429</v>
      </c>
      <c r="JKD90" t="s">
        <v>143</v>
      </c>
      <c r="JKE90" t="s">
        <v>398</v>
      </c>
      <c r="JKF90">
        <v>1</v>
      </c>
      <c r="JKG90" t="s">
        <v>430</v>
      </c>
      <c r="JKH90" t="s">
        <v>431</v>
      </c>
      <c r="JKI90" t="s">
        <v>432</v>
      </c>
      <c r="JKK90" t="s">
        <v>429</v>
      </c>
      <c r="JKL90" t="s">
        <v>143</v>
      </c>
      <c r="JKM90" t="s">
        <v>398</v>
      </c>
      <c r="JKN90">
        <v>1</v>
      </c>
      <c r="JKO90" t="s">
        <v>430</v>
      </c>
      <c r="JKP90" t="s">
        <v>431</v>
      </c>
      <c r="JKQ90" t="s">
        <v>432</v>
      </c>
      <c r="JKS90" t="s">
        <v>429</v>
      </c>
      <c r="JKT90" t="s">
        <v>143</v>
      </c>
      <c r="JKU90" t="s">
        <v>398</v>
      </c>
      <c r="JKV90">
        <v>1</v>
      </c>
      <c r="JKW90" t="s">
        <v>430</v>
      </c>
      <c r="JKX90" t="s">
        <v>431</v>
      </c>
      <c r="JKY90" t="s">
        <v>432</v>
      </c>
      <c r="JLA90" t="s">
        <v>429</v>
      </c>
      <c r="JLB90" t="s">
        <v>143</v>
      </c>
      <c r="JLC90" t="s">
        <v>398</v>
      </c>
      <c r="JLD90">
        <v>1</v>
      </c>
      <c r="JLE90" t="s">
        <v>430</v>
      </c>
      <c r="JLF90" t="s">
        <v>431</v>
      </c>
      <c r="JLG90" t="s">
        <v>432</v>
      </c>
      <c r="JLI90" t="s">
        <v>429</v>
      </c>
      <c r="JLJ90" t="s">
        <v>143</v>
      </c>
      <c r="JLK90" t="s">
        <v>398</v>
      </c>
      <c r="JLL90">
        <v>1</v>
      </c>
      <c r="JLM90" t="s">
        <v>430</v>
      </c>
      <c r="JLN90" t="s">
        <v>431</v>
      </c>
      <c r="JLO90" t="s">
        <v>432</v>
      </c>
      <c r="JLQ90" t="s">
        <v>429</v>
      </c>
      <c r="JLR90" t="s">
        <v>143</v>
      </c>
      <c r="JLS90" t="s">
        <v>398</v>
      </c>
      <c r="JLT90">
        <v>1</v>
      </c>
      <c r="JLU90" t="s">
        <v>430</v>
      </c>
      <c r="JLV90" t="s">
        <v>431</v>
      </c>
      <c r="JLW90" t="s">
        <v>432</v>
      </c>
      <c r="JLY90" t="s">
        <v>429</v>
      </c>
      <c r="JLZ90" t="s">
        <v>143</v>
      </c>
      <c r="JMA90" t="s">
        <v>398</v>
      </c>
      <c r="JMB90">
        <v>1</v>
      </c>
      <c r="JMC90" t="s">
        <v>430</v>
      </c>
      <c r="JMD90" t="s">
        <v>431</v>
      </c>
      <c r="JME90" t="s">
        <v>432</v>
      </c>
      <c r="JMG90" t="s">
        <v>429</v>
      </c>
      <c r="JMH90" t="s">
        <v>143</v>
      </c>
      <c r="JMI90" t="s">
        <v>398</v>
      </c>
      <c r="JMJ90">
        <v>1</v>
      </c>
      <c r="JMK90" t="s">
        <v>430</v>
      </c>
      <c r="JML90" t="s">
        <v>431</v>
      </c>
      <c r="JMM90" t="s">
        <v>432</v>
      </c>
      <c r="JMO90" t="s">
        <v>429</v>
      </c>
      <c r="JMP90" t="s">
        <v>143</v>
      </c>
      <c r="JMQ90" t="s">
        <v>398</v>
      </c>
      <c r="JMR90">
        <v>1</v>
      </c>
      <c r="JMS90" t="s">
        <v>430</v>
      </c>
      <c r="JMT90" t="s">
        <v>431</v>
      </c>
      <c r="JMU90" t="s">
        <v>432</v>
      </c>
      <c r="JMW90" t="s">
        <v>429</v>
      </c>
      <c r="JMX90" t="s">
        <v>143</v>
      </c>
      <c r="JMY90" t="s">
        <v>398</v>
      </c>
      <c r="JMZ90">
        <v>1</v>
      </c>
      <c r="JNA90" t="s">
        <v>430</v>
      </c>
      <c r="JNB90" t="s">
        <v>431</v>
      </c>
      <c r="JNC90" t="s">
        <v>432</v>
      </c>
      <c r="JNE90" t="s">
        <v>429</v>
      </c>
      <c r="JNF90" t="s">
        <v>143</v>
      </c>
      <c r="JNG90" t="s">
        <v>398</v>
      </c>
      <c r="JNH90">
        <v>1</v>
      </c>
      <c r="JNI90" t="s">
        <v>430</v>
      </c>
      <c r="JNJ90" t="s">
        <v>431</v>
      </c>
      <c r="JNK90" t="s">
        <v>432</v>
      </c>
      <c r="JNM90" t="s">
        <v>429</v>
      </c>
      <c r="JNN90" t="s">
        <v>143</v>
      </c>
      <c r="JNO90" t="s">
        <v>398</v>
      </c>
      <c r="JNP90">
        <v>1</v>
      </c>
      <c r="JNQ90" t="s">
        <v>430</v>
      </c>
      <c r="JNR90" t="s">
        <v>431</v>
      </c>
      <c r="JNS90" t="s">
        <v>432</v>
      </c>
      <c r="JNU90" t="s">
        <v>429</v>
      </c>
      <c r="JNV90" t="s">
        <v>143</v>
      </c>
      <c r="JNW90" t="s">
        <v>398</v>
      </c>
      <c r="JNX90">
        <v>1</v>
      </c>
      <c r="JNY90" t="s">
        <v>430</v>
      </c>
      <c r="JNZ90" t="s">
        <v>431</v>
      </c>
      <c r="JOA90" t="s">
        <v>432</v>
      </c>
      <c r="JOC90" t="s">
        <v>429</v>
      </c>
      <c r="JOD90" t="s">
        <v>143</v>
      </c>
      <c r="JOE90" t="s">
        <v>398</v>
      </c>
      <c r="JOF90">
        <v>1</v>
      </c>
      <c r="JOG90" t="s">
        <v>430</v>
      </c>
      <c r="JOH90" t="s">
        <v>431</v>
      </c>
      <c r="JOI90" t="s">
        <v>432</v>
      </c>
      <c r="JOK90" t="s">
        <v>429</v>
      </c>
      <c r="JOL90" t="s">
        <v>143</v>
      </c>
      <c r="JOM90" t="s">
        <v>398</v>
      </c>
      <c r="JON90">
        <v>1</v>
      </c>
      <c r="JOO90" t="s">
        <v>430</v>
      </c>
      <c r="JOP90" t="s">
        <v>431</v>
      </c>
      <c r="JOQ90" t="s">
        <v>432</v>
      </c>
      <c r="JOS90" t="s">
        <v>429</v>
      </c>
      <c r="JOT90" t="s">
        <v>143</v>
      </c>
      <c r="JOU90" t="s">
        <v>398</v>
      </c>
      <c r="JOV90">
        <v>1</v>
      </c>
      <c r="JOW90" t="s">
        <v>430</v>
      </c>
      <c r="JOX90" t="s">
        <v>431</v>
      </c>
      <c r="JOY90" t="s">
        <v>432</v>
      </c>
      <c r="JPA90" t="s">
        <v>429</v>
      </c>
      <c r="JPB90" t="s">
        <v>143</v>
      </c>
      <c r="JPC90" t="s">
        <v>398</v>
      </c>
      <c r="JPD90">
        <v>1</v>
      </c>
      <c r="JPE90" t="s">
        <v>430</v>
      </c>
      <c r="JPF90" t="s">
        <v>431</v>
      </c>
      <c r="JPG90" t="s">
        <v>432</v>
      </c>
      <c r="JPI90" t="s">
        <v>429</v>
      </c>
      <c r="JPJ90" t="s">
        <v>143</v>
      </c>
      <c r="JPK90" t="s">
        <v>398</v>
      </c>
      <c r="JPL90">
        <v>1</v>
      </c>
      <c r="JPM90" t="s">
        <v>430</v>
      </c>
      <c r="JPN90" t="s">
        <v>431</v>
      </c>
      <c r="JPO90" t="s">
        <v>432</v>
      </c>
      <c r="JPQ90" t="s">
        <v>429</v>
      </c>
      <c r="JPR90" t="s">
        <v>143</v>
      </c>
      <c r="JPS90" t="s">
        <v>398</v>
      </c>
      <c r="JPT90">
        <v>1</v>
      </c>
      <c r="JPU90" t="s">
        <v>430</v>
      </c>
      <c r="JPV90" t="s">
        <v>431</v>
      </c>
      <c r="JPW90" t="s">
        <v>432</v>
      </c>
      <c r="JPY90" t="s">
        <v>429</v>
      </c>
      <c r="JPZ90" t="s">
        <v>143</v>
      </c>
      <c r="JQA90" t="s">
        <v>398</v>
      </c>
      <c r="JQB90">
        <v>1</v>
      </c>
      <c r="JQC90" t="s">
        <v>430</v>
      </c>
      <c r="JQD90" t="s">
        <v>431</v>
      </c>
      <c r="JQE90" t="s">
        <v>432</v>
      </c>
      <c r="JQG90" t="s">
        <v>429</v>
      </c>
      <c r="JQH90" t="s">
        <v>143</v>
      </c>
      <c r="JQI90" t="s">
        <v>398</v>
      </c>
      <c r="JQJ90">
        <v>1</v>
      </c>
      <c r="JQK90" t="s">
        <v>430</v>
      </c>
      <c r="JQL90" t="s">
        <v>431</v>
      </c>
      <c r="JQM90" t="s">
        <v>432</v>
      </c>
      <c r="JQO90" t="s">
        <v>429</v>
      </c>
      <c r="JQP90" t="s">
        <v>143</v>
      </c>
      <c r="JQQ90" t="s">
        <v>398</v>
      </c>
      <c r="JQR90">
        <v>1</v>
      </c>
      <c r="JQS90" t="s">
        <v>430</v>
      </c>
      <c r="JQT90" t="s">
        <v>431</v>
      </c>
      <c r="JQU90" t="s">
        <v>432</v>
      </c>
      <c r="JQW90" t="s">
        <v>429</v>
      </c>
      <c r="JQX90" t="s">
        <v>143</v>
      </c>
      <c r="JQY90" t="s">
        <v>398</v>
      </c>
      <c r="JQZ90">
        <v>1</v>
      </c>
      <c r="JRA90" t="s">
        <v>430</v>
      </c>
      <c r="JRB90" t="s">
        <v>431</v>
      </c>
      <c r="JRC90" t="s">
        <v>432</v>
      </c>
      <c r="JRE90" t="s">
        <v>429</v>
      </c>
      <c r="JRF90" t="s">
        <v>143</v>
      </c>
      <c r="JRG90" t="s">
        <v>398</v>
      </c>
      <c r="JRH90">
        <v>1</v>
      </c>
      <c r="JRI90" t="s">
        <v>430</v>
      </c>
      <c r="JRJ90" t="s">
        <v>431</v>
      </c>
      <c r="JRK90" t="s">
        <v>432</v>
      </c>
      <c r="JRM90" t="s">
        <v>429</v>
      </c>
      <c r="JRN90" t="s">
        <v>143</v>
      </c>
      <c r="JRO90" t="s">
        <v>398</v>
      </c>
      <c r="JRP90">
        <v>1</v>
      </c>
      <c r="JRQ90" t="s">
        <v>430</v>
      </c>
      <c r="JRR90" t="s">
        <v>431</v>
      </c>
      <c r="JRS90" t="s">
        <v>432</v>
      </c>
      <c r="JRU90" t="s">
        <v>429</v>
      </c>
      <c r="JRV90" t="s">
        <v>143</v>
      </c>
      <c r="JRW90" t="s">
        <v>398</v>
      </c>
      <c r="JRX90">
        <v>1</v>
      </c>
      <c r="JRY90" t="s">
        <v>430</v>
      </c>
      <c r="JRZ90" t="s">
        <v>431</v>
      </c>
      <c r="JSA90" t="s">
        <v>432</v>
      </c>
      <c r="JSC90" t="s">
        <v>429</v>
      </c>
      <c r="JSD90" t="s">
        <v>143</v>
      </c>
      <c r="JSE90" t="s">
        <v>398</v>
      </c>
      <c r="JSF90">
        <v>1</v>
      </c>
      <c r="JSG90" t="s">
        <v>430</v>
      </c>
      <c r="JSH90" t="s">
        <v>431</v>
      </c>
      <c r="JSI90" t="s">
        <v>432</v>
      </c>
      <c r="JSK90" t="s">
        <v>429</v>
      </c>
      <c r="JSL90" t="s">
        <v>143</v>
      </c>
      <c r="JSM90" t="s">
        <v>398</v>
      </c>
      <c r="JSN90">
        <v>1</v>
      </c>
      <c r="JSO90" t="s">
        <v>430</v>
      </c>
      <c r="JSP90" t="s">
        <v>431</v>
      </c>
      <c r="JSQ90" t="s">
        <v>432</v>
      </c>
      <c r="JSS90" t="s">
        <v>429</v>
      </c>
      <c r="JST90" t="s">
        <v>143</v>
      </c>
      <c r="JSU90" t="s">
        <v>398</v>
      </c>
      <c r="JSV90">
        <v>1</v>
      </c>
      <c r="JSW90" t="s">
        <v>430</v>
      </c>
      <c r="JSX90" t="s">
        <v>431</v>
      </c>
      <c r="JSY90" t="s">
        <v>432</v>
      </c>
      <c r="JTA90" t="s">
        <v>429</v>
      </c>
      <c r="JTB90" t="s">
        <v>143</v>
      </c>
      <c r="JTC90" t="s">
        <v>398</v>
      </c>
      <c r="JTD90">
        <v>1</v>
      </c>
      <c r="JTE90" t="s">
        <v>430</v>
      </c>
      <c r="JTF90" t="s">
        <v>431</v>
      </c>
      <c r="JTG90" t="s">
        <v>432</v>
      </c>
      <c r="JTI90" t="s">
        <v>429</v>
      </c>
      <c r="JTJ90" t="s">
        <v>143</v>
      </c>
      <c r="JTK90" t="s">
        <v>398</v>
      </c>
      <c r="JTL90">
        <v>1</v>
      </c>
      <c r="JTM90" t="s">
        <v>430</v>
      </c>
      <c r="JTN90" t="s">
        <v>431</v>
      </c>
      <c r="JTO90" t="s">
        <v>432</v>
      </c>
      <c r="JTQ90" t="s">
        <v>429</v>
      </c>
      <c r="JTR90" t="s">
        <v>143</v>
      </c>
      <c r="JTS90" t="s">
        <v>398</v>
      </c>
      <c r="JTT90">
        <v>1</v>
      </c>
      <c r="JTU90" t="s">
        <v>430</v>
      </c>
      <c r="JTV90" t="s">
        <v>431</v>
      </c>
      <c r="JTW90" t="s">
        <v>432</v>
      </c>
      <c r="JTY90" t="s">
        <v>429</v>
      </c>
      <c r="JTZ90" t="s">
        <v>143</v>
      </c>
      <c r="JUA90" t="s">
        <v>398</v>
      </c>
      <c r="JUB90">
        <v>1</v>
      </c>
      <c r="JUC90" t="s">
        <v>430</v>
      </c>
      <c r="JUD90" t="s">
        <v>431</v>
      </c>
      <c r="JUE90" t="s">
        <v>432</v>
      </c>
      <c r="JUG90" t="s">
        <v>429</v>
      </c>
      <c r="JUH90" t="s">
        <v>143</v>
      </c>
      <c r="JUI90" t="s">
        <v>398</v>
      </c>
      <c r="JUJ90">
        <v>1</v>
      </c>
      <c r="JUK90" t="s">
        <v>430</v>
      </c>
      <c r="JUL90" t="s">
        <v>431</v>
      </c>
      <c r="JUM90" t="s">
        <v>432</v>
      </c>
      <c r="JUO90" t="s">
        <v>429</v>
      </c>
      <c r="JUP90" t="s">
        <v>143</v>
      </c>
      <c r="JUQ90" t="s">
        <v>398</v>
      </c>
      <c r="JUR90">
        <v>1</v>
      </c>
      <c r="JUS90" t="s">
        <v>430</v>
      </c>
      <c r="JUT90" t="s">
        <v>431</v>
      </c>
      <c r="JUU90" t="s">
        <v>432</v>
      </c>
      <c r="JUW90" t="s">
        <v>429</v>
      </c>
      <c r="JUX90" t="s">
        <v>143</v>
      </c>
      <c r="JUY90" t="s">
        <v>398</v>
      </c>
      <c r="JUZ90">
        <v>1</v>
      </c>
      <c r="JVA90" t="s">
        <v>430</v>
      </c>
      <c r="JVB90" t="s">
        <v>431</v>
      </c>
      <c r="JVC90" t="s">
        <v>432</v>
      </c>
      <c r="JVE90" t="s">
        <v>429</v>
      </c>
      <c r="JVF90" t="s">
        <v>143</v>
      </c>
      <c r="JVG90" t="s">
        <v>398</v>
      </c>
      <c r="JVH90">
        <v>1</v>
      </c>
      <c r="JVI90" t="s">
        <v>430</v>
      </c>
      <c r="JVJ90" t="s">
        <v>431</v>
      </c>
      <c r="JVK90" t="s">
        <v>432</v>
      </c>
      <c r="JVM90" t="s">
        <v>429</v>
      </c>
      <c r="JVN90" t="s">
        <v>143</v>
      </c>
      <c r="JVO90" t="s">
        <v>398</v>
      </c>
      <c r="JVP90">
        <v>1</v>
      </c>
      <c r="JVQ90" t="s">
        <v>430</v>
      </c>
      <c r="JVR90" t="s">
        <v>431</v>
      </c>
      <c r="JVS90" t="s">
        <v>432</v>
      </c>
      <c r="JVU90" t="s">
        <v>429</v>
      </c>
      <c r="JVV90" t="s">
        <v>143</v>
      </c>
      <c r="JVW90" t="s">
        <v>398</v>
      </c>
      <c r="JVX90">
        <v>1</v>
      </c>
      <c r="JVY90" t="s">
        <v>430</v>
      </c>
      <c r="JVZ90" t="s">
        <v>431</v>
      </c>
      <c r="JWA90" t="s">
        <v>432</v>
      </c>
      <c r="JWC90" t="s">
        <v>429</v>
      </c>
      <c r="JWD90" t="s">
        <v>143</v>
      </c>
      <c r="JWE90" t="s">
        <v>398</v>
      </c>
      <c r="JWF90">
        <v>1</v>
      </c>
      <c r="JWG90" t="s">
        <v>430</v>
      </c>
      <c r="JWH90" t="s">
        <v>431</v>
      </c>
      <c r="JWI90" t="s">
        <v>432</v>
      </c>
      <c r="JWK90" t="s">
        <v>429</v>
      </c>
      <c r="JWL90" t="s">
        <v>143</v>
      </c>
      <c r="JWM90" t="s">
        <v>398</v>
      </c>
      <c r="JWN90">
        <v>1</v>
      </c>
      <c r="JWO90" t="s">
        <v>430</v>
      </c>
      <c r="JWP90" t="s">
        <v>431</v>
      </c>
      <c r="JWQ90" t="s">
        <v>432</v>
      </c>
      <c r="JWS90" t="s">
        <v>429</v>
      </c>
      <c r="JWT90" t="s">
        <v>143</v>
      </c>
      <c r="JWU90" t="s">
        <v>398</v>
      </c>
      <c r="JWV90">
        <v>1</v>
      </c>
      <c r="JWW90" t="s">
        <v>430</v>
      </c>
      <c r="JWX90" t="s">
        <v>431</v>
      </c>
      <c r="JWY90" t="s">
        <v>432</v>
      </c>
      <c r="JXA90" t="s">
        <v>429</v>
      </c>
      <c r="JXB90" t="s">
        <v>143</v>
      </c>
      <c r="JXC90" t="s">
        <v>398</v>
      </c>
      <c r="JXD90">
        <v>1</v>
      </c>
      <c r="JXE90" t="s">
        <v>430</v>
      </c>
      <c r="JXF90" t="s">
        <v>431</v>
      </c>
      <c r="JXG90" t="s">
        <v>432</v>
      </c>
      <c r="JXI90" t="s">
        <v>429</v>
      </c>
      <c r="JXJ90" t="s">
        <v>143</v>
      </c>
      <c r="JXK90" t="s">
        <v>398</v>
      </c>
      <c r="JXL90">
        <v>1</v>
      </c>
      <c r="JXM90" t="s">
        <v>430</v>
      </c>
      <c r="JXN90" t="s">
        <v>431</v>
      </c>
      <c r="JXO90" t="s">
        <v>432</v>
      </c>
      <c r="JXQ90" t="s">
        <v>429</v>
      </c>
      <c r="JXR90" t="s">
        <v>143</v>
      </c>
      <c r="JXS90" t="s">
        <v>398</v>
      </c>
      <c r="JXT90">
        <v>1</v>
      </c>
      <c r="JXU90" t="s">
        <v>430</v>
      </c>
      <c r="JXV90" t="s">
        <v>431</v>
      </c>
      <c r="JXW90" t="s">
        <v>432</v>
      </c>
      <c r="JXY90" t="s">
        <v>429</v>
      </c>
      <c r="JXZ90" t="s">
        <v>143</v>
      </c>
      <c r="JYA90" t="s">
        <v>398</v>
      </c>
      <c r="JYB90">
        <v>1</v>
      </c>
      <c r="JYC90" t="s">
        <v>430</v>
      </c>
      <c r="JYD90" t="s">
        <v>431</v>
      </c>
      <c r="JYE90" t="s">
        <v>432</v>
      </c>
      <c r="JYG90" t="s">
        <v>429</v>
      </c>
      <c r="JYH90" t="s">
        <v>143</v>
      </c>
      <c r="JYI90" t="s">
        <v>398</v>
      </c>
      <c r="JYJ90">
        <v>1</v>
      </c>
      <c r="JYK90" t="s">
        <v>430</v>
      </c>
      <c r="JYL90" t="s">
        <v>431</v>
      </c>
      <c r="JYM90" t="s">
        <v>432</v>
      </c>
      <c r="JYO90" t="s">
        <v>429</v>
      </c>
      <c r="JYP90" t="s">
        <v>143</v>
      </c>
      <c r="JYQ90" t="s">
        <v>398</v>
      </c>
      <c r="JYR90">
        <v>1</v>
      </c>
      <c r="JYS90" t="s">
        <v>430</v>
      </c>
      <c r="JYT90" t="s">
        <v>431</v>
      </c>
      <c r="JYU90" t="s">
        <v>432</v>
      </c>
      <c r="JYW90" t="s">
        <v>429</v>
      </c>
      <c r="JYX90" t="s">
        <v>143</v>
      </c>
      <c r="JYY90" t="s">
        <v>398</v>
      </c>
      <c r="JYZ90">
        <v>1</v>
      </c>
      <c r="JZA90" t="s">
        <v>430</v>
      </c>
      <c r="JZB90" t="s">
        <v>431</v>
      </c>
      <c r="JZC90" t="s">
        <v>432</v>
      </c>
      <c r="JZE90" t="s">
        <v>429</v>
      </c>
      <c r="JZF90" t="s">
        <v>143</v>
      </c>
      <c r="JZG90" t="s">
        <v>398</v>
      </c>
      <c r="JZH90">
        <v>1</v>
      </c>
      <c r="JZI90" t="s">
        <v>430</v>
      </c>
      <c r="JZJ90" t="s">
        <v>431</v>
      </c>
      <c r="JZK90" t="s">
        <v>432</v>
      </c>
      <c r="JZM90" t="s">
        <v>429</v>
      </c>
      <c r="JZN90" t="s">
        <v>143</v>
      </c>
      <c r="JZO90" t="s">
        <v>398</v>
      </c>
      <c r="JZP90">
        <v>1</v>
      </c>
      <c r="JZQ90" t="s">
        <v>430</v>
      </c>
      <c r="JZR90" t="s">
        <v>431</v>
      </c>
      <c r="JZS90" t="s">
        <v>432</v>
      </c>
      <c r="JZU90" t="s">
        <v>429</v>
      </c>
      <c r="JZV90" t="s">
        <v>143</v>
      </c>
      <c r="JZW90" t="s">
        <v>398</v>
      </c>
      <c r="JZX90">
        <v>1</v>
      </c>
      <c r="JZY90" t="s">
        <v>430</v>
      </c>
      <c r="JZZ90" t="s">
        <v>431</v>
      </c>
      <c r="KAA90" t="s">
        <v>432</v>
      </c>
      <c r="KAC90" t="s">
        <v>429</v>
      </c>
      <c r="KAD90" t="s">
        <v>143</v>
      </c>
      <c r="KAE90" t="s">
        <v>398</v>
      </c>
      <c r="KAF90">
        <v>1</v>
      </c>
      <c r="KAG90" t="s">
        <v>430</v>
      </c>
      <c r="KAH90" t="s">
        <v>431</v>
      </c>
      <c r="KAI90" t="s">
        <v>432</v>
      </c>
      <c r="KAK90" t="s">
        <v>429</v>
      </c>
      <c r="KAL90" t="s">
        <v>143</v>
      </c>
      <c r="KAM90" t="s">
        <v>398</v>
      </c>
      <c r="KAN90">
        <v>1</v>
      </c>
      <c r="KAO90" t="s">
        <v>430</v>
      </c>
      <c r="KAP90" t="s">
        <v>431</v>
      </c>
      <c r="KAQ90" t="s">
        <v>432</v>
      </c>
      <c r="KAS90" t="s">
        <v>429</v>
      </c>
      <c r="KAT90" t="s">
        <v>143</v>
      </c>
      <c r="KAU90" t="s">
        <v>398</v>
      </c>
      <c r="KAV90">
        <v>1</v>
      </c>
      <c r="KAW90" t="s">
        <v>430</v>
      </c>
      <c r="KAX90" t="s">
        <v>431</v>
      </c>
      <c r="KAY90" t="s">
        <v>432</v>
      </c>
      <c r="KBA90" t="s">
        <v>429</v>
      </c>
      <c r="KBB90" t="s">
        <v>143</v>
      </c>
      <c r="KBC90" t="s">
        <v>398</v>
      </c>
      <c r="KBD90">
        <v>1</v>
      </c>
      <c r="KBE90" t="s">
        <v>430</v>
      </c>
      <c r="KBF90" t="s">
        <v>431</v>
      </c>
      <c r="KBG90" t="s">
        <v>432</v>
      </c>
      <c r="KBI90" t="s">
        <v>429</v>
      </c>
      <c r="KBJ90" t="s">
        <v>143</v>
      </c>
      <c r="KBK90" t="s">
        <v>398</v>
      </c>
      <c r="KBL90">
        <v>1</v>
      </c>
      <c r="KBM90" t="s">
        <v>430</v>
      </c>
      <c r="KBN90" t="s">
        <v>431</v>
      </c>
      <c r="KBO90" t="s">
        <v>432</v>
      </c>
      <c r="KBQ90" t="s">
        <v>429</v>
      </c>
      <c r="KBR90" t="s">
        <v>143</v>
      </c>
      <c r="KBS90" t="s">
        <v>398</v>
      </c>
      <c r="KBT90">
        <v>1</v>
      </c>
      <c r="KBU90" t="s">
        <v>430</v>
      </c>
      <c r="KBV90" t="s">
        <v>431</v>
      </c>
      <c r="KBW90" t="s">
        <v>432</v>
      </c>
      <c r="KBY90" t="s">
        <v>429</v>
      </c>
      <c r="KBZ90" t="s">
        <v>143</v>
      </c>
      <c r="KCA90" t="s">
        <v>398</v>
      </c>
      <c r="KCB90">
        <v>1</v>
      </c>
      <c r="KCC90" t="s">
        <v>430</v>
      </c>
      <c r="KCD90" t="s">
        <v>431</v>
      </c>
      <c r="KCE90" t="s">
        <v>432</v>
      </c>
      <c r="KCG90" t="s">
        <v>429</v>
      </c>
      <c r="KCH90" t="s">
        <v>143</v>
      </c>
      <c r="KCI90" t="s">
        <v>398</v>
      </c>
      <c r="KCJ90">
        <v>1</v>
      </c>
      <c r="KCK90" t="s">
        <v>430</v>
      </c>
      <c r="KCL90" t="s">
        <v>431</v>
      </c>
      <c r="KCM90" t="s">
        <v>432</v>
      </c>
      <c r="KCO90" t="s">
        <v>429</v>
      </c>
      <c r="KCP90" t="s">
        <v>143</v>
      </c>
      <c r="KCQ90" t="s">
        <v>398</v>
      </c>
      <c r="KCR90">
        <v>1</v>
      </c>
      <c r="KCS90" t="s">
        <v>430</v>
      </c>
      <c r="KCT90" t="s">
        <v>431</v>
      </c>
      <c r="KCU90" t="s">
        <v>432</v>
      </c>
      <c r="KCW90" t="s">
        <v>429</v>
      </c>
      <c r="KCX90" t="s">
        <v>143</v>
      </c>
      <c r="KCY90" t="s">
        <v>398</v>
      </c>
      <c r="KCZ90">
        <v>1</v>
      </c>
      <c r="KDA90" t="s">
        <v>430</v>
      </c>
      <c r="KDB90" t="s">
        <v>431</v>
      </c>
      <c r="KDC90" t="s">
        <v>432</v>
      </c>
      <c r="KDE90" t="s">
        <v>429</v>
      </c>
      <c r="KDF90" t="s">
        <v>143</v>
      </c>
      <c r="KDG90" t="s">
        <v>398</v>
      </c>
      <c r="KDH90">
        <v>1</v>
      </c>
      <c r="KDI90" t="s">
        <v>430</v>
      </c>
      <c r="KDJ90" t="s">
        <v>431</v>
      </c>
      <c r="KDK90" t="s">
        <v>432</v>
      </c>
      <c r="KDM90" t="s">
        <v>429</v>
      </c>
      <c r="KDN90" t="s">
        <v>143</v>
      </c>
      <c r="KDO90" t="s">
        <v>398</v>
      </c>
      <c r="KDP90">
        <v>1</v>
      </c>
      <c r="KDQ90" t="s">
        <v>430</v>
      </c>
      <c r="KDR90" t="s">
        <v>431</v>
      </c>
      <c r="KDS90" t="s">
        <v>432</v>
      </c>
      <c r="KDU90" t="s">
        <v>429</v>
      </c>
      <c r="KDV90" t="s">
        <v>143</v>
      </c>
      <c r="KDW90" t="s">
        <v>398</v>
      </c>
      <c r="KDX90">
        <v>1</v>
      </c>
      <c r="KDY90" t="s">
        <v>430</v>
      </c>
      <c r="KDZ90" t="s">
        <v>431</v>
      </c>
      <c r="KEA90" t="s">
        <v>432</v>
      </c>
      <c r="KEC90" t="s">
        <v>429</v>
      </c>
      <c r="KED90" t="s">
        <v>143</v>
      </c>
      <c r="KEE90" t="s">
        <v>398</v>
      </c>
      <c r="KEF90">
        <v>1</v>
      </c>
      <c r="KEG90" t="s">
        <v>430</v>
      </c>
      <c r="KEH90" t="s">
        <v>431</v>
      </c>
      <c r="KEI90" t="s">
        <v>432</v>
      </c>
      <c r="KEK90" t="s">
        <v>429</v>
      </c>
      <c r="KEL90" t="s">
        <v>143</v>
      </c>
      <c r="KEM90" t="s">
        <v>398</v>
      </c>
      <c r="KEN90">
        <v>1</v>
      </c>
      <c r="KEO90" t="s">
        <v>430</v>
      </c>
      <c r="KEP90" t="s">
        <v>431</v>
      </c>
      <c r="KEQ90" t="s">
        <v>432</v>
      </c>
      <c r="KES90" t="s">
        <v>429</v>
      </c>
      <c r="KET90" t="s">
        <v>143</v>
      </c>
      <c r="KEU90" t="s">
        <v>398</v>
      </c>
      <c r="KEV90">
        <v>1</v>
      </c>
      <c r="KEW90" t="s">
        <v>430</v>
      </c>
      <c r="KEX90" t="s">
        <v>431</v>
      </c>
      <c r="KEY90" t="s">
        <v>432</v>
      </c>
      <c r="KFA90" t="s">
        <v>429</v>
      </c>
      <c r="KFB90" t="s">
        <v>143</v>
      </c>
      <c r="KFC90" t="s">
        <v>398</v>
      </c>
      <c r="KFD90">
        <v>1</v>
      </c>
      <c r="KFE90" t="s">
        <v>430</v>
      </c>
      <c r="KFF90" t="s">
        <v>431</v>
      </c>
      <c r="KFG90" t="s">
        <v>432</v>
      </c>
      <c r="KFI90" t="s">
        <v>429</v>
      </c>
      <c r="KFJ90" t="s">
        <v>143</v>
      </c>
      <c r="KFK90" t="s">
        <v>398</v>
      </c>
      <c r="KFL90">
        <v>1</v>
      </c>
      <c r="KFM90" t="s">
        <v>430</v>
      </c>
      <c r="KFN90" t="s">
        <v>431</v>
      </c>
      <c r="KFO90" t="s">
        <v>432</v>
      </c>
      <c r="KFQ90" t="s">
        <v>429</v>
      </c>
      <c r="KFR90" t="s">
        <v>143</v>
      </c>
      <c r="KFS90" t="s">
        <v>398</v>
      </c>
      <c r="KFT90">
        <v>1</v>
      </c>
      <c r="KFU90" t="s">
        <v>430</v>
      </c>
      <c r="KFV90" t="s">
        <v>431</v>
      </c>
      <c r="KFW90" t="s">
        <v>432</v>
      </c>
      <c r="KFY90" t="s">
        <v>429</v>
      </c>
      <c r="KFZ90" t="s">
        <v>143</v>
      </c>
      <c r="KGA90" t="s">
        <v>398</v>
      </c>
      <c r="KGB90">
        <v>1</v>
      </c>
      <c r="KGC90" t="s">
        <v>430</v>
      </c>
      <c r="KGD90" t="s">
        <v>431</v>
      </c>
      <c r="KGE90" t="s">
        <v>432</v>
      </c>
      <c r="KGG90" t="s">
        <v>429</v>
      </c>
      <c r="KGH90" t="s">
        <v>143</v>
      </c>
      <c r="KGI90" t="s">
        <v>398</v>
      </c>
      <c r="KGJ90">
        <v>1</v>
      </c>
      <c r="KGK90" t="s">
        <v>430</v>
      </c>
      <c r="KGL90" t="s">
        <v>431</v>
      </c>
      <c r="KGM90" t="s">
        <v>432</v>
      </c>
      <c r="KGO90" t="s">
        <v>429</v>
      </c>
      <c r="KGP90" t="s">
        <v>143</v>
      </c>
      <c r="KGQ90" t="s">
        <v>398</v>
      </c>
      <c r="KGR90">
        <v>1</v>
      </c>
      <c r="KGS90" t="s">
        <v>430</v>
      </c>
      <c r="KGT90" t="s">
        <v>431</v>
      </c>
      <c r="KGU90" t="s">
        <v>432</v>
      </c>
      <c r="KGW90" t="s">
        <v>429</v>
      </c>
      <c r="KGX90" t="s">
        <v>143</v>
      </c>
      <c r="KGY90" t="s">
        <v>398</v>
      </c>
      <c r="KGZ90">
        <v>1</v>
      </c>
      <c r="KHA90" t="s">
        <v>430</v>
      </c>
      <c r="KHB90" t="s">
        <v>431</v>
      </c>
      <c r="KHC90" t="s">
        <v>432</v>
      </c>
      <c r="KHE90" t="s">
        <v>429</v>
      </c>
      <c r="KHF90" t="s">
        <v>143</v>
      </c>
      <c r="KHG90" t="s">
        <v>398</v>
      </c>
      <c r="KHH90">
        <v>1</v>
      </c>
      <c r="KHI90" t="s">
        <v>430</v>
      </c>
      <c r="KHJ90" t="s">
        <v>431</v>
      </c>
      <c r="KHK90" t="s">
        <v>432</v>
      </c>
      <c r="KHM90" t="s">
        <v>429</v>
      </c>
      <c r="KHN90" t="s">
        <v>143</v>
      </c>
      <c r="KHO90" t="s">
        <v>398</v>
      </c>
      <c r="KHP90">
        <v>1</v>
      </c>
      <c r="KHQ90" t="s">
        <v>430</v>
      </c>
      <c r="KHR90" t="s">
        <v>431</v>
      </c>
      <c r="KHS90" t="s">
        <v>432</v>
      </c>
      <c r="KHU90" t="s">
        <v>429</v>
      </c>
      <c r="KHV90" t="s">
        <v>143</v>
      </c>
      <c r="KHW90" t="s">
        <v>398</v>
      </c>
      <c r="KHX90">
        <v>1</v>
      </c>
      <c r="KHY90" t="s">
        <v>430</v>
      </c>
      <c r="KHZ90" t="s">
        <v>431</v>
      </c>
      <c r="KIA90" t="s">
        <v>432</v>
      </c>
      <c r="KIC90" t="s">
        <v>429</v>
      </c>
      <c r="KID90" t="s">
        <v>143</v>
      </c>
      <c r="KIE90" t="s">
        <v>398</v>
      </c>
      <c r="KIF90">
        <v>1</v>
      </c>
      <c r="KIG90" t="s">
        <v>430</v>
      </c>
      <c r="KIH90" t="s">
        <v>431</v>
      </c>
      <c r="KII90" t="s">
        <v>432</v>
      </c>
      <c r="KIK90" t="s">
        <v>429</v>
      </c>
      <c r="KIL90" t="s">
        <v>143</v>
      </c>
      <c r="KIM90" t="s">
        <v>398</v>
      </c>
      <c r="KIN90">
        <v>1</v>
      </c>
      <c r="KIO90" t="s">
        <v>430</v>
      </c>
      <c r="KIP90" t="s">
        <v>431</v>
      </c>
      <c r="KIQ90" t="s">
        <v>432</v>
      </c>
      <c r="KIS90" t="s">
        <v>429</v>
      </c>
      <c r="KIT90" t="s">
        <v>143</v>
      </c>
      <c r="KIU90" t="s">
        <v>398</v>
      </c>
      <c r="KIV90">
        <v>1</v>
      </c>
      <c r="KIW90" t="s">
        <v>430</v>
      </c>
      <c r="KIX90" t="s">
        <v>431</v>
      </c>
      <c r="KIY90" t="s">
        <v>432</v>
      </c>
      <c r="KJA90" t="s">
        <v>429</v>
      </c>
      <c r="KJB90" t="s">
        <v>143</v>
      </c>
      <c r="KJC90" t="s">
        <v>398</v>
      </c>
      <c r="KJD90">
        <v>1</v>
      </c>
      <c r="KJE90" t="s">
        <v>430</v>
      </c>
      <c r="KJF90" t="s">
        <v>431</v>
      </c>
      <c r="KJG90" t="s">
        <v>432</v>
      </c>
      <c r="KJI90" t="s">
        <v>429</v>
      </c>
      <c r="KJJ90" t="s">
        <v>143</v>
      </c>
      <c r="KJK90" t="s">
        <v>398</v>
      </c>
      <c r="KJL90">
        <v>1</v>
      </c>
      <c r="KJM90" t="s">
        <v>430</v>
      </c>
      <c r="KJN90" t="s">
        <v>431</v>
      </c>
      <c r="KJO90" t="s">
        <v>432</v>
      </c>
      <c r="KJQ90" t="s">
        <v>429</v>
      </c>
      <c r="KJR90" t="s">
        <v>143</v>
      </c>
      <c r="KJS90" t="s">
        <v>398</v>
      </c>
      <c r="KJT90">
        <v>1</v>
      </c>
      <c r="KJU90" t="s">
        <v>430</v>
      </c>
      <c r="KJV90" t="s">
        <v>431</v>
      </c>
      <c r="KJW90" t="s">
        <v>432</v>
      </c>
      <c r="KJY90" t="s">
        <v>429</v>
      </c>
      <c r="KJZ90" t="s">
        <v>143</v>
      </c>
      <c r="KKA90" t="s">
        <v>398</v>
      </c>
      <c r="KKB90">
        <v>1</v>
      </c>
      <c r="KKC90" t="s">
        <v>430</v>
      </c>
      <c r="KKD90" t="s">
        <v>431</v>
      </c>
      <c r="KKE90" t="s">
        <v>432</v>
      </c>
      <c r="KKG90" t="s">
        <v>429</v>
      </c>
      <c r="KKH90" t="s">
        <v>143</v>
      </c>
      <c r="KKI90" t="s">
        <v>398</v>
      </c>
      <c r="KKJ90">
        <v>1</v>
      </c>
      <c r="KKK90" t="s">
        <v>430</v>
      </c>
      <c r="KKL90" t="s">
        <v>431</v>
      </c>
      <c r="KKM90" t="s">
        <v>432</v>
      </c>
      <c r="KKO90" t="s">
        <v>429</v>
      </c>
      <c r="KKP90" t="s">
        <v>143</v>
      </c>
      <c r="KKQ90" t="s">
        <v>398</v>
      </c>
      <c r="KKR90">
        <v>1</v>
      </c>
      <c r="KKS90" t="s">
        <v>430</v>
      </c>
      <c r="KKT90" t="s">
        <v>431</v>
      </c>
      <c r="KKU90" t="s">
        <v>432</v>
      </c>
      <c r="KKW90" t="s">
        <v>429</v>
      </c>
      <c r="KKX90" t="s">
        <v>143</v>
      </c>
      <c r="KKY90" t="s">
        <v>398</v>
      </c>
      <c r="KKZ90">
        <v>1</v>
      </c>
      <c r="KLA90" t="s">
        <v>430</v>
      </c>
      <c r="KLB90" t="s">
        <v>431</v>
      </c>
      <c r="KLC90" t="s">
        <v>432</v>
      </c>
      <c r="KLE90" t="s">
        <v>429</v>
      </c>
      <c r="KLF90" t="s">
        <v>143</v>
      </c>
      <c r="KLG90" t="s">
        <v>398</v>
      </c>
      <c r="KLH90">
        <v>1</v>
      </c>
      <c r="KLI90" t="s">
        <v>430</v>
      </c>
      <c r="KLJ90" t="s">
        <v>431</v>
      </c>
      <c r="KLK90" t="s">
        <v>432</v>
      </c>
      <c r="KLM90" t="s">
        <v>429</v>
      </c>
      <c r="KLN90" t="s">
        <v>143</v>
      </c>
      <c r="KLO90" t="s">
        <v>398</v>
      </c>
      <c r="KLP90">
        <v>1</v>
      </c>
      <c r="KLQ90" t="s">
        <v>430</v>
      </c>
      <c r="KLR90" t="s">
        <v>431</v>
      </c>
      <c r="KLS90" t="s">
        <v>432</v>
      </c>
      <c r="KLU90" t="s">
        <v>429</v>
      </c>
      <c r="KLV90" t="s">
        <v>143</v>
      </c>
      <c r="KLW90" t="s">
        <v>398</v>
      </c>
      <c r="KLX90">
        <v>1</v>
      </c>
      <c r="KLY90" t="s">
        <v>430</v>
      </c>
      <c r="KLZ90" t="s">
        <v>431</v>
      </c>
      <c r="KMA90" t="s">
        <v>432</v>
      </c>
      <c r="KMC90" t="s">
        <v>429</v>
      </c>
      <c r="KMD90" t="s">
        <v>143</v>
      </c>
      <c r="KME90" t="s">
        <v>398</v>
      </c>
      <c r="KMF90">
        <v>1</v>
      </c>
      <c r="KMG90" t="s">
        <v>430</v>
      </c>
      <c r="KMH90" t="s">
        <v>431</v>
      </c>
      <c r="KMI90" t="s">
        <v>432</v>
      </c>
      <c r="KMK90" t="s">
        <v>429</v>
      </c>
      <c r="KML90" t="s">
        <v>143</v>
      </c>
      <c r="KMM90" t="s">
        <v>398</v>
      </c>
      <c r="KMN90">
        <v>1</v>
      </c>
      <c r="KMO90" t="s">
        <v>430</v>
      </c>
      <c r="KMP90" t="s">
        <v>431</v>
      </c>
      <c r="KMQ90" t="s">
        <v>432</v>
      </c>
      <c r="KMS90" t="s">
        <v>429</v>
      </c>
      <c r="KMT90" t="s">
        <v>143</v>
      </c>
      <c r="KMU90" t="s">
        <v>398</v>
      </c>
      <c r="KMV90">
        <v>1</v>
      </c>
      <c r="KMW90" t="s">
        <v>430</v>
      </c>
      <c r="KMX90" t="s">
        <v>431</v>
      </c>
      <c r="KMY90" t="s">
        <v>432</v>
      </c>
      <c r="KNA90" t="s">
        <v>429</v>
      </c>
      <c r="KNB90" t="s">
        <v>143</v>
      </c>
      <c r="KNC90" t="s">
        <v>398</v>
      </c>
      <c r="KND90">
        <v>1</v>
      </c>
      <c r="KNE90" t="s">
        <v>430</v>
      </c>
      <c r="KNF90" t="s">
        <v>431</v>
      </c>
      <c r="KNG90" t="s">
        <v>432</v>
      </c>
      <c r="KNI90" t="s">
        <v>429</v>
      </c>
      <c r="KNJ90" t="s">
        <v>143</v>
      </c>
      <c r="KNK90" t="s">
        <v>398</v>
      </c>
      <c r="KNL90">
        <v>1</v>
      </c>
      <c r="KNM90" t="s">
        <v>430</v>
      </c>
      <c r="KNN90" t="s">
        <v>431</v>
      </c>
      <c r="KNO90" t="s">
        <v>432</v>
      </c>
      <c r="KNQ90" t="s">
        <v>429</v>
      </c>
      <c r="KNR90" t="s">
        <v>143</v>
      </c>
      <c r="KNS90" t="s">
        <v>398</v>
      </c>
      <c r="KNT90">
        <v>1</v>
      </c>
      <c r="KNU90" t="s">
        <v>430</v>
      </c>
      <c r="KNV90" t="s">
        <v>431</v>
      </c>
      <c r="KNW90" t="s">
        <v>432</v>
      </c>
      <c r="KNY90" t="s">
        <v>429</v>
      </c>
      <c r="KNZ90" t="s">
        <v>143</v>
      </c>
      <c r="KOA90" t="s">
        <v>398</v>
      </c>
      <c r="KOB90">
        <v>1</v>
      </c>
      <c r="KOC90" t="s">
        <v>430</v>
      </c>
      <c r="KOD90" t="s">
        <v>431</v>
      </c>
      <c r="KOE90" t="s">
        <v>432</v>
      </c>
      <c r="KOG90" t="s">
        <v>429</v>
      </c>
      <c r="KOH90" t="s">
        <v>143</v>
      </c>
      <c r="KOI90" t="s">
        <v>398</v>
      </c>
      <c r="KOJ90">
        <v>1</v>
      </c>
      <c r="KOK90" t="s">
        <v>430</v>
      </c>
      <c r="KOL90" t="s">
        <v>431</v>
      </c>
      <c r="KOM90" t="s">
        <v>432</v>
      </c>
      <c r="KOO90" t="s">
        <v>429</v>
      </c>
      <c r="KOP90" t="s">
        <v>143</v>
      </c>
      <c r="KOQ90" t="s">
        <v>398</v>
      </c>
      <c r="KOR90">
        <v>1</v>
      </c>
      <c r="KOS90" t="s">
        <v>430</v>
      </c>
      <c r="KOT90" t="s">
        <v>431</v>
      </c>
      <c r="KOU90" t="s">
        <v>432</v>
      </c>
      <c r="KOW90" t="s">
        <v>429</v>
      </c>
      <c r="KOX90" t="s">
        <v>143</v>
      </c>
      <c r="KOY90" t="s">
        <v>398</v>
      </c>
      <c r="KOZ90">
        <v>1</v>
      </c>
      <c r="KPA90" t="s">
        <v>430</v>
      </c>
      <c r="KPB90" t="s">
        <v>431</v>
      </c>
      <c r="KPC90" t="s">
        <v>432</v>
      </c>
      <c r="KPE90" t="s">
        <v>429</v>
      </c>
      <c r="KPF90" t="s">
        <v>143</v>
      </c>
      <c r="KPG90" t="s">
        <v>398</v>
      </c>
      <c r="KPH90">
        <v>1</v>
      </c>
      <c r="KPI90" t="s">
        <v>430</v>
      </c>
      <c r="KPJ90" t="s">
        <v>431</v>
      </c>
      <c r="KPK90" t="s">
        <v>432</v>
      </c>
      <c r="KPM90" t="s">
        <v>429</v>
      </c>
      <c r="KPN90" t="s">
        <v>143</v>
      </c>
      <c r="KPO90" t="s">
        <v>398</v>
      </c>
      <c r="KPP90">
        <v>1</v>
      </c>
      <c r="KPQ90" t="s">
        <v>430</v>
      </c>
      <c r="KPR90" t="s">
        <v>431</v>
      </c>
      <c r="KPS90" t="s">
        <v>432</v>
      </c>
      <c r="KPU90" t="s">
        <v>429</v>
      </c>
      <c r="KPV90" t="s">
        <v>143</v>
      </c>
      <c r="KPW90" t="s">
        <v>398</v>
      </c>
      <c r="KPX90">
        <v>1</v>
      </c>
      <c r="KPY90" t="s">
        <v>430</v>
      </c>
      <c r="KPZ90" t="s">
        <v>431</v>
      </c>
      <c r="KQA90" t="s">
        <v>432</v>
      </c>
      <c r="KQC90" t="s">
        <v>429</v>
      </c>
      <c r="KQD90" t="s">
        <v>143</v>
      </c>
      <c r="KQE90" t="s">
        <v>398</v>
      </c>
      <c r="KQF90">
        <v>1</v>
      </c>
      <c r="KQG90" t="s">
        <v>430</v>
      </c>
      <c r="KQH90" t="s">
        <v>431</v>
      </c>
      <c r="KQI90" t="s">
        <v>432</v>
      </c>
      <c r="KQK90" t="s">
        <v>429</v>
      </c>
      <c r="KQL90" t="s">
        <v>143</v>
      </c>
      <c r="KQM90" t="s">
        <v>398</v>
      </c>
      <c r="KQN90">
        <v>1</v>
      </c>
      <c r="KQO90" t="s">
        <v>430</v>
      </c>
      <c r="KQP90" t="s">
        <v>431</v>
      </c>
      <c r="KQQ90" t="s">
        <v>432</v>
      </c>
      <c r="KQS90" t="s">
        <v>429</v>
      </c>
      <c r="KQT90" t="s">
        <v>143</v>
      </c>
      <c r="KQU90" t="s">
        <v>398</v>
      </c>
      <c r="KQV90">
        <v>1</v>
      </c>
      <c r="KQW90" t="s">
        <v>430</v>
      </c>
      <c r="KQX90" t="s">
        <v>431</v>
      </c>
      <c r="KQY90" t="s">
        <v>432</v>
      </c>
      <c r="KRA90" t="s">
        <v>429</v>
      </c>
      <c r="KRB90" t="s">
        <v>143</v>
      </c>
      <c r="KRC90" t="s">
        <v>398</v>
      </c>
      <c r="KRD90">
        <v>1</v>
      </c>
      <c r="KRE90" t="s">
        <v>430</v>
      </c>
      <c r="KRF90" t="s">
        <v>431</v>
      </c>
      <c r="KRG90" t="s">
        <v>432</v>
      </c>
      <c r="KRI90" t="s">
        <v>429</v>
      </c>
      <c r="KRJ90" t="s">
        <v>143</v>
      </c>
      <c r="KRK90" t="s">
        <v>398</v>
      </c>
      <c r="KRL90">
        <v>1</v>
      </c>
      <c r="KRM90" t="s">
        <v>430</v>
      </c>
      <c r="KRN90" t="s">
        <v>431</v>
      </c>
      <c r="KRO90" t="s">
        <v>432</v>
      </c>
      <c r="KRQ90" t="s">
        <v>429</v>
      </c>
      <c r="KRR90" t="s">
        <v>143</v>
      </c>
      <c r="KRS90" t="s">
        <v>398</v>
      </c>
      <c r="KRT90">
        <v>1</v>
      </c>
      <c r="KRU90" t="s">
        <v>430</v>
      </c>
      <c r="KRV90" t="s">
        <v>431</v>
      </c>
      <c r="KRW90" t="s">
        <v>432</v>
      </c>
      <c r="KRY90" t="s">
        <v>429</v>
      </c>
      <c r="KRZ90" t="s">
        <v>143</v>
      </c>
      <c r="KSA90" t="s">
        <v>398</v>
      </c>
      <c r="KSB90">
        <v>1</v>
      </c>
      <c r="KSC90" t="s">
        <v>430</v>
      </c>
      <c r="KSD90" t="s">
        <v>431</v>
      </c>
      <c r="KSE90" t="s">
        <v>432</v>
      </c>
      <c r="KSG90" t="s">
        <v>429</v>
      </c>
      <c r="KSH90" t="s">
        <v>143</v>
      </c>
      <c r="KSI90" t="s">
        <v>398</v>
      </c>
      <c r="KSJ90">
        <v>1</v>
      </c>
      <c r="KSK90" t="s">
        <v>430</v>
      </c>
      <c r="KSL90" t="s">
        <v>431</v>
      </c>
      <c r="KSM90" t="s">
        <v>432</v>
      </c>
      <c r="KSO90" t="s">
        <v>429</v>
      </c>
      <c r="KSP90" t="s">
        <v>143</v>
      </c>
      <c r="KSQ90" t="s">
        <v>398</v>
      </c>
      <c r="KSR90">
        <v>1</v>
      </c>
      <c r="KSS90" t="s">
        <v>430</v>
      </c>
      <c r="KST90" t="s">
        <v>431</v>
      </c>
      <c r="KSU90" t="s">
        <v>432</v>
      </c>
      <c r="KSW90" t="s">
        <v>429</v>
      </c>
      <c r="KSX90" t="s">
        <v>143</v>
      </c>
      <c r="KSY90" t="s">
        <v>398</v>
      </c>
      <c r="KSZ90">
        <v>1</v>
      </c>
      <c r="KTA90" t="s">
        <v>430</v>
      </c>
      <c r="KTB90" t="s">
        <v>431</v>
      </c>
      <c r="KTC90" t="s">
        <v>432</v>
      </c>
      <c r="KTE90" t="s">
        <v>429</v>
      </c>
      <c r="KTF90" t="s">
        <v>143</v>
      </c>
      <c r="KTG90" t="s">
        <v>398</v>
      </c>
      <c r="KTH90">
        <v>1</v>
      </c>
      <c r="KTI90" t="s">
        <v>430</v>
      </c>
      <c r="KTJ90" t="s">
        <v>431</v>
      </c>
      <c r="KTK90" t="s">
        <v>432</v>
      </c>
      <c r="KTM90" t="s">
        <v>429</v>
      </c>
      <c r="KTN90" t="s">
        <v>143</v>
      </c>
      <c r="KTO90" t="s">
        <v>398</v>
      </c>
      <c r="KTP90">
        <v>1</v>
      </c>
      <c r="KTQ90" t="s">
        <v>430</v>
      </c>
      <c r="KTR90" t="s">
        <v>431</v>
      </c>
      <c r="KTS90" t="s">
        <v>432</v>
      </c>
      <c r="KTU90" t="s">
        <v>429</v>
      </c>
      <c r="KTV90" t="s">
        <v>143</v>
      </c>
      <c r="KTW90" t="s">
        <v>398</v>
      </c>
      <c r="KTX90">
        <v>1</v>
      </c>
      <c r="KTY90" t="s">
        <v>430</v>
      </c>
      <c r="KTZ90" t="s">
        <v>431</v>
      </c>
      <c r="KUA90" t="s">
        <v>432</v>
      </c>
      <c r="KUC90" t="s">
        <v>429</v>
      </c>
      <c r="KUD90" t="s">
        <v>143</v>
      </c>
      <c r="KUE90" t="s">
        <v>398</v>
      </c>
      <c r="KUF90">
        <v>1</v>
      </c>
      <c r="KUG90" t="s">
        <v>430</v>
      </c>
      <c r="KUH90" t="s">
        <v>431</v>
      </c>
      <c r="KUI90" t="s">
        <v>432</v>
      </c>
      <c r="KUK90" t="s">
        <v>429</v>
      </c>
      <c r="KUL90" t="s">
        <v>143</v>
      </c>
      <c r="KUM90" t="s">
        <v>398</v>
      </c>
      <c r="KUN90">
        <v>1</v>
      </c>
      <c r="KUO90" t="s">
        <v>430</v>
      </c>
      <c r="KUP90" t="s">
        <v>431</v>
      </c>
      <c r="KUQ90" t="s">
        <v>432</v>
      </c>
      <c r="KUS90" t="s">
        <v>429</v>
      </c>
      <c r="KUT90" t="s">
        <v>143</v>
      </c>
      <c r="KUU90" t="s">
        <v>398</v>
      </c>
      <c r="KUV90">
        <v>1</v>
      </c>
      <c r="KUW90" t="s">
        <v>430</v>
      </c>
      <c r="KUX90" t="s">
        <v>431</v>
      </c>
      <c r="KUY90" t="s">
        <v>432</v>
      </c>
      <c r="KVA90" t="s">
        <v>429</v>
      </c>
      <c r="KVB90" t="s">
        <v>143</v>
      </c>
      <c r="KVC90" t="s">
        <v>398</v>
      </c>
      <c r="KVD90">
        <v>1</v>
      </c>
      <c r="KVE90" t="s">
        <v>430</v>
      </c>
      <c r="KVF90" t="s">
        <v>431</v>
      </c>
      <c r="KVG90" t="s">
        <v>432</v>
      </c>
      <c r="KVI90" t="s">
        <v>429</v>
      </c>
      <c r="KVJ90" t="s">
        <v>143</v>
      </c>
      <c r="KVK90" t="s">
        <v>398</v>
      </c>
      <c r="KVL90">
        <v>1</v>
      </c>
      <c r="KVM90" t="s">
        <v>430</v>
      </c>
      <c r="KVN90" t="s">
        <v>431</v>
      </c>
      <c r="KVO90" t="s">
        <v>432</v>
      </c>
      <c r="KVQ90" t="s">
        <v>429</v>
      </c>
      <c r="KVR90" t="s">
        <v>143</v>
      </c>
      <c r="KVS90" t="s">
        <v>398</v>
      </c>
      <c r="KVT90">
        <v>1</v>
      </c>
      <c r="KVU90" t="s">
        <v>430</v>
      </c>
      <c r="KVV90" t="s">
        <v>431</v>
      </c>
      <c r="KVW90" t="s">
        <v>432</v>
      </c>
      <c r="KVY90" t="s">
        <v>429</v>
      </c>
      <c r="KVZ90" t="s">
        <v>143</v>
      </c>
      <c r="KWA90" t="s">
        <v>398</v>
      </c>
      <c r="KWB90">
        <v>1</v>
      </c>
      <c r="KWC90" t="s">
        <v>430</v>
      </c>
      <c r="KWD90" t="s">
        <v>431</v>
      </c>
      <c r="KWE90" t="s">
        <v>432</v>
      </c>
      <c r="KWG90" t="s">
        <v>429</v>
      </c>
      <c r="KWH90" t="s">
        <v>143</v>
      </c>
      <c r="KWI90" t="s">
        <v>398</v>
      </c>
      <c r="KWJ90">
        <v>1</v>
      </c>
      <c r="KWK90" t="s">
        <v>430</v>
      </c>
      <c r="KWL90" t="s">
        <v>431</v>
      </c>
      <c r="KWM90" t="s">
        <v>432</v>
      </c>
      <c r="KWO90" t="s">
        <v>429</v>
      </c>
      <c r="KWP90" t="s">
        <v>143</v>
      </c>
      <c r="KWQ90" t="s">
        <v>398</v>
      </c>
      <c r="KWR90">
        <v>1</v>
      </c>
      <c r="KWS90" t="s">
        <v>430</v>
      </c>
      <c r="KWT90" t="s">
        <v>431</v>
      </c>
      <c r="KWU90" t="s">
        <v>432</v>
      </c>
      <c r="KWW90" t="s">
        <v>429</v>
      </c>
      <c r="KWX90" t="s">
        <v>143</v>
      </c>
      <c r="KWY90" t="s">
        <v>398</v>
      </c>
      <c r="KWZ90">
        <v>1</v>
      </c>
      <c r="KXA90" t="s">
        <v>430</v>
      </c>
      <c r="KXB90" t="s">
        <v>431</v>
      </c>
      <c r="KXC90" t="s">
        <v>432</v>
      </c>
      <c r="KXE90" t="s">
        <v>429</v>
      </c>
      <c r="KXF90" t="s">
        <v>143</v>
      </c>
      <c r="KXG90" t="s">
        <v>398</v>
      </c>
      <c r="KXH90">
        <v>1</v>
      </c>
      <c r="KXI90" t="s">
        <v>430</v>
      </c>
      <c r="KXJ90" t="s">
        <v>431</v>
      </c>
      <c r="KXK90" t="s">
        <v>432</v>
      </c>
      <c r="KXM90" t="s">
        <v>429</v>
      </c>
      <c r="KXN90" t="s">
        <v>143</v>
      </c>
      <c r="KXO90" t="s">
        <v>398</v>
      </c>
      <c r="KXP90">
        <v>1</v>
      </c>
      <c r="KXQ90" t="s">
        <v>430</v>
      </c>
      <c r="KXR90" t="s">
        <v>431</v>
      </c>
      <c r="KXS90" t="s">
        <v>432</v>
      </c>
      <c r="KXU90" t="s">
        <v>429</v>
      </c>
      <c r="KXV90" t="s">
        <v>143</v>
      </c>
      <c r="KXW90" t="s">
        <v>398</v>
      </c>
      <c r="KXX90">
        <v>1</v>
      </c>
      <c r="KXY90" t="s">
        <v>430</v>
      </c>
      <c r="KXZ90" t="s">
        <v>431</v>
      </c>
      <c r="KYA90" t="s">
        <v>432</v>
      </c>
      <c r="KYC90" t="s">
        <v>429</v>
      </c>
      <c r="KYD90" t="s">
        <v>143</v>
      </c>
      <c r="KYE90" t="s">
        <v>398</v>
      </c>
      <c r="KYF90">
        <v>1</v>
      </c>
      <c r="KYG90" t="s">
        <v>430</v>
      </c>
      <c r="KYH90" t="s">
        <v>431</v>
      </c>
      <c r="KYI90" t="s">
        <v>432</v>
      </c>
      <c r="KYK90" t="s">
        <v>429</v>
      </c>
      <c r="KYL90" t="s">
        <v>143</v>
      </c>
      <c r="KYM90" t="s">
        <v>398</v>
      </c>
      <c r="KYN90">
        <v>1</v>
      </c>
      <c r="KYO90" t="s">
        <v>430</v>
      </c>
      <c r="KYP90" t="s">
        <v>431</v>
      </c>
      <c r="KYQ90" t="s">
        <v>432</v>
      </c>
      <c r="KYS90" t="s">
        <v>429</v>
      </c>
      <c r="KYT90" t="s">
        <v>143</v>
      </c>
      <c r="KYU90" t="s">
        <v>398</v>
      </c>
      <c r="KYV90">
        <v>1</v>
      </c>
      <c r="KYW90" t="s">
        <v>430</v>
      </c>
      <c r="KYX90" t="s">
        <v>431</v>
      </c>
      <c r="KYY90" t="s">
        <v>432</v>
      </c>
      <c r="KZA90" t="s">
        <v>429</v>
      </c>
      <c r="KZB90" t="s">
        <v>143</v>
      </c>
      <c r="KZC90" t="s">
        <v>398</v>
      </c>
      <c r="KZD90">
        <v>1</v>
      </c>
      <c r="KZE90" t="s">
        <v>430</v>
      </c>
      <c r="KZF90" t="s">
        <v>431</v>
      </c>
      <c r="KZG90" t="s">
        <v>432</v>
      </c>
      <c r="KZI90" t="s">
        <v>429</v>
      </c>
      <c r="KZJ90" t="s">
        <v>143</v>
      </c>
      <c r="KZK90" t="s">
        <v>398</v>
      </c>
      <c r="KZL90">
        <v>1</v>
      </c>
      <c r="KZM90" t="s">
        <v>430</v>
      </c>
      <c r="KZN90" t="s">
        <v>431</v>
      </c>
      <c r="KZO90" t="s">
        <v>432</v>
      </c>
      <c r="KZQ90" t="s">
        <v>429</v>
      </c>
      <c r="KZR90" t="s">
        <v>143</v>
      </c>
      <c r="KZS90" t="s">
        <v>398</v>
      </c>
      <c r="KZT90">
        <v>1</v>
      </c>
      <c r="KZU90" t="s">
        <v>430</v>
      </c>
      <c r="KZV90" t="s">
        <v>431</v>
      </c>
      <c r="KZW90" t="s">
        <v>432</v>
      </c>
      <c r="KZY90" t="s">
        <v>429</v>
      </c>
      <c r="KZZ90" t="s">
        <v>143</v>
      </c>
      <c r="LAA90" t="s">
        <v>398</v>
      </c>
      <c r="LAB90">
        <v>1</v>
      </c>
      <c r="LAC90" t="s">
        <v>430</v>
      </c>
      <c r="LAD90" t="s">
        <v>431</v>
      </c>
      <c r="LAE90" t="s">
        <v>432</v>
      </c>
      <c r="LAG90" t="s">
        <v>429</v>
      </c>
      <c r="LAH90" t="s">
        <v>143</v>
      </c>
      <c r="LAI90" t="s">
        <v>398</v>
      </c>
      <c r="LAJ90">
        <v>1</v>
      </c>
      <c r="LAK90" t="s">
        <v>430</v>
      </c>
      <c r="LAL90" t="s">
        <v>431</v>
      </c>
      <c r="LAM90" t="s">
        <v>432</v>
      </c>
      <c r="LAO90" t="s">
        <v>429</v>
      </c>
      <c r="LAP90" t="s">
        <v>143</v>
      </c>
      <c r="LAQ90" t="s">
        <v>398</v>
      </c>
      <c r="LAR90">
        <v>1</v>
      </c>
      <c r="LAS90" t="s">
        <v>430</v>
      </c>
      <c r="LAT90" t="s">
        <v>431</v>
      </c>
      <c r="LAU90" t="s">
        <v>432</v>
      </c>
      <c r="LAW90" t="s">
        <v>429</v>
      </c>
      <c r="LAX90" t="s">
        <v>143</v>
      </c>
      <c r="LAY90" t="s">
        <v>398</v>
      </c>
      <c r="LAZ90">
        <v>1</v>
      </c>
      <c r="LBA90" t="s">
        <v>430</v>
      </c>
      <c r="LBB90" t="s">
        <v>431</v>
      </c>
      <c r="LBC90" t="s">
        <v>432</v>
      </c>
      <c r="LBE90" t="s">
        <v>429</v>
      </c>
      <c r="LBF90" t="s">
        <v>143</v>
      </c>
      <c r="LBG90" t="s">
        <v>398</v>
      </c>
      <c r="LBH90">
        <v>1</v>
      </c>
      <c r="LBI90" t="s">
        <v>430</v>
      </c>
      <c r="LBJ90" t="s">
        <v>431</v>
      </c>
      <c r="LBK90" t="s">
        <v>432</v>
      </c>
      <c r="LBM90" t="s">
        <v>429</v>
      </c>
      <c r="LBN90" t="s">
        <v>143</v>
      </c>
      <c r="LBO90" t="s">
        <v>398</v>
      </c>
      <c r="LBP90">
        <v>1</v>
      </c>
      <c r="LBQ90" t="s">
        <v>430</v>
      </c>
      <c r="LBR90" t="s">
        <v>431</v>
      </c>
      <c r="LBS90" t="s">
        <v>432</v>
      </c>
      <c r="LBU90" t="s">
        <v>429</v>
      </c>
      <c r="LBV90" t="s">
        <v>143</v>
      </c>
      <c r="LBW90" t="s">
        <v>398</v>
      </c>
      <c r="LBX90">
        <v>1</v>
      </c>
      <c r="LBY90" t="s">
        <v>430</v>
      </c>
      <c r="LBZ90" t="s">
        <v>431</v>
      </c>
      <c r="LCA90" t="s">
        <v>432</v>
      </c>
      <c r="LCC90" t="s">
        <v>429</v>
      </c>
      <c r="LCD90" t="s">
        <v>143</v>
      </c>
      <c r="LCE90" t="s">
        <v>398</v>
      </c>
      <c r="LCF90">
        <v>1</v>
      </c>
      <c r="LCG90" t="s">
        <v>430</v>
      </c>
      <c r="LCH90" t="s">
        <v>431</v>
      </c>
      <c r="LCI90" t="s">
        <v>432</v>
      </c>
      <c r="LCK90" t="s">
        <v>429</v>
      </c>
      <c r="LCL90" t="s">
        <v>143</v>
      </c>
      <c r="LCM90" t="s">
        <v>398</v>
      </c>
      <c r="LCN90">
        <v>1</v>
      </c>
      <c r="LCO90" t="s">
        <v>430</v>
      </c>
      <c r="LCP90" t="s">
        <v>431</v>
      </c>
      <c r="LCQ90" t="s">
        <v>432</v>
      </c>
      <c r="LCS90" t="s">
        <v>429</v>
      </c>
      <c r="LCT90" t="s">
        <v>143</v>
      </c>
      <c r="LCU90" t="s">
        <v>398</v>
      </c>
      <c r="LCV90">
        <v>1</v>
      </c>
      <c r="LCW90" t="s">
        <v>430</v>
      </c>
      <c r="LCX90" t="s">
        <v>431</v>
      </c>
      <c r="LCY90" t="s">
        <v>432</v>
      </c>
      <c r="LDA90" t="s">
        <v>429</v>
      </c>
      <c r="LDB90" t="s">
        <v>143</v>
      </c>
      <c r="LDC90" t="s">
        <v>398</v>
      </c>
      <c r="LDD90">
        <v>1</v>
      </c>
      <c r="LDE90" t="s">
        <v>430</v>
      </c>
      <c r="LDF90" t="s">
        <v>431</v>
      </c>
      <c r="LDG90" t="s">
        <v>432</v>
      </c>
      <c r="LDI90" t="s">
        <v>429</v>
      </c>
      <c r="LDJ90" t="s">
        <v>143</v>
      </c>
      <c r="LDK90" t="s">
        <v>398</v>
      </c>
      <c r="LDL90">
        <v>1</v>
      </c>
      <c r="LDM90" t="s">
        <v>430</v>
      </c>
      <c r="LDN90" t="s">
        <v>431</v>
      </c>
      <c r="LDO90" t="s">
        <v>432</v>
      </c>
      <c r="LDQ90" t="s">
        <v>429</v>
      </c>
      <c r="LDR90" t="s">
        <v>143</v>
      </c>
      <c r="LDS90" t="s">
        <v>398</v>
      </c>
      <c r="LDT90">
        <v>1</v>
      </c>
      <c r="LDU90" t="s">
        <v>430</v>
      </c>
      <c r="LDV90" t="s">
        <v>431</v>
      </c>
      <c r="LDW90" t="s">
        <v>432</v>
      </c>
      <c r="LDY90" t="s">
        <v>429</v>
      </c>
      <c r="LDZ90" t="s">
        <v>143</v>
      </c>
      <c r="LEA90" t="s">
        <v>398</v>
      </c>
      <c r="LEB90">
        <v>1</v>
      </c>
      <c r="LEC90" t="s">
        <v>430</v>
      </c>
      <c r="LED90" t="s">
        <v>431</v>
      </c>
      <c r="LEE90" t="s">
        <v>432</v>
      </c>
      <c r="LEG90" t="s">
        <v>429</v>
      </c>
      <c r="LEH90" t="s">
        <v>143</v>
      </c>
      <c r="LEI90" t="s">
        <v>398</v>
      </c>
      <c r="LEJ90">
        <v>1</v>
      </c>
      <c r="LEK90" t="s">
        <v>430</v>
      </c>
      <c r="LEL90" t="s">
        <v>431</v>
      </c>
      <c r="LEM90" t="s">
        <v>432</v>
      </c>
      <c r="LEO90" t="s">
        <v>429</v>
      </c>
      <c r="LEP90" t="s">
        <v>143</v>
      </c>
      <c r="LEQ90" t="s">
        <v>398</v>
      </c>
      <c r="LER90">
        <v>1</v>
      </c>
      <c r="LES90" t="s">
        <v>430</v>
      </c>
      <c r="LET90" t="s">
        <v>431</v>
      </c>
      <c r="LEU90" t="s">
        <v>432</v>
      </c>
      <c r="LEW90" t="s">
        <v>429</v>
      </c>
      <c r="LEX90" t="s">
        <v>143</v>
      </c>
      <c r="LEY90" t="s">
        <v>398</v>
      </c>
      <c r="LEZ90">
        <v>1</v>
      </c>
      <c r="LFA90" t="s">
        <v>430</v>
      </c>
      <c r="LFB90" t="s">
        <v>431</v>
      </c>
      <c r="LFC90" t="s">
        <v>432</v>
      </c>
      <c r="LFE90" t="s">
        <v>429</v>
      </c>
      <c r="LFF90" t="s">
        <v>143</v>
      </c>
      <c r="LFG90" t="s">
        <v>398</v>
      </c>
      <c r="LFH90">
        <v>1</v>
      </c>
      <c r="LFI90" t="s">
        <v>430</v>
      </c>
      <c r="LFJ90" t="s">
        <v>431</v>
      </c>
      <c r="LFK90" t="s">
        <v>432</v>
      </c>
      <c r="LFM90" t="s">
        <v>429</v>
      </c>
      <c r="LFN90" t="s">
        <v>143</v>
      </c>
      <c r="LFO90" t="s">
        <v>398</v>
      </c>
      <c r="LFP90">
        <v>1</v>
      </c>
      <c r="LFQ90" t="s">
        <v>430</v>
      </c>
      <c r="LFR90" t="s">
        <v>431</v>
      </c>
      <c r="LFS90" t="s">
        <v>432</v>
      </c>
      <c r="LFU90" t="s">
        <v>429</v>
      </c>
      <c r="LFV90" t="s">
        <v>143</v>
      </c>
      <c r="LFW90" t="s">
        <v>398</v>
      </c>
      <c r="LFX90">
        <v>1</v>
      </c>
      <c r="LFY90" t="s">
        <v>430</v>
      </c>
      <c r="LFZ90" t="s">
        <v>431</v>
      </c>
      <c r="LGA90" t="s">
        <v>432</v>
      </c>
      <c r="LGC90" t="s">
        <v>429</v>
      </c>
      <c r="LGD90" t="s">
        <v>143</v>
      </c>
      <c r="LGE90" t="s">
        <v>398</v>
      </c>
      <c r="LGF90">
        <v>1</v>
      </c>
      <c r="LGG90" t="s">
        <v>430</v>
      </c>
      <c r="LGH90" t="s">
        <v>431</v>
      </c>
      <c r="LGI90" t="s">
        <v>432</v>
      </c>
      <c r="LGK90" t="s">
        <v>429</v>
      </c>
      <c r="LGL90" t="s">
        <v>143</v>
      </c>
      <c r="LGM90" t="s">
        <v>398</v>
      </c>
      <c r="LGN90">
        <v>1</v>
      </c>
      <c r="LGO90" t="s">
        <v>430</v>
      </c>
      <c r="LGP90" t="s">
        <v>431</v>
      </c>
      <c r="LGQ90" t="s">
        <v>432</v>
      </c>
      <c r="LGS90" t="s">
        <v>429</v>
      </c>
      <c r="LGT90" t="s">
        <v>143</v>
      </c>
      <c r="LGU90" t="s">
        <v>398</v>
      </c>
      <c r="LGV90">
        <v>1</v>
      </c>
      <c r="LGW90" t="s">
        <v>430</v>
      </c>
      <c r="LGX90" t="s">
        <v>431</v>
      </c>
      <c r="LGY90" t="s">
        <v>432</v>
      </c>
      <c r="LHA90" t="s">
        <v>429</v>
      </c>
      <c r="LHB90" t="s">
        <v>143</v>
      </c>
      <c r="LHC90" t="s">
        <v>398</v>
      </c>
      <c r="LHD90">
        <v>1</v>
      </c>
      <c r="LHE90" t="s">
        <v>430</v>
      </c>
      <c r="LHF90" t="s">
        <v>431</v>
      </c>
      <c r="LHG90" t="s">
        <v>432</v>
      </c>
      <c r="LHI90" t="s">
        <v>429</v>
      </c>
      <c r="LHJ90" t="s">
        <v>143</v>
      </c>
      <c r="LHK90" t="s">
        <v>398</v>
      </c>
      <c r="LHL90">
        <v>1</v>
      </c>
      <c r="LHM90" t="s">
        <v>430</v>
      </c>
      <c r="LHN90" t="s">
        <v>431</v>
      </c>
      <c r="LHO90" t="s">
        <v>432</v>
      </c>
      <c r="LHQ90" t="s">
        <v>429</v>
      </c>
      <c r="LHR90" t="s">
        <v>143</v>
      </c>
      <c r="LHS90" t="s">
        <v>398</v>
      </c>
      <c r="LHT90">
        <v>1</v>
      </c>
      <c r="LHU90" t="s">
        <v>430</v>
      </c>
      <c r="LHV90" t="s">
        <v>431</v>
      </c>
      <c r="LHW90" t="s">
        <v>432</v>
      </c>
      <c r="LHY90" t="s">
        <v>429</v>
      </c>
      <c r="LHZ90" t="s">
        <v>143</v>
      </c>
      <c r="LIA90" t="s">
        <v>398</v>
      </c>
      <c r="LIB90">
        <v>1</v>
      </c>
      <c r="LIC90" t="s">
        <v>430</v>
      </c>
      <c r="LID90" t="s">
        <v>431</v>
      </c>
      <c r="LIE90" t="s">
        <v>432</v>
      </c>
      <c r="LIG90" t="s">
        <v>429</v>
      </c>
      <c r="LIH90" t="s">
        <v>143</v>
      </c>
      <c r="LII90" t="s">
        <v>398</v>
      </c>
      <c r="LIJ90">
        <v>1</v>
      </c>
      <c r="LIK90" t="s">
        <v>430</v>
      </c>
      <c r="LIL90" t="s">
        <v>431</v>
      </c>
      <c r="LIM90" t="s">
        <v>432</v>
      </c>
      <c r="LIO90" t="s">
        <v>429</v>
      </c>
      <c r="LIP90" t="s">
        <v>143</v>
      </c>
      <c r="LIQ90" t="s">
        <v>398</v>
      </c>
      <c r="LIR90">
        <v>1</v>
      </c>
      <c r="LIS90" t="s">
        <v>430</v>
      </c>
      <c r="LIT90" t="s">
        <v>431</v>
      </c>
      <c r="LIU90" t="s">
        <v>432</v>
      </c>
      <c r="LIW90" t="s">
        <v>429</v>
      </c>
      <c r="LIX90" t="s">
        <v>143</v>
      </c>
      <c r="LIY90" t="s">
        <v>398</v>
      </c>
      <c r="LIZ90">
        <v>1</v>
      </c>
      <c r="LJA90" t="s">
        <v>430</v>
      </c>
      <c r="LJB90" t="s">
        <v>431</v>
      </c>
      <c r="LJC90" t="s">
        <v>432</v>
      </c>
      <c r="LJE90" t="s">
        <v>429</v>
      </c>
      <c r="LJF90" t="s">
        <v>143</v>
      </c>
      <c r="LJG90" t="s">
        <v>398</v>
      </c>
      <c r="LJH90">
        <v>1</v>
      </c>
      <c r="LJI90" t="s">
        <v>430</v>
      </c>
      <c r="LJJ90" t="s">
        <v>431</v>
      </c>
      <c r="LJK90" t="s">
        <v>432</v>
      </c>
      <c r="LJM90" t="s">
        <v>429</v>
      </c>
      <c r="LJN90" t="s">
        <v>143</v>
      </c>
      <c r="LJO90" t="s">
        <v>398</v>
      </c>
      <c r="LJP90">
        <v>1</v>
      </c>
      <c r="LJQ90" t="s">
        <v>430</v>
      </c>
      <c r="LJR90" t="s">
        <v>431</v>
      </c>
      <c r="LJS90" t="s">
        <v>432</v>
      </c>
      <c r="LJU90" t="s">
        <v>429</v>
      </c>
      <c r="LJV90" t="s">
        <v>143</v>
      </c>
      <c r="LJW90" t="s">
        <v>398</v>
      </c>
      <c r="LJX90">
        <v>1</v>
      </c>
      <c r="LJY90" t="s">
        <v>430</v>
      </c>
      <c r="LJZ90" t="s">
        <v>431</v>
      </c>
      <c r="LKA90" t="s">
        <v>432</v>
      </c>
      <c r="LKC90" t="s">
        <v>429</v>
      </c>
      <c r="LKD90" t="s">
        <v>143</v>
      </c>
      <c r="LKE90" t="s">
        <v>398</v>
      </c>
      <c r="LKF90">
        <v>1</v>
      </c>
      <c r="LKG90" t="s">
        <v>430</v>
      </c>
      <c r="LKH90" t="s">
        <v>431</v>
      </c>
      <c r="LKI90" t="s">
        <v>432</v>
      </c>
      <c r="LKK90" t="s">
        <v>429</v>
      </c>
      <c r="LKL90" t="s">
        <v>143</v>
      </c>
      <c r="LKM90" t="s">
        <v>398</v>
      </c>
      <c r="LKN90">
        <v>1</v>
      </c>
      <c r="LKO90" t="s">
        <v>430</v>
      </c>
      <c r="LKP90" t="s">
        <v>431</v>
      </c>
      <c r="LKQ90" t="s">
        <v>432</v>
      </c>
      <c r="LKS90" t="s">
        <v>429</v>
      </c>
      <c r="LKT90" t="s">
        <v>143</v>
      </c>
      <c r="LKU90" t="s">
        <v>398</v>
      </c>
      <c r="LKV90">
        <v>1</v>
      </c>
      <c r="LKW90" t="s">
        <v>430</v>
      </c>
      <c r="LKX90" t="s">
        <v>431</v>
      </c>
      <c r="LKY90" t="s">
        <v>432</v>
      </c>
      <c r="LLA90" t="s">
        <v>429</v>
      </c>
      <c r="LLB90" t="s">
        <v>143</v>
      </c>
      <c r="LLC90" t="s">
        <v>398</v>
      </c>
      <c r="LLD90">
        <v>1</v>
      </c>
      <c r="LLE90" t="s">
        <v>430</v>
      </c>
      <c r="LLF90" t="s">
        <v>431</v>
      </c>
      <c r="LLG90" t="s">
        <v>432</v>
      </c>
      <c r="LLI90" t="s">
        <v>429</v>
      </c>
      <c r="LLJ90" t="s">
        <v>143</v>
      </c>
      <c r="LLK90" t="s">
        <v>398</v>
      </c>
      <c r="LLL90">
        <v>1</v>
      </c>
      <c r="LLM90" t="s">
        <v>430</v>
      </c>
      <c r="LLN90" t="s">
        <v>431</v>
      </c>
      <c r="LLO90" t="s">
        <v>432</v>
      </c>
      <c r="LLQ90" t="s">
        <v>429</v>
      </c>
      <c r="LLR90" t="s">
        <v>143</v>
      </c>
      <c r="LLS90" t="s">
        <v>398</v>
      </c>
      <c r="LLT90">
        <v>1</v>
      </c>
      <c r="LLU90" t="s">
        <v>430</v>
      </c>
      <c r="LLV90" t="s">
        <v>431</v>
      </c>
      <c r="LLW90" t="s">
        <v>432</v>
      </c>
      <c r="LLY90" t="s">
        <v>429</v>
      </c>
      <c r="LLZ90" t="s">
        <v>143</v>
      </c>
      <c r="LMA90" t="s">
        <v>398</v>
      </c>
      <c r="LMB90">
        <v>1</v>
      </c>
      <c r="LMC90" t="s">
        <v>430</v>
      </c>
      <c r="LMD90" t="s">
        <v>431</v>
      </c>
      <c r="LME90" t="s">
        <v>432</v>
      </c>
      <c r="LMG90" t="s">
        <v>429</v>
      </c>
      <c r="LMH90" t="s">
        <v>143</v>
      </c>
      <c r="LMI90" t="s">
        <v>398</v>
      </c>
      <c r="LMJ90">
        <v>1</v>
      </c>
      <c r="LMK90" t="s">
        <v>430</v>
      </c>
      <c r="LML90" t="s">
        <v>431</v>
      </c>
      <c r="LMM90" t="s">
        <v>432</v>
      </c>
      <c r="LMO90" t="s">
        <v>429</v>
      </c>
      <c r="LMP90" t="s">
        <v>143</v>
      </c>
      <c r="LMQ90" t="s">
        <v>398</v>
      </c>
      <c r="LMR90">
        <v>1</v>
      </c>
      <c r="LMS90" t="s">
        <v>430</v>
      </c>
      <c r="LMT90" t="s">
        <v>431</v>
      </c>
      <c r="LMU90" t="s">
        <v>432</v>
      </c>
      <c r="LMW90" t="s">
        <v>429</v>
      </c>
      <c r="LMX90" t="s">
        <v>143</v>
      </c>
      <c r="LMY90" t="s">
        <v>398</v>
      </c>
      <c r="LMZ90">
        <v>1</v>
      </c>
      <c r="LNA90" t="s">
        <v>430</v>
      </c>
      <c r="LNB90" t="s">
        <v>431</v>
      </c>
      <c r="LNC90" t="s">
        <v>432</v>
      </c>
      <c r="LNE90" t="s">
        <v>429</v>
      </c>
      <c r="LNF90" t="s">
        <v>143</v>
      </c>
      <c r="LNG90" t="s">
        <v>398</v>
      </c>
      <c r="LNH90">
        <v>1</v>
      </c>
      <c r="LNI90" t="s">
        <v>430</v>
      </c>
      <c r="LNJ90" t="s">
        <v>431</v>
      </c>
      <c r="LNK90" t="s">
        <v>432</v>
      </c>
      <c r="LNM90" t="s">
        <v>429</v>
      </c>
      <c r="LNN90" t="s">
        <v>143</v>
      </c>
      <c r="LNO90" t="s">
        <v>398</v>
      </c>
      <c r="LNP90">
        <v>1</v>
      </c>
      <c r="LNQ90" t="s">
        <v>430</v>
      </c>
      <c r="LNR90" t="s">
        <v>431</v>
      </c>
      <c r="LNS90" t="s">
        <v>432</v>
      </c>
      <c r="LNU90" t="s">
        <v>429</v>
      </c>
      <c r="LNV90" t="s">
        <v>143</v>
      </c>
      <c r="LNW90" t="s">
        <v>398</v>
      </c>
      <c r="LNX90">
        <v>1</v>
      </c>
      <c r="LNY90" t="s">
        <v>430</v>
      </c>
      <c r="LNZ90" t="s">
        <v>431</v>
      </c>
      <c r="LOA90" t="s">
        <v>432</v>
      </c>
      <c r="LOC90" t="s">
        <v>429</v>
      </c>
      <c r="LOD90" t="s">
        <v>143</v>
      </c>
      <c r="LOE90" t="s">
        <v>398</v>
      </c>
      <c r="LOF90">
        <v>1</v>
      </c>
      <c r="LOG90" t="s">
        <v>430</v>
      </c>
      <c r="LOH90" t="s">
        <v>431</v>
      </c>
      <c r="LOI90" t="s">
        <v>432</v>
      </c>
      <c r="LOK90" t="s">
        <v>429</v>
      </c>
      <c r="LOL90" t="s">
        <v>143</v>
      </c>
      <c r="LOM90" t="s">
        <v>398</v>
      </c>
      <c r="LON90">
        <v>1</v>
      </c>
      <c r="LOO90" t="s">
        <v>430</v>
      </c>
      <c r="LOP90" t="s">
        <v>431</v>
      </c>
      <c r="LOQ90" t="s">
        <v>432</v>
      </c>
      <c r="LOS90" t="s">
        <v>429</v>
      </c>
      <c r="LOT90" t="s">
        <v>143</v>
      </c>
      <c r="LOU90" t="s">
        <v>398</v>
      </c>
      <c r="LOV90">
        <v>1</v>
      </c>
      <c r="LOW90" t="s">
        <v>430</v>
      </c>
      <c r="LOX90" t="s">
        <v>431</v>
      </c>
      <c r="LOY90" t="s">
        <v>432</v>
      </c>
      <c r="LPA90" t="s">
        <v>429</v>
      </c>
      <c r="LPB90" t="s">
        <v>143</v>
      </c>
      <c r="LPC90" t="s">
        <v>398</v>
      </c>
      <c r="LPD90">
        <v>1</v>
      </c>
      <c r="LPE90" t="s">
        <v>430</v>
      </c>
      <c r="LPF90" t="s">
        <v>431</v>
      </c>
      <c r="LPG90" t="s">
        <v>432</v>
      </c>
      <c r="LPI90" t="s">
        <v>429</v>
      </c>
      <c r="LPJ90" t="s">
        <v>143</v>
      </c>
      <c r="LPK90" t="s">
        <v>398</v>
      </c>
      <c r="LPL90">
        <v>1</v>
      </c>
      <c r="LPM90" t="s">
        <v>430</v>
      </c>
      <c r="LPN90" t="s">
        <v>431</v>
      </c>
      <c r="LPO90" t="s">
        <v>432</v>
      </c>
      <c r="LPQ90" t="s">
        <v>429</v>
      </c>
      <c r="LPR90" t="s">
        <v>143</v>
      </c>
      <c r="LPS90" t="s">
        <v>398</v>
      </c>
      <c r="LPT90">
        <v>1</v>
      </c>
      <c r="LPU90" t="s">
        <v>430</v>
      </c>
      <c r="LPV90" t="s">
        <v>431</v>
      </c>
      <c r="LPW90" t="s">
        <v>432</v>
      </c>
      <c r="LPY90" t="s">
        <v>429</v>
      </c>
      <c r="LPZ90" t="s">
        <v>143</v>
      </c>
      <c r="LQA90" t="s">
        <v>398</v>
      </c>
      <c r="LQB90">
        <v>1</v>
      </c>
      <c r="LQC90" t="s">
        <v>430</v>
      </c>
      <c r="LQD90" t="s">
        <v>431</v>
      </c>
      <c r="LQE90" t="s">
        <v>432</v>
      </c>
      <c r="LQG90" t="s">
        <v>429</v>
      </c>
      <c r="LQH90" t="s">
        <v>143</v>
      </c>
      <c r="LQI90" t="s">
        <v>398</v>
      </c>
      <c r="LQJ90">
        <v>1</v>
      </c>
      <c r="LQK90" t="s">
        <v>430</v>
      </c>
      <c r="LQL90" t="s">
        <v>431</v>
      </c>
      <c r="LQM90" t="s">
        <v>432</v>
      </c>
      <c r="LQO90" t="s">
        <v>429</v>
      </c>
      <c r="LQP90" t="s">
        <v>143</v>
      </c>
      <c r="LQQ90" t="s">
        <v>398</v>
      </c>
      <c r="LQR90">
        <v>1</v>
      </c>
      <c r="LQS90" t="s">
        <v>430</v>
      </c>
      <c r="LQT90" t="s">
        <v>431</v>
      </c>
      <c r="LQU90" t="s">
        <v>432</v>
      </c>
      <c r="LQW90" t="s">
        <v>429</v>
      </c>
      <c r="LQX90" t="s">
        <v>143</v>
      </c>
      <c r="LQY90" t="s">
        <v>398</v>
      </c>
      <c r="LQZ90">
        <v>1</v>
      </c>
      <c r="LRA90" t="s">
        <v>430</v>
      </c>
      <c r="LRB90" t="s">
        <v>431</v>
      </c>
      <c r="LRC90" t="s">
        <v>432</v>
      </c>
      <c r="LRE90" t="s">
        <v>429</v>
      </c>
      <c r="LRF90" t="s">
        <v>143</v>
      </c>
      <c r="LRG90" t="s">
        <v>398</v>
      </c>
      <c r="LRH90">
        <v>1</v>
      </c>
      <c r="LRI90" t="s">
        <v>430</v>
      </c>
      <c r="LRJ90" t="s">
        <v>431</v>
      </c>
      <c r="LRK90" t="s">
        <v>432</v>
      </c>
      <c r="LRM90" t="s">
        <v>429</v>
      </c>
      <c r="LRN90" t="s">
        <v>143</v>
      </c>
      <c r="LRO90" t="s">
        <v>398</v>
      </c>
      <c r="LRP90">
        <v>1</v>
      </c>
      <c r="LRQ90" t="s">
        <v>430</v>
      </c>
      <c r="LRR90" t="s">
        <v>431</v>
      </c>
      <c r="LRS90" t="s">
        <v>432</v>
      </c>
      <c r="LRU90" t="s">
        <v>429</v>
      </c>
      <c r="LRV90" t="s">
        <v>143</v>
      </c>
      <c r="LRW90" t="s">
        <v>398</v>
      </c>
      <c r="LRX90">
        <v>1</v>
      </c>
      <c r="LRY90" t="s">
        <v>430</v>
      </c>
      <c r="LRZ90" t="s">
        <v>431</v>
      </c>
      <c r="LSA90" t="s">
        <v>432</v>
      </c>
      <c r="LSC90" t="s">
        <v>429</v>
      </c>
      <c r="LSD90" t="s">
        <v>143</v>
      </c>
      <c r="LSE90" t="s">
        <v>398</v>
      </c>
      <c r="LSF90">
        <v>1</v>
      </c>
      <c r="LSG90" t="s">
        <v>430</v>
      </c>
      <c r="LSH90" t="s">
        <v>431</v>
      </c>
      <c r="LSI90" t="s">
        <v>432</v>
      </c>
      <c r="LSK90" t="s">
        <v>429</v>
      </c>
      <c r="LSL90" t="s">
        <v>143</v>
      </c>
      <c r="LSM90" t="s">
        <v>398</v>
      </c>
      <c r="LSN90">
        <v>1</v>
      </c>
      <c r="LSO90" t="s">
        <v>430</v>
      </c>
      <c r="LSP90" t="s">
        <v>431</v>
      </c>
      <c r="LSQ90" t="s">
        <v>432</v>
      </c>
      <c r="LSS90" t="s">
        <v>429</v>
      </c>
      <c r="LST90" t="s">
        <v>143</v>
      </c>
      <c r="LSU90" t="s">
        <v>398</v>
      </c>
      <c r="LSV90">
        <v>1</v>
      </c>
      <c r="LSW90" t="s">
        <v>430</v>
      </c>
      <c r="LSX90" t="s">
        <v>431</v>
      </c>
      <c r="LSY90" t="s">
        <v>432</v>
      </c>
      <c r="LTA90" t="s">
        <v>429</v>
      </c>
      <c r="LTB90" t="s">
        <v>143</v>
      </c>
      <c r="LTC90" t="s">
        <v>398</v>
      </c>
      <c r="LTD90">
        <v>1</v>
      </c>
      <c r="LTE90" t="s">
        <v>430</v>
      </c>
      <c r="LTF90" t="s">
        <v>431</v>
      </c>
      <c r="LTG90" t="s">
        <v>432</v>
      </c>
      <c r="LTI90" t="s">
        <v>429</v>
      </c>
      <c r="LTJ90" t="s">
        <v>143</v>
      </c>
      <c r="LTK90" t="s">
        <v>398</v>
      </c>
      <c r="LTL90">
        <v>1</v>
      </c>
      <c r="LTM90" t="s">
        <v>430</v>
      </c>
      <c r="LTN90" t="s">
        <v>431</v>
      </c>
      <c r="LTO90" t="s">
        <v>432</v>
      </c>
      <c r="LTQ90" t="s">
        <v>429</v>
      </c>
      <c r="LTR90" t="s">
        <v>143</v>
      </c>
      <c r="LTS90" t="s">
        <v>398</v>
      </c>
      <c r="LTT90">
        <v>1</v>
      </c>
      <c r="LTU90" t="s">
        <v>430</v>
      </c>
      <c r="LTV90" t="s">
        <v>431</v>
      </c>
      <c r="LTW90" t="s">
        <v>432</v>
      </c>
      <c r="LTY90" t="s">
        <v>429</v>
      </c>
      <c r="LTZ90" t="s">
        <v>143</v>
      </c>
      <c r="LUA90" t="s">
        <v>398</v>
      </c>
      <c r="LUB90">
        <v>1</v>
      </c>
      <c r="LUC90" t="s">
        <v>430</v>
      </c>
      <c r="LUD90" t="s">
        <v>431</v>
      </c>
      <c r="LUE90" t="s">
        <v>432</v>
      </c>
      <c r="LUG90" t="s">
        <v>429</v>
      </c>
      <c r="LUH90" t="s">
        <v>143</v>
      </c>
      <c r="LUI90" t="s">
        <v>398</v>
      </c>
      <c r="LUJ90">
        <v>1</v>
      </c>
      <c r="LUK90" t="s">
        <v>430</v>
      </c>
      <c r="LUL90" t="s">
        <v>431</v>
      </c>
      <c r="LUM90" t="s">
        <v>432</v>
      </c>
      <c r="LUO90" t="s">
        <v>429</v>
      </c>
      <c r="LUP90" t="s">
        <v>143</v>
      </c>
      <c r="LUQ90" t="s">
        <v>398</v>
      </c>
      <c r="LUR90">
        <v>1</v>
      </c>
      <c r="LUS90" t="s">
        <v>430</v>
      </c>
      <c r="LUT90" t="s">
        <v>431</v>
      </c>
      <c r="LUU90" t="s">
        <v>432</v>
      </c>
      <c r="LUW90" t="s">
        <v>429</v>
      </c>
      <c r="LUX90" t="s">
        <v>143</v>
      </c>
      <c r="LUY90" t="s">
        <v>398</v>
      </c>
      <c r="LUZ90">
        <v>1</v>
      </c>
      <c r="LVA90" t="s">
        <v>430</v>
      </c>
      <c r="LVB90" t="s">
        <v>431</v>
      </c>
      <c r="LVC90" t="s">
        <v>432</v>
      </c>
      <c r="LVE90" t="s">
        <v>429</v>
      </c>
      <c r="LVF90" t="s">
        <v>143</v>
      </c>
      <c r="LVG90" t="s">
        <v>398</v>
      </c>
      <c r="LVH90">
        <v>1</v>
      </c>
      <c r="LVI90" t="s">
        <v>430</v>
      </c>
      <c r="LVJ90" t="s">
        <v>431</v>
      </c>
      <c r="LVK90" t="s">
        <v>432</v>
      </c>
      <c r="LVM90" t="s">
        <v>429</v>
      </c>
      <c r="LVN90" t="s">
        <v>143</v>
      </c>
      <c r="LVO90" t="s">
        <v>398</v>
      </c>
      <c r="LVP90">
        <v>1</v>
      </c>
      <c r="LVQ90" t="s">
        <v>430</v>
      </c>
      <c r="LVR90" t="s">
        <v>431</v>
      </c>
      <c r="LVS90" t="s">
        <v>432</v>
      </c>
      <c r="LVU90" t="s">
        <v>429</v>
      </c>
      <c r="LVV90" t="s">
        <v>143</v>
      </c>
      <c r="LVW90" t="s">
        <v>398</v>
      </c>
      <c r="LVX90">
        <v>1</v>
      </c>
      <c r="LVY90" t="s">
        <v>430</v>
      </c>
      <c r="LVZ90" t="s">
        <v>431</v>
      </c>
      <c r="LWA90" t="s">
        <v>432</v>
      </c>
      <c r="LWC90" t="s">
        <v>429</v>
      </c>
      <c r="LWD90" t="s">
        <v>143</v>
      </c>
      <c r="LWE90" t="s">
        <v>398</v>
      </c>
      <c r="LWF90">
        <v>1</v>
      </c>
      <c r="LWG90" t="s">
        <v>430</v>
      </c>
      <c r="LWH90" t="s">
        <v>431</v>
      </c>
      <c r="LWI90" t="s">
        <v>432</v>
      </c>
      <c r="LWK90" t="s">
        <v>429</v>
      </c>
      <c r="LWL90" t="s">
        <v>143</v>
      </c>
      <c r="LWM90" t="s">
        <v>398</v>
      </c>
      <c r="LWN90">
        <v>1</v>
      </c>
      <c r="LWO90" t="s">
        <v>430</v>
      </c>
      <c r="LWP90" t="s">
        <v>431</v>
      </c>
      <c r="LWQ90" t="s">
        <v>432</v>
      </c>
      <c r="LWS90" t="s">
        <v>429</v>
      </c>
      <c r="LWT90" t="s">
        <v>143</v>
      </c>
      <c r="LWU90" t="s">
        <v>398</v>
      </c>
      <c r="LWV90">
        <v>1</v>
      </c>
      <c r="LWW90" t="s">
        <v>430</v>
      </c>
      <c r="LWX90" t="s">
        <v>431</v>
      </c>
      <c r="LWY90" t="s">
        <v>432</v>
      </c>
      <c r="LXA90" t="s">
        <v>429</v>
      </c>
      <c r="LXB90" t="s">
        <v>143</v>
      </c>
      <c r="LXC90" t="s">
        <v>398</v>
      </c>
      <c r="LXD90">
        <v>1</v>
      </c>
      <c r="LXE90" t="s">
        <v>430</v>
      </c>
      <c r="LXF90" t="s">
        <v>431</v>
      </c>
      <c r="LXG90" t="s">
        <v>432</v>
      </c>
      <c r="LXI90" t="s">
        <v>429</v>
      </c>
      <c r="LXJ90" t="s">
        <v>143</v>
      </c>
      <c r="LXK90" t="s">
        <v>398</v>
      </c>
      <c r="LXL90">
        <v>1</v>
      </c>
      <c r="LXM90" t="s">
        <v>430</v>
      </c>
      <c r="LXN90" t="s">
        <v>431</v>
      </c>
      <c r="LXO90" t="s">
        <v>432</v>
      </c>
      <c r="LXQ90" t="s">
        <v>429</v>
      </c>
      <c r="LXR90" t="s">
        <v>143</v>
      </c>
      <c r="LXS90" t="s">
        <v>398</v>
      </c>
      <c r="LXT90">
        <v>1</v>
      </c>
      <c r="LXU90" t="s">
        <v>430</v>
      </c>
      <c r="LXV90" t="s">
        <v>431</v>
      </c>
      <c r="LXW90" t="s">
        <v>432</v>
      </c>
      <c r="LXY90" t="s">
        <v>429</v>
      </c>
      <c r="LXZ90" t="s">
        <v>143</v>
      </c>
      <c r="LYA90" t="s">
        <v>398</v>
      </c>
      <c r="LYB90">
        <v>1</v>
      </c>
      <c r="LYC90" t="s">
        <v>430</v>
      </c>
      <c r="LYD90" t="s">
        <v>431</v>
      </c>
      <c r="LYE90" t="s">
        <v>432</v>
      </c>
      <c r="LYG90" t="s">
        <v>429</v>
      </c>
      <c r="LYH90" t="s">
        <v>143</v>
      </c>
      <c r="LYI90" t="s">
        <v>398</v>
      </c>
      <c r="LYJ90">
        <v>1</v>
      </c>
      <c r="LYK90" t="s">
        <v>430</v>
      </c>
      <c r="LYL90" t="s">
        <v>431</v>
      </c>
      <c r="LYM90" t="s">
        <v>432</v>
      </c>
      <c r="LYO90" t="s">
        <v>429</v>
      </c>
      <c r="LYP90" t="s">
        <v>143</v>
      </c>
      <c r="LYQ90" t="s">
        <v>398</v>
      </c>
      <c r="LYR90">
        <v>1</v>
      </c>
      <c r="LYS90" t="s">
        <v>430</v>
      </c>
      <c r="LYT90" t="s">
        <v>431</v>
      </c>
      <c r="LYU90" t="s">
        <v>432</v>
      </c>
      <c r="LYW90" t="s">
        <v>429</v>
      </c>
      <c r="LYX90" t="s">
        <v>143</v>
      </c>
      <c r="LYY90" t="s">
        <v>398</v>
      </c>
      <c r="LYZ90">
        <v>1</v>
      </c>
      <c r="LZA90" t="s">
        <v>430</v>
      </c>
      <c r="LZB90" t="s">
        <v>431</v>
      </c>
      <c r="LZC90" t="s">
        <v>432</v>
      </c>
      <c r="LZE90" t="s">
        <v>429</v>
      </c>
      <c r="LZF90" t="s">
        <v>143</v>
      </c>
      <c r="LZG90" t="s">
        <v>398</v>
      </c>
      <c r="LZH90">
        <v>1</v>
      </c>
      <c r="LZI90" t="s">
        <v>430</v>
      </c>
      <c r="LZJ90" t="s">
        <v>431</v>
      </c>
      <c r="LZK90" t="s">
        <v>432</v>
      </c>
      <c r="LZM90" t="s">
        <v>429</v>
      </c>
      <c r="LZN90" t="s">
        <v>143</v>
      </c>
      <c r="LZO90" t="s">
        <v>398</v>
      </c>
      <c r="LZP90">
        <v>1</v>
      </c>
      <c r="LZQ90" t="s">
        <v>430</v>
      </c>
      <c r="LZR90" t="s">
        <v>431</v>
      </c>
      <c r="LZS90" t="s">
        <v>432</v>
      </c>
      <c r="LZU90" t="s">
        <v>429</v>
      </c>
      <c r="LZV90" t="s">
        <v>143</v>
      </c>
      <c r="LZW90" t="s">
        <v>398</v>
      </c>
      <c r="LZX90">
        <v>1</v>
      </c>
      <c r="LZY90" t="s">
        <v>430</v>
      </c>
      <c r="LZZ90" t="s">
        <v>431</v>
      </c>
      <c r="MAA90" t="s">
        <v>432</v>
      </c>
      <c r="MAC90" t="s">
        <v>429</v>
      </c>
      <c r="MAD90" t="s">
        <v>143</v>
      </c>
      <c r="MAE90" t="s">
        <v>398</v>
      </c>
      <c r="MAF90">
        <v>1</v>
      </c>
      <c r="MAG90" t="s">
        <v>430</v>
      </c>
      <c r="MAH90" t="s">
        <v>431</v>
      </c>
      <c r="MAI90" t="s">
        <v>432</v>
      </c>
      <c r="MAK90" t="s">
        <v>429</v>
      </c>
      <c r="MAL90" t="s">
        <v>143</v>
      </c>
      <c r="MAM90" t="s">
        <v>398</v>
      </c>
      <c r="MAN90">
        <v>1</v>
      </c>
      <c r="MAO90" t="s">
        <v>430</v>
      </c>
      <c r="MAP90" t="s">
        <v>431</v>
      </c>
      <c r="MAQ90" t="s">
        <v>432</v>
      </c>
      <c r="MAS90" t="s">
        <v>429</v>
      </c>
      <c r="MAT90" t="s">
        <v>143</v>
      </c>
      <c r="MAU90" t="s">
        <v>398</v>
      </c>
      <c r="MAV90">
        <v>1</v>
      </c>
      <c r="MAW90" t="s">
        <v>430</v>
      </c>
      <c r="MAX90" t="s">
        <v>431</v>
      </c>
      <c r="MAY90" t="s">
        <v>432</v>
      </c>
      <c r="MBA90" t="s">
        <v>429</v>
      </c>
      <c r="MBB90" t="s">
        <v>143</v>
      </c>
      <c r="MBC90" t="s">
        <v>398</v>
      </c>
      <c r="MBD90">
        <v>1</v>
      </c>
      <c r="MBE90" t="s">
        <v>430</v>
      </c>
      <c r="MBF90" t="s">
        <v>431</v>
      </c>
      <c r="MBG90" t="s">
        <v>432</v>
      </c>
      <c r="MBI90" t="s">
        <v>429</v>
      </c>
      <c r="MBJ90" t="s">
        <v>143</v>
      </c>
      <c r="MBK90" t="s">
        <v>398</v>
      </c>
      <c r="MBL90">
        <v>1</v>
      </c>
      <c r="MBM90" t="s">
        <v>430</v>
      </c>
      <c r="MBN90" t="s">
        <v>431</v>
      </c>
      <c r="MBO90" t="s">
        <v>432</v>
      </c>
      <c r="MBQ90" t="s">
        <v>429</v>
      </c>
      <c r="MBR90" t="s">
        <v>143</v>
      </c>
      <c r="MBS90" t="s">
        <v>398</v>
      </c>
      <c r="MBT90">
        <v>1</v>
      </c>
      <c r="MBU90" t="s">
        <v>430</v>
      </c>
      <c r="MBV90" t="s">
        <v>431</v>
      </c>
      <c r="MBW90" t="s">
        <v>432</v>
      </c>
      <c r="MBY90" t="s">
        <v>429</v>
      </c>
      <c r="MBZ90" t="s">
        <v>143</v>
      </c>
      <c r="MCA90" t="s">
        <v>398</v>
      </c>
      <c r="MCB90">
        <v>1</v>
      </c>
      <c r="MCC90" t="s">
        <v>430</v>
      </c>
      <c r="MCD90" t="s">
        <v>431</v>
      </c>
      <c r="MCE90" t="s">
        <v>432</v>
      </c>
      <c r="MCG90" t="s">
        <v>429</v>
      </c>
      <c r="MCH90" t="s">
        <v>143</v>
      </c>
      <c r="MCI90" t="s">
        <v>398</v>
      </c>
      <c r="MCJ90">
        <v>1</v>
      </c>
      <c r="MCK90" t="s">
        <v>430</v>
      </c>
      <c r="MCL90" t="s">
        <v>431</v>
      </c>
      <c r="MCM90" t="s">
        <v>432</v>
      </c>
      <c r="MCO90" t="s">
        <v>429</v>
      </c>
      <c r="MCP90" t="s">
        <v>143</v>
      </c>
      <c r="MCQ90" t="s">
        <v>398</v>
      </c>
      <c r="MCR90">
        <v>1</v>
      </c>
      <c r="MCS90" t="s">
        <v>430</v>
      </c>
      <c r="MCT90" t="s">
        <v>431</v>
      </c>
      <c r="MCU90" t="s">
        <v>432</v>
      </c>
      <c r="MCW90" t="s">
        <v>429</v>
      </c>
      <c r="MCX90" t="s">
        <v>143</v>
      </c>
      <c r="MCY90" t="s">
        <v>398</v>
      </c>
      <c r="MCZ90">
        <v>1</v>
      </c>
      <c r="MDA90" t="s">
        <v>430</v>
      </c>
      <c r="MDB90" t="s">
        <v>431</v>
      </c>
      <c r="MDC90" t="s">
        <v>432</v>
      </c>
      <c r="MDE90" t="s">
        <v>429</v>
      </c>
      <c r="MDF90" t="s">
        <v>143</v>
      </c>
      <c r="MDG90" t="s">
        <v>398</v>
      </c>
      <c r="MDH90">
        <v>1</v>
      </c>
      <c r="MDI90" t="s">
        <v>430</v>
      </c>
      <c r="MDJ90" t="s">
        <v>431</v>
      </c>
      <c r="MDK90" t="s">
        <v>432</v>
      </c>
      <c r="MDM90" t="s">
        <v>429</v>
      </c>
      <c r="MDN90" t="s">
        <v>143</v>
      </c>
      <c r="MDO90" t="s">
        <v>398</v>
      </c>
      <c r="MDP90">
        <v>1</v>
      </c>
      <c r="MDQ90" t="s">
        <v>430</v>
      </c>
      <c r="MDR90" t="s">
        <v>431</v>
      </c>
      <c r="MDS90" t="s">
        <v>432</v>
      </c>
      <c r="MDU90" t="s">
        <v>429</v>
      </c>
      <c r="MDV90" t="s">
        <v>143</v>
      </c>
      <c r="MDW90" t="s">
        <v>398</v>
      </c>
      <c r="MDX90">
        <v>1</v>
      </c>
      <c r="MDY90" t="s">
        <v>430</v>
      </c>
      <c r="MDZ90" t="s">
        <v>431</v>
      </c>
      <c r="MEA90" t="s">
        <v>432</v>
      </c>
      <c r="MEC90" t="s">
        <v>429</v>
      </c>
      <c r="MED90" t="s">
        <v>143</v>
      </c>
      <c r="MEE90" t="s">
        <v>398</v>
      </c>
      <c r="MEF90">
        <v>1</v>
      </c>
      <c r="MEG90" t="s">
        <v>430</v>
      </c>
      <c r="MEH90" t="s">
        <v>431</v>
      </c>
      <c r="MEI90" t="s">
        <v>432</v>
      </c>
      <c r="MEK90" t="s">
        <v>429</v>
      </c>
      <c r="MEL90" t="s">
        <v>143</v>
      </c>
      <c r="MEM90" t="s">
        <v>398</v>
      </c>
      <c r="MEN90">
        <v>1</v>
      </c>
      <c r="MEO90" t="s">
        <v>430</v>
      </c>
      <c r="MEP90" t="s">
        <v>431</v>
      </c>
      <c r="MEQ90" t="s">
        <v>432</v>
      </c>
      <c r="MES90" t="s">
        <v>429</v>
      </c>
      <c r="MET90" t="s">
        <v>143</v>
      </c>
      <c r="MEU90" t="s">
        <v>398</v>
      </c>
      <c r="MEV90">
        <v>1</v>
      </c>
      <c r="MEW90" t="s">
        <v>430</v>
      </c>
      <c r="MEX90" t="s">
        <v>431</v>
      </c>
      <c r="MEY90" t="s">
        <v>432</v>
      </c>
      <c r="MFA90" t="s">
        <v>429</v>
      </c>
      <c r="MFB90" t="s">
        <v>143</v>
      </c>
      <c r="MFC90" t="s">
        <v>398</v>
      </c>
      <c r="MFD90">
        <v>1</v>
      </c>
      <c r="MFE90" t="s">
        <v>430</v>
      </c>
      <c r="MFF90" t="s">
        <v>431</v>
      </c>
      <c r="MFG90" t="s">
        <v>432</v>
      </c>
      <c r="MFI90" t="s">
        <v>429</v>
      </c>
      <c r="MFJ90" t="s">
        <v>143</v>
      </c>
      <c r="MFK90" t="s">
        <v>398</v>
      </c>
      <c r="MFL90">
        <v>1</v>
      </c>
      <c r="MFM90" t="s">
        <v>430</v>
      </c>
      <c r="MFN90" t="s">
        <v>431</v>
      </c>
      <c r="MFO90" t="s">
        <v>432</v>
      </c>
      <c r="MFQ90" t="s">
        <v>429</v>
      </c>
      <c r="MFR90" t="s">
        <v>143</v>
      </c>
      <c r="MFS90" t="s">
        <v>398</v>
      </c>
      <c r="MFT90">
        <v>1</v>
      </c>
      <c r="MFU90" t="s">
        <v>430</v>
      </c>
      <c r="MFV90" t="s">
        <v>431</v>
      </c>
      <c r="MFW90" t="s">
        <v>432</v>
      </c>
      <c r="MFY90" t="s">
        <v>429</v>
      </c>
      <c r="MFZ90" t="s">
        <v>143</v>
      </c>
      <c r="MGA90" t="s">
        <v>398</v>
      </c>
      <c r="MGB90">
        <v>1</v>
      </c>
      <c r="MGC90" t="s">
        <v>430</v>
      </c>
      <c r="MGD90" t="s">
        <v>431</v>
      </c>
      <c r="MGE90" t="s">
        <v>432</v>
      </c>
      <c r="MGG90" t="s">
        <v>429</v>
      </c>
      <c r="MGH90" t="s">
        <v>143</v>
      </c>
      <c r="MGI90" t="s">
        <v>398</v>
      </c>
      <c r="MGJ90">
        <v>1</v>
      </c>
      <c r="MGK90" t="s">
        <v>430</v>
      </c>
      <c r="MGL90" t="s">
        <v>431</v>
      </c>
      <c r="MGM90" t="s">
        <v>432</v>
      </c>
      <c r="MGO90" t="s">
        <v>429</v>
      </c>
      <c r="MGP90" t="s">
        <v>143</v>
      </c>
      <c r="MGQ90" t="s">
        <v>398</v>
      </c>
      <c r="MGR90">
        <v>1</v>
      </c>
      <c r="MGS90" t="s">
        <v>430</v>
      </c>
      <c r="MGT90" t="s">
        <v>431</v>
      </c>
      <c r="MGU90" t="s">
        <v>432</v>
      </c>
      <c r="MGW90" t="s">
        <v>429</v>
      </c>
      <c r="MGX90" t="s">
        <v>143</v>
      </c>
      <c r="MGY90" t="s">
        <v>398</v>
      </c>
      <c r="MGZ90">
        <v>1</v>
      </c>
      <c r="MHA90" t="s">
        <v>430</v>
      </c>
      <c r="MHB90" t="s">
        <v>431</v>
      </c>
      <c r="MHC90" t="s">
        <v>432</v>
      </c>
      <c r="MHE90" t="s">
        <v>429</v>
      </c>
      <c r="MHF90" t="s">
        <v>143</v>
      </c>
      <c r="MHG90" t="s">
        <v>398</v>
      </c>
      <c r="MHH90">
        <v>1</v>
      </c>
      <c r="MHI90" t="s">
        <v>430</v>
      </c>
      <c r="MHJ90" t="s">
        <v>431</v>
      </c>
      <c r="MHK90" t="s">
        <v>432</v>
      </c>
      <c r="MHM90" t="s">
        <v>429</v>
      </c>
      <c r="MHN90" t="s">
        <v>143</v>
      </c>
      <c r="MHO90" t="s">
        <v>398</v>
      </c>
      <c r="MHP90">
        <v>1</v>
      </c>
      <c r="MHQ90" t="s">
        <v>430</v>
      </c>
      <c r="MHR90" t="s">
        <v>431</v>
      </c>
      <c r="MHS90" t="s">
        <v>432</v>
      </c>
      <c r="MHU90" t="s">
        <v>429</v>
      </c>
      <c r="MHV90" t="s">
        <v>143</v>
      </c>
      <c r="MHW90" t="s">
        <v>398</v>
      </c>
      <c r="MHX90">
        <v>1</v>
      </c>
      <c r="MHY90" t="s">
        <v>430</v>
      </c>
      <c r="MHZ90" t="s">
        <v>431</v>
      </c>
      <c r="MIA90" t="s">
        <v>432</v>
      </c>
      <c r="MIC90" t="s">
        <v>429</v>
      </c>
      <c r="MID90" t="s">
        <v>143</v>
      </c>
      <c r="MIE90" t="s">
        <v>398</v>
      </c>
      <c r="MIF90">
        <v>1</v>
      </c>
      <c r="MIG90" t="s">
        <v>430</v>
      </c>
      <c r="MIH90" t="s">
        <v>431</v>
      </c>
      <c r="MII90" t="s">
        <v>432</v>
      </c>
      <c r="MIK90" t="s">
        <v>429</v>
      </c>
      <c r="MIL90" t="s">
        <v>143</v>
      </c>
      <c r="MIM90" t="s">
        <v>398</v>
      </c>
      <c r="MIN90">
        <v>1</v>
      </c>
      <c r="MIO90" t="s">
        <v>430</v>
      </c>
      <c r="MIP90" t="s">
        <v>431</v>
      </c>
      <c r="MIQ90" t="s">
        <v>432</v>
      </c>
      <c r="MIS90" t="s">
        <v>429</v>
      </c>
      <c r="MIT90" t="s">
        <v>143</v>
      </c>
      <c r="MIU90" t="s">
        <v>398</v>
      </c>
      <c r="MIV90">
        <v>1</v>
      </c>
      <c r="MIW90" t="s">
        <v>430</v>
      </c>
      <c r="MIX90" t="s">
        <v>431</v>
      </c>
      <c r="MIY90" t="s">
        <v>432</v>
      </c>
      <c r="MJA90" t="s">
        <v>429</v>
      </c>
      <c r="MJB90" t="s">
        <v>143</v>
      </c>
      <c r="MJC90" t="s">
        <v>398</v>
      </c>
      <c r="MJD90">
        <v>1</v>
      </c>
      <c r="MJE90" t="s">
        <v>430</v>
      </c>
      <c r="MJF90" t="s">
        <v>431</v>
      </c>
      <c r="MJG90" t="s">
        <v>432</v>
      </c>
      <c r="MJI90" t="s">
        <v>429</v>
      </c>
      <c r="MJJ90" t="s">
        <v>143</v>
      </c>
      <c r="MJK90" t="s">
        <v>398</v>
      </c>
      <c r="MJL90">
        <v>1</v>
      </c>
      <c r="MJM90" t="s">
        <v>430</v>
      </c>
      <c r="MJN90" t="s">
        <v>431</v>
      </c>
      <c r="MJO90" t="s">
        <v>432</v>
      </c>
      <c r="MJQ90" t="s">
        <v>429</v>
      </c>
      <c r="MJR90" t="s">
        <v>143</v>
      </c>
      <c r="MJS90" t="s">
        <v>398</v>
      </c>
      <c r="MJT90">
        <v>1</v>
      </c>
      <c r="MJU90" t="s">
        <v>430</v>
      </c>
      <c r="MJV90" t="s">
        <v>431</v>
      </c>
      <c r="MJW90" t="s">
        <v>432</v>
      </c>
      <c r="MJY90" t="s">
        <v>429</v>
      </c>
      <c r="MJZ90" t="s">
        <v>143</v>
      </c>
      <c r="MKA90" t="s">
        <v>398</v>
      </c>
      <c r="MKB90">
        <v>1</v>
      </c>
      <c r="MKC90" t="s">
        <v>430</v>
      </c>
      <c r="MKD90" t="s">
        <v>431</v>
      </c>
      <c r="MKE90" t="s">
        <v>432</v>
      </c>
      <c r="MKG90" t="s">
        <v>429</v>
      </c>
      <c r="MKH90" t="s">
        <v>143</v>
      </c>
      <c r="MKI90" t="s">
        <v>398</v>
      </c>
      <c r="MKJ90">
        <v>1</v>
      </c>
      <c r="MKK90" t="s">
        <v>430</v>
      </c>
      <c r="MKL90" t="s">
        <v>431</v>
      </c>
      <c r="MKM90" t="s">
        <v>432</v>
      </c>
      <c r="MKO90" t="s">
        <v>429</v>
      </c>
      <c r="MKP90" t="s">
        <v>143</v>
      </c>
      <c r="MKQ90" t="s">
        <v>398</v>
      </c>
      <c r="MKR90">
        <v>1</v>
      </c>
      <c r="MKS90" t="s">
        <v>430</v>
      </c>
      <c r="MKT90" t="s">
        <v>431</v>
      </c>
      <c r="MKU90" t="s">
        <v>432</v>
      </c>
      <c r="MKW90" t="s">
        <v>429</v>
      </c>
      <c r="MKX90" t="s">
        <v>143</v>
      </c>
      <c r="MKY90" t="s">
        <v>398</v>
      </c>
      <c r="MKZ90">
        <v>1</v>
      </c>
      <c r="MLA90" t="s">
        <v>430</v>
      </c>
      <c r="MLB90" t="s">
        <v>431</v>
      </c>
      <c r="MLC90" t="s">
        <v>432</v>
      </c>
      <c r="MLE90" t="s">
        <v>429</v>
      </c>
      <c r="MLF90" t="s">
        <v>143</v>
      </c>
      <c r="MLG90" t="s">
        <v>398</v>
      </c>
      <c r="MLH90">
        <v>1</v>
      </c>
      <c r="MLI90" t="s">
        <v>430</v>
      </c>
      <c r="MLJ90" t="s">
        <v>431</v>
      </c>
      <c r="MLK90" t="s">
        <v>432</v>
      </c>
      <c r="MLM90" t="s">
        <v>429</v>
      </c>
      <c r="MLN90" t="s">
        <v>143</v>
      </c>
      <c r="MLO90" t="s">
        <v>398</v>
      </c>
      <c r="MLP90">
        <v>1</v>
      </c>
      <c r="MLQ90" t="s">
        <v>430</v>
      </c>
      <c r="MLR90" t="s">
        <v>431</v>
      </c>
      <c r="MLS90" t="s">
        <v>432</v>
      </c>
      <c r="MLU90" t="s">
        <v>429</v>
      </c>
      <c r="MLV90" t="s">
        <v>143</v>
      </c>
      <c r="MLW90" t="s">
        <v>398</v>
      </c>
      <c r="MLX90">
        <v>1</v>
      </c>
      <c r="MLY90" t="s">
        <v>430</v>
      </c>
      <c r="MLZ90" t="s">
        <v>431</v>
      </c>
      <c r="MMA90" t="s">
        <v>432</v>
      </c>
      <c r="MMC90" t="s">
        <v>429</v>
      </c>
      <c r="MMD90" t="s">
        <v>143</v>
      </c>
      <c r="MME90" t="s">
        <v>398</v>
      </c>
      <c r="MMF90">
        <v>1</v>
      </c>
      <c r="MMG90" t="s">
        <v>430</v>
      </c>
      <c r="MMH90" t="s">
        <v>431</v>
      </c>
      <c r="MMI90" t="s">
        <v>432</v>
      </c>
      <c r="MMK90" t="s">
        <v>429</v>
      </c>
      <c r="MML90" t="s">
        <v>143</v>
      </c>
      <c r="MMM90" t="s">
        <v>398</v>
      </c>
      <c r="MMN90">
        <v>1</v>
      </c>
      <c r="MMO90" t="s">
        <v>430</v>
      </c>
      <c r="MMP90" t="s">
        <v>431</v>
      </c>
      <c r="MMQ90" t="s">
        <v>432</v>
      </c>
      <c r="MMS90" t="s">
        <v>429</v>
      </c>
      <c r="MMT90" t="s">
        <v>143</v>
      </c>
      <c r="MMU90" t="s">
        <v>398</v>
      </c>
      <c r="MMV90">
        <v>1</v>
      </c>
      <c r="MMW90" t="s">
        <v>430</v>
      </c>
      <c r="MMX90" t="s">
        <v>431</v>
      </c>
      <c r="MMY90" t="s">
        <v>432</v>
      </c>
      <c r="MNA90" t="s">
        <v>429</v>
      </c>
      <c r="MNB90" t="s">
        <v>143</v>
      </c>
      <c r="MNC90" t="s">
        <v>398</v>
      </c>
      <c r="MND90">
        <v>1</v>
      </c>
      <c r="MNE90" t="s">
        <v>430</v>
      </c>
      <c r="MNF90" t="s">
        <v>431</v>
      </c>
      <c r="MNG90" t="s">
        <v>432</v>
      </c>
      <c r="MNI90" t="s">
        <v>429</v>
      </c>
      <c r="MNJ90" t="s">
        <v>143</v>
      </c>
      <c r="MNK90" t="s">
        <v>398</v>
      </c>
      <c r="MNL90">
        <v>1</v>
      </c>
      <c r="MNM90" t="s">
        <v>430</v>
      </c>
      <c r="MNN90" t="s">
        <v>431</v>
      </c>
      <c r="MNO90" t="s">
        <v>432</v>
      </c>
      <c r="MNQ90" t="s">
        <v>429</v>
      </c>
      <c r="MNR90" t="s">
        <v>143</v>
      </c>
      <c r="MNS90" t="s">
        <v>398</v>
      </c>
      <c r="MNT90">
        <v>1</v>
      </c>
      <c r="MNU90" t="s">
        <v>430</v>
      </c>
      <c r="MNV90" t="s">
        <v>431</v>
      </c>
      <c r="MNW90" t="s">
        <v>432</v>
      </c>
      <c r="MNY90" t="s">
        <v>429</v>
      </c>
      <c r="MNZ90" t="s">
        <v>143</v>
      </c>
      <c r="MOA90" t="s">
        <v>398</v>
      </c>
      <c r="MOB90">
        <v>1</v>
      </c>
      <c r="MOC90" t="s">
        <v>430</v>
      </c>
      <c r="MOD90" t="s">
        <v>431</v>
      </c>
      <c r="MOE90" t="s">
        <v>432</v>
      </c>
      <c r="MOG90" t="s">
        <v>429</v>
      </c>
      <c r="MOH90" t="s">
        <v>143</v>
      </c>
      <c r="MOI90" t="s">
        <v>398</v>
      </c>
      <c r="MOJ90">
        <v>1</v>
      </c>
      <c r="MOK90" t="s">
        <v>430</v>
      </c>
      <c r="MOL90" t="s">
        <v>431</v>
      </c>
      <c r="MOM90" t="s">
        <v>432</v>
      </c>
      <c r="MOO90" t="s">
        <v>429</v>
      </c>
      <c r="MOP90" t="s">
        <v>143</v>
      </c>
      <c r="MOQ90" t="s">
        <v>398</v>
      </c>
      <c r="MOR90">
        <v>1</v>
      </c>
      <c r="MOS90" t="s">
        <v>430</v>
      </c>
      <c r="MOT90" t="s">
        <v>431</v>
      </c>
      <c r="MOU90" t="s">
        <v>432</v>
      </c>
      <c r="MOW90" t="s">
        <v>429</v>
      </c>
      <c r="MOX90" t="s">
        <v>143</v>
      </c>
      <c r="MOY90" t="s">
        <v>398</v>
      </c>
      <c r="MOZ90">
        <v>1</v>
      </c>
      <c r="MPA90" t="s">
        <v>430</v>
      </c>
      <c r="MPB90" t="s">
        <v>431</v>
      </c>
      <c r="MPC90" t="s">
        <v>432</v>
      </c>
      <c r="MPE90" t="s">
        <v>429</v>
      </c>
      <c r="MPF90" t="s">
        <v>143</v>
      </c>
      <c r="MPG90" t="s">
        <v>398</v>
      </c>
      <c r="MPH90">
        <v>1</v>
      </c>
      <c r="MPI90" t="s">
        <v>430</v>
      </c>
      <c r="MPJ90" t="s">
        <v>431</v>
      </c>
      <c r="MPK90" t="s">
        <v>432</v>
      </c>
      <c r="MPM90" t="s">
        <v>429</v>
      </c>
      <c r="MPN90" t="s">
        <v>143</v>
      </c>
      <c r="MPO90" t="s">
        <v>398</v>
      </c>
      <c r="MPP90">
        <v>1</v>
      </c>
      <c r="MPQ90" t="s">
        <v>430</v>
      </c>
      <c r="MPR90" t="s">
        <v>431</v>
      </c>
      <c r="MPS90" t="s">
        <v>432</v>
      </c>
      <c r="MPU90" t="s">
        <v>429</v>
      </c>
      <c r="MPV90" t="s">
        <v>143</v>
      </c>
      <c r="MPW90" t="s">
        <v>398</v>
      </c>
      <c r="MPX90">
        <v>1</v>
      </c>
      <c r="MPY90" t="s">
        <v>430</v>
      </c>
      <c r="MPZ90" t="s">
        <v>431</v>
      </c>
      <c r="MQA90" t="s">
        <v>432</v>
      </c>
      <c r="MQC90" t="s">
        <v>429</v>
      </c>
      <c r="MQD90" t="s">
        <v>143</v>
      </c>
      <c r="MQE90" t="s">
        <v>398</v>
      </c>
      <c r="MQF90">
        <v>1</v>
      </c>
      <c r="MQG90" t="s">
        <v>430</v>
      </c>
      <c r="MQH90" t="s">
        <v>431</v>
      </c>
      <c r="MQI90" t="s">
        <v>432</v>
      </c>
      <c r="MQK90" t="s">
        <v>429</v>
      </c>
      <c r="MQL90" t="s">
        <v>143</v>
      </c>
      <c r="MQM90" t="s">
        <v>398</v>
      </c>
      <c r="MQN90">
        <v>1</v>
      </c>
      <c r="MQO90" t="s">
        <v>430</v>
      </c>
      <c r="MQP90" t="s">
        <v>431</v>
      </c>
      <c r="MQQ90" t="s">
        <v>432</v>
      </c>
      <c r="MQS90" t="s">
        <v>429</v>
      </c>
      <c r="MQT90" t="s">
        <v>143</v>
      </c>
      <c r="MQU90" t="s">
        <v>398</v>
      </c>
      <c r="MQV90">
        <v>1</v>
      </c>
      <c r="MQW90" t="s">
        <v>430</v>
      </c>
      <c r="MQX90" t="s">
        <v>431</v>
      </c>
      <c r="MQY90" t="s">
        <v>432</v>
      </c>
      <c r="MRA90" t="s">
        <v>429</v>
      </c>
      <c r="MRB90" t="s">
        <v>143</v>
      </c>
      <c r="MRC90" t="s">
        <v>398</v>
      </c>
      <c r="MRD90">
        <v>1</v>
      </c>
      <c r="MRE90" t="s">
        <v>430</v>
      </c>
      <c r="MRF90" t="s">
        <v>431</v>
      </c>
      <c r="MRG90" t="s">
        <v>432</v>
      </c>
      <c r="MRI90" t="s">
        <v>429</v>
      </c>
      <c r="MRJ90" t="s">
        <v>143</v>
      </c>
      <c r="MRK90" t="s">
        <v>398</v>
      </c>
      <c r="MRL90">
        <v>1</v>
      </c>
      <c r="MRM90" t="s">
        <v>430</v>
      </c>
      <c r="MRN90" t="s">
        <v>431</v>
      </c>
      <c r="MRO90" t="s">
        <v>432</v>
      </c>
      <c r="MRQ90" t="s">
        <v>429</v>
      </c>
      <c r="MRR90" t="s">
        <v>143</v>
      </c>
      <c r="MRS90" t="s">
        <v>398</v>
      </c>
      <c r="MRT90">
        <v>1</v>
      </c>
      <c r="MRU90" t="s">
        <v>430</v>
      </c>
      <c r="MRV90" t="s">
        <v>431</v>
      </c>
      <c r="MRW90" t="s">
        <v>432</v>
      </c>
      <c r="MRY90" t="s">
        <v>429</v>
      </c>
      <c r="MRZ90" t="s">
        <v>143</v>
      </c>
      <c r="MSA90" t="s">
        <v>398</v>
      </c>
      <c r="MSB90">
        <v>1</v>
      </c>
      <c r="MSC90" t="s">
        <v>430</v>
      </c>
      <c r="MSD90" t="s">
        <v>431</v>
      </c>
      <c r="MSE90" t="s">
        <v>432</v>
      </c>
      <c r="MSG90" t="s">
        <v>429</v>
      </c>
      <c r="MSH90" t="s">
        <v>143</v>
      </c>
      <c r="MSI90" t="s">
        <v>398</v>
      </c>
      <c r="MSJ90">
        <v>1</v>
      </c>
      <c r="MSK90" t="s">
        <v>430</v>
      </c>
      <c r="MSL90" t="s">
        <v>431</v>
      </c>
      <c r="MSM90" t="s">
        <v>432</v>
      </c>
      <c r="MSO90" t="s">
        <v>429</v>
      </c>
      <c r="MSP90" t="s">
        <v>143</v>
      </c>
      <c r="MSQ90" t="s">
        <v>398</v>
      </c>
      <c r="MSR90">
        <v>1</v>
      </c>
      <c r="MSS90" t="s">
        <v>430</v>
      </c>
      <c r="MST90" t="s">
        <v>431</v>
      </c>
      <c r="MSU90" t="s">
        <v>432</v>
      </c>
      <c r="MSW90" t="s">
        <v>429</v>
      </c>
      <c r="MSX90" t="s">
        <v>143</v>
      </c>
      <c r="MSY90" t="s">
        <v>398</v>
      </c>
      <c r="MSZ90">
        <v>1</v>
      </c>
      <c r="MTA90" t="s">
        <v>430</v>
      </c>
      <c r="MTB90" t="s">
        <v>431</v>
      </c>
      <c r="MTC90" t="s">
        <v>432</v>
      </c>
      <c r="MTE90" t="s">
        <v>429</v>
      </c>
      <c r="MTF90" t="s">
        <v>143</v>
      </c>
      <c r="MTG90" t="s">
        <v>398</v>
      </c>
      <c r="MTH90">
        <v>1</v>
      </c>
      <c r="MTI90" t="s">
        <v>430</v>
      </c>
      <c r="MTJ90" t="s">
        <v>431</v>
      </c>
      <c r="MTK90" t="s">
        <v>432</v>
      </c>
      <c r="MTM90" t="s">
        <v>429</v>
      </c>
      <c r="MTN90" t="s">
        <v>143</v>
      </c>
      <c r="MTO90" t="s">
        <v>398</v>
      </c>
      <c r="MTP90">
        <v>1</v>
      </c>
      <c r="MTQ90" t="s">
        <v>430</v>
      </c>
      <c r="MTR90" t="s">
        <v>431</v>
      </c>
      <c r="MTS90" t="s">
        <v>432</v>
      </c>
      <c r="MTU90" t="s">
        <v>429</v>
      </c>
      <c r="MTV90" t="s">
        <v>143</v>
      </c>
      <c r="MTW90" t="s">
        <v>398</v>
      </c>
      <c r="MTX90">
        <v>1</v>
      </c>
      <c r="MTY90" t="s">
        <v>430</v>
      </c>
      <c r="MTZ90" t="s">
        <v>431</v>
      </c>
      <c r="MUA90" t="s">
        <v>432</v>
      </c>
      <c r="MUC90" t="s">
        <v>429</v>
      </c>
      <c r="MUD90" t="s">
        <v>143</v>
      </c>
      <c r="MUE90" t="s">
        <v>398</v>
      </c>
      <c r="MUF90">
        <v>1</v>
      </c>
      <c r="MUG90" t="s">
        <v>430</v>
      </c>
      <c r="MUH90" t="s">
        <v>431</v>
      </c>
      <c r="MUI90" t="s">
        <v>432</v>
      </c>
      <c r="MUK90" t="s">
        <v>429</v>
      </c>
      <c r="MUL90" t="s">
        <v>143</v>
      </c>
      <c r="MUM90" t="s">
        <v>398</v>
      </c>
      <c r="MUN90">
        <v>1</v>
      </c>
      <c r="MUO90" t="s">
        <v>430</v>
      </c>
      <c r="MUP90" t="s">
        <v>431</v>
      </c>
      <c r="MUQ90" t="s">
        <v>432</v>
      </c>
      <c r="MUS90" t="s">
        <v>429</v>
      </c>
      <c r="MUT90" t="s">
        <v>143</v>
      </c>
      <c r="MUU90" t="s">
        <v>398</v>
      </c>
      <c r="MUV90">
        <v>1</v>
      </c>
      <c r="MUW90" t="s">
        <v>430</v>
      </c>
      <c r="MUX90" t="s">
        <v>431</v>
      </c>
      <c r="MUY90" t="s">
        <v>432</v>
      </c>
      <c r="MVA90" t="s">
        <v>429</v>
      </c>
      <c r="MVB90" t="s">
        <v>143</v>
      </c>
      <c r="MVC90" t="s">
        <v>398</v>
      </c>
      <c r="MVD90">
        <v>1</v>
      </c>
      <c r="MVE90" t="s">
        <v>430</v>
      </c>
      <c r="MVF90" t="s">
        <v>431</v>
      </c>
      <c r="MVG90" t="s">
        <v>432</v>
      </c>
      <c r="MVI90" t="s">
        <v>429</v>
      </c>
      <c r="MVJ90" t="s">
        <v>143</v>
      </c>
      <c r="MVK90" t="s">
        <v>398</v>
      </c>
      <c r="MVL90">
        <v>1</v>
      </c>
      <c r="MVM90" t="s">
        <v>430</v>
      </c>
      <c r="MVN90" t="s">
        <v>431</v>
      </c>
      <c r="MVO90" t="s">
        <v>432</v>
      </c>
      <c r="MVQ90" t="s">
        <v>429</v>
      </c>
      <c r="MVR90" t="s">
        <v>143</v>
      </c>
      <c r="MVS90" t="s">
        <v>398</v>
      </c>
      <c r="MVT90">
        <v>1</v>
      </c>
      <c r="MVU90" t="s">
        <v>430</v>
      </c>
      <c r="MVV90" t="s">
        <v>431</v>
      </c>
      <c r="MVW90" t="s">
        <v>432</v>
      </c>
      <c r="MVY90" t="s">
        <v>429</v>
      </c>
      <c r="MVZ90" t="s">
        <v>143</v>
      </c>
      <c r="MWA90" t="s">
        <v>398</v>
      </c>
      <c r="MWB90">
        <v>1</v>
      </c>
      <c r="MWC90" t="s">
        <v>430</v>
      </c>
      <c r="MWD90" t="s">
        <v>431</v>
      </c>
      <c r="MWE90" t="s">
        <v>432</v>
      </c>
      <c r="MWG90" t="s">
        <v>429</v>
      </c>
      <c r="MWH90" t="s">
        <v>143</v>
      </c>
      <c r="MWI90" t="s">
        <v>398</v>
      </c>
      <c r="MWJ90">
        <v>1</v>
      </c>
      <c r="MWK90" t="s">
        <v>430</v>
      </c>
      <c r="MWL90" t="s">
        <v>431</v>
      </c>
      <c r="MWM90" t="s">
        <v>432</v>
      </c>
      <c r="MWO90" t="s">
        <v>429</v>
      </c>
      <c r="MWP90" t="s">
        <v>143</v>
      </c>
      <c r="MWQ90" t="s">
        <v>398</v>
      </c>
      <c r="MWR90">
        <v>1</v>
      </c>
      <c r="MWS90" t="s">
        <v>430</v>
      </c>
      <c r="MWT90" t="s">
        <v>431</v>
      </c>
      <c r="MWU90" t="s">
        <v>432</v>
      </c>
      <c r="MWW90" t="s">
        <v>429</v>
      </c>
      <c r="MWX90" t="s">
        <v>143</v>
      </c>
      <c r="MWY90" t="s">
        <v>398</v>
      </c>
      <c r="MWZ90">
        <v>1</v>
      </c>
      <c r="MXA90" t="s">
        <v>430</v>
      </c>
      <c r="MXB90" t="s">
        <v>431</v>
      </c>
      <c r="MXC90" t="s">
        <v>432</v>
      </c>
      <c r="MXE90" t="s">
        <v>429</v>
      </c>
      <c r="MXF90" t="s">
        <v>143</v>
      </c>
      <c r="MXG90" t="s">
        <v>398</v>
      </c>
      <c r="MXH90">
        <v>1</v>
      </c>
      <c r="MXI90" t="s">
        <v>430</v>
      </c>
      <c r="MXJ90" t="s">
        <v>431</v>
      </c>
      <c r="MXK90" t="s">
        <v>432</v>
      </c>
      <c r="MXM90" t="s">
        <v>429</v>
      </c>
      <c r="MXN90" t="s">
        <v>143</v>
      </c>
      <c r="MXO90" t="s">
        <v>398</v>
      </c>
      <c r="MXP90">
        <v>1</v>
      </c>
      <c r="MXQ90" t="s">
        <v>430</v>
      </c>
      <c r="MXR90" t="s">
        <v>431</v>
      </c>
      <c r="MXS90" t="s">
        <v>432</v>
      </c>
      <c r="MXU90" t="s">
        <v>429</v>
      </c>
      <c r="MXV90" t="s">
        <v>143</v>
      </c>
      <c r="MXW90" t="s">
        <v>398</v>
      </c>
      <c r="MXX90">
        <v>1</v>
      </c>
      <c r="MXY90" t="s">
        <v>430</v>
      </c>
      <c r="MXZ90" t="s">
        <v>431</v>
      </c>
      <c r="MYA90" t="s">
        <v>432</v>
      </c>
      <c r="MYC90" t="s">
        <v>429</v>
      </c>
      <c r="MYD90" t="s">
        <v>143</v>
      </c>
      <c r="MYE90" t="s">
        <v>398</v>
      </c>
      <c r="MYF90">
        <v>1</v>
      </c>
      <c r="MYG90" t="s">
        <v>430</v>
      </c>
      <c r="MYH90" t="s">
        <v>431</v>
      </c>
      <c r="MYI90" t="s">
        <v>432</v>
      </c>
      <c r="MYK90" t="s">
        <v>429</v>
      </c>
      <c r="MYL90" t="s">
        <v>143</v>
      </c>
      <c r="MYM90" t="s">
        <v>398</v>
      </c>
      <c r="MYN90">
        <v>1</v>
      </c>
      <c r="MYO90" t="s">
        <v>430</v>
      </c>
      <c r="MYP90" t="s">
        <v>431</v>
      </c>
      <c r="MYQ90" t="s">
        <v>432</v>
      </c>
      <c r="MYS90" t="s">
        <v>429</v>
      </c>
      <c r="MYT90" t="s">
        <v>143</v>
      </c>
      <c r="MYU90" t="s">
        <v>398</v>
      </c>
      <c r="MYV90">
        <v>1</v>
      </c>
      <c r="MYW90" t="s">
        <v>430</v>
      </c>
      <c r="MYX90" t="s">
        <v>431</v>
      </c>
      <c r="MYY90" t="s">
        <v>432</v>
      </c>
      <c r="MZA90" t="s">
        <v>429</v>
      </c>
      <c r="MZB90" t="s">
        <v>143</v>
      </c>
      <c r="MZC90" t="s">
        <v>398</v>
      </c>
      <c r="MZD90">
        <v>1</v>
      </c>
      <c r="MZE90" t="s">
        <v>430</v>
      </c>
      <c r="MZF90" t="s">
        <v>431</v>
      </c>
      <c r="MZG90" t="s">
        <v>432</v>
      </c>
      <c r="MZI90" t="s">
        <v>429</v>
      </c>
      <c r="MZJ90" t="s">
        <v>143</v>
      </c>
      <c r="MZK90" t="s">
        <v>398</v>
      </c>
      <c r="MZL90">
        <v>1</v>
      </c>
      <c r="MZM90" t="s">
        <v>430</v>
      </c>
      <c r="MZN90" t="s">
        <v>431</v>
      </c>
      <c r="MZO90" t="s">
        <v>432</v>
      </c>
      <c r="MZQ90" t="s">
        <v>429</v>
      </c>
      <c r="MZR90" t="s">
        <v>143</v>
      </c>
      <c r="MZS90" t="s">
        <v>398</v>
      </c>
      <c r="MZT90">
        <v>1</v>
      </c>
      <c r="MZU90" t="s">
        <v>430</v>
      </c>
      <c r="MZV90" t="s">
        <v>431</v>
      </c>
      <c r="MZW90" t="s">
        <v>432</v>
      </c>
      <c r="MZY90" t="s">
        <v>429</v>
      </c>
      <c r="MZZ90" t="s">
        <v>143</v>
      </c>
      <c r="NAA90" t="s">
        <v>398</v>
      </c>
      <c r="NAB90">
        <v>1</v>
      </c>
      <c r="NAC90" t="s">
        <v>430</v>
      </c>
      <c r="NAD90" t="s">
        <v>431</v>
      </c>
      <c r="NAE90" t="s">
        <v>432</v>
      </c>
      <c r="NAG90" t="s">
        <v>429</v>
      </c>
      <c r="NAH90" t="s">
        <v>143</v>
      </c>
      <c r="NAI90" t="s">
        <v>398</v>
      </c>
      <c r="NAJ90">
        <v>1</v>
      </c>
      <c r="NAK90" t="s">
        <v>430</v>
      </c>
      <c r="NAL90" t="s">
        <v>431</v>
      </c>
      <c r="NAM90" t="s">
        <v>432</v>
      </c>
      <c r="NAO90" t="s">
        <v>429</v>
      </c>
      <c r="NAP90" t="s">
        <v>143</v>
      </c>
      <c r="NAQ90" t="s">
        <v>398</v>
      </c>
      <c r="NAR90">
        <v>1</v>
      </c>
      <c r="NAS90" t="s">
        <v>430</v>
      </c>
      <c r="NAT90" t="s">
        <v>431</v>
      </c>
      <c r="NAU90" t="s">
        <v>432</v>
      </c>
      <c r="NAW90" t="s">
        <v>429</v>
      </c>
      <c r="NAX90" t="s">
        <v>143</v>
      </c>
      <c r="NAY90" t="s">
        <v>398</v>
      </c>
      <c r="NAZ90">
        <v>1</v>
      </c>
      <c r="NBA90" t="s">
        <v>430</v>
      </c>
      <c r="NBB90" t="s">
        <v>431</v>
      </c>
      <c r="NBC90" t="s">
        <v>432</v>
      </c>
      <c r="NBE90" t="s">
        <v>429</v>
      </c>
      <c r="NBF90" t="s">
        <v>143</v>
      </c>
      <c r="NBG90" t="s">
        <v>398</v>
      </c>
      <c r="NBH90">
        <v>1</v>
      </c>
      <c r="NBI90" t="s">
        <v>430</v>
      </c>
      <c r="NBJ90" t="s">
        <v>431</v>
      </c>
      <c r="NBK90" t="s">
        <v>432</v>
      </c>
      <c r="NBM90" t="s">
        <v>429</v>
      </c>
      <c r="NBN90" t="s">
        <v>143</v>
      </c>
      <c r="NBO90" t="s">
        <v>398</v>
      </c>
      <c r="NBP90">
        <v>1</v>
      </c>
      <c r="NBQ90" t="s">
        <v>430</v>
      </c>
      <c r="NBR90" t="s">
        <v>431</v>
      </c>
      <c r="NBS90" t="s">
        <v>432</v>
      </c>
      <c r="NBU90" t="s">
        <v>429</v>
      </c>
      <c r="NBV90" t="s">
        <v>143</v>
      </c>
      <c r="NBW90" t="s">
        <v>398</v>
      </c>
      <c r="NBX90">
        <v>1</v>
      </c>
      <c r="NBY90" t="s">
        <v>430</v>
      </c>
      <c r="NBZ90" t="s">
        <v>431</v>
      </c>
      <c r="NCA90" t="s">
        <v>432</v>
      </c>
      <c r="NCC90" t="s">
        <v>429</v>
      </c>
      <c r="NCD90" t="s">
        <v>143</v>
      </c>
      <c r="NCE90" t="s">
        <v>398</v>
      </c>
      <c r="NCF90">
        <v>1</v>
      </c>
      <c r="NCG90" t="s">
        <v>430</v>
      </c>
      <c r="NCH90" t="s">
        <v>431</v>
      </c>
      <c r="NCI90" t="s">
        <v>432</v>
      </c>
      <c r="NCK90" t="s">
        <v>429</v>
      </c>
      <c r="NCL90" t="s">
        <v>143</v>
      </c>
      <c r="NCM90" t="s">
        <v>398</v>
      </c>
      <c r="NCN90">
        <v>1</v>
      </c>
      <c r="NCO90" t="s">
        <v>430</v>
      </c>
      <c r="NCP90" t="s">
        <v>431</v>
      </c>
      <c r="NCQ90" t="s">
        <v>432</v>
      </c>
      <c r="NCS90" t="s">
        <v>429</v>
      </c>
      <c r="NCT90" t="s">
        <v>143</v>
      </c>
      <c r="NCU90" t="s">
        <v>398</v>
      </c>
      <c r="NCV90">
        <v>1</v>
      </c>
      <c r="NCW90" t="s">
        <v>430</v>
      </c>
      <c r="NCX90" t="s">
        <v>431</v>
      </c>
      <c r="NCY90" t="s">
        <v>432</v>
      </c>
      <c r="NDA90" t="s">
        <v>429</v>
      </c>
      <c r="NDB90" t="s">
        <v>143</v>
      </c>
      <c r="NDC90" t="s">
        <v>398</v>
      </c>
      <c r="NDD90">
        <v>1</v>
      </c>
      <c r="NDE90" t="s">
        <v>430</v>
      </c>
      <c r="NDF90" t="s">
        <v>431</v>
      </c>
      <c r="NDG90" t="s">
        <v>432</v>
      </c>
      <c r="NDI90" t="s">
        <v>429</v>
      </c>
      <c r="NDJ90" t="s">
        <v>143</v>
      </c>
      <c r="NDK90" t="s">
        <v>398</v>
      </c>
      <c r="NDL90">
        <v>1</v>
      </c>
      <c r="NDM90" t="s">
        <v>430</v>
      </c>
      <c r="NDN90" t="s">
        <v>431</v>
      </c>
      <c r="NDO90" t="s">
        <v>432</v>
      </c>
      <c r="NDQ90" t="s">
        <v>429</v>
      </c>
      <c r="NDR90" t="s">
        <v>143</v>
      </c>
      <c r="NDS90" t="s">
        <v>398</v>
      </c>
      <c r="NDT90">
        <v>1</v>
      </c>
      <c r="NDU90" t="s">
        <v>430</v>
      </c>
      <c r="NDV90" t="s">
        <v>431</v>
      </c>
      <c r="NDW90" t="s">
        <v>432</v>
      </c>
      <c r="NDY90" t="s">
        <v>429</v>
      </c>
      <c r="NDZ90" t="s">
        <v>143</v>
      </c>
      <c r="NEA90" t="s">
        <v>398</v>
      </c>
      <c r="NEB90">
        <v>1</v>
      </c>
      <c r="NEC90" t="s">
        <v>430</v>
      </c>
      <c r="NED90" t="s">
        <v>431</v>
      </c>
      <c r="NEE90" t="s">
        <v>432</v>
      </c>
      <c r="NEG90" t="s">
        <v>429</v>
      </c>
      <c r="NEH90" t="s">
        <v>143</v>
      </c>
      <c r="NEI90" t="s">
        <v>398</v>
      </c>
      <c r="NEJ90">
        <v>1</v>
      </c>
      <c r="NEK90" t="s">
        <v>430</v>
      </c>
      <c r="NEL90" t="s">
        <v>431</v>
      </c>
      <c r="NEM90" t="s">
        <v>432</v>
      </c>
      <c r="NEO90" t="s">
        <v>429</v>
      </c>
      <c r="NEP90" t="s">
        <v>143</v>
      </c>
      <c r="NEQ90" t="s">
        <v>398</v>
      </c>
      <c r="NER90">
        <v>1</v>
      </c>
      <c r="NES90" t="s">
        <v>430</v>
      </c>
      <c r="NET90" t="s">
        <v>431</v>
      </c>
      <c r="NEU90" t="s">
        <v>432</v>
      </c>
      <c r="NEW90" t="s">
        <v>429</v>
      </c>
      <c r="NEX90" t="s">
        <v>143</v>
      </c>
      <c r="NEY90" t="s">
        <v>398</v>
      </c>
      <c r="NEZ90">
        <v>1</v>
      </c>
      <c r="NFA90" t="s">
        <v>430</v>
      </c>
      <c r="NFB90" t="s">
        <v>431</v>
      </c>
      <c r="NFC90" t="s">
        <v>432</v>
      </c>
      <c r="NFE90" t="s">
        <v>429</v>
      </c>
      <c r="NFF90" t="s">
        <v>143</v>
      </c>
      <c r="NFG90" t="s">
        <v>398</v>
      </c>
      <c r="NFH90">
        <v>1</v>
      </c>
      <c r="NFI90" t="s">
        <v>430</v>
      </c>
      <c r="NFJ90" t="s">
        <v>431</v>
      </c>
      <c r="NFK90" t="s">
        <v>432</v>
      </c>
      <c r="NFM90" t="s">
        <v>429</v>
      </c>
      <c r="NFN90" t="s">
        <v>143</v>
      </c>
      <c r="NFO90" t="s">
        <v>398</v>
      </c>
      <c r="NFP90">
        <v>1</v>
      </c>
      <c r="NFQ90" t="s">
        <v>430</v>
      </c>
      <c r="NFR90" t="s">
        <v>431</v>
      </c>
      <c r="NFS90" t="s">
        <v>432</v>
      </c>
      <c r="NFU90" t="s">
        <v>429</v>
      </c>
      <c r="NFV90" t="s">
        <v>143</v>
      </c>
      <c r="NFW90" t="s">
        <v>398</v>
      </c>
      <c r="NFX90">
        <v>1</v>
      </c>
      <c r="NFY90" t="s">
        <v>430</v>
      </c>
      <c r="NFZ90" t="s">
        <v>431</v>
      </c>
      <c r="NGA90" t="s">
        <v>432</v>
      </c>
      <c r="NGC90" t="s">
        <v>429</v>
      </c>
      <c r="NGD90" t="s">
        <v>143</v>
      </c>
      <c r="NGE90" t="s">
        <v>398</v>
      </c>
      <c r="NGF90">
        <v>1</v>
      </c>
      <c r="NGG90" t="s">
        <v>430</v>
      </c>
      <c r="NGH90" t="s">
        <v>431</v>
      </c>
      <c r="NGI90" t="s">
        <v>432</v>
      </c>
      <c r="NGK90" t="s">
        <v>429</v>
      </c>
      <c r="NGL90" t="s">
        <v>143</v>
      </c>
      <c r="NGM90" t="s">
        <v>398</v>
      </c>
      <c r="NGN90">
        <v>1</v>
      </c>
      <c r="NGO90" t="s">
        <v>430</v>
      </c>
      <c r="NGP90" t="s">
        <v>431</v>
      </c>
      <c r="NGQ90" t="s">
        <v>432</v>
      </c>
      <c r="NGS90" t="s">
        <v>429</v>
      </c>
      <c r="NGT90" t="s">
        <v>143</v>
      </c>
      <c r="NGU90" t="s">
        <v>398</v>
      </c>
      <c r="NGV90">
        <v>1</v>
      </c>
      <c r="NGW90" t="s">
        <v>430</v>
      </c>
      <c r="NGX90" t="s">
        <v>431</v>
      </c>
      <c r="NGY90" t="s">
        <v>432</v>
      </c>
      <c r="NHA90" t="s">
        <v>429</v>
      </c>
      <c r="NHB90" t="s">
        <v>143</v>
      </c>
      <c r="NHC90" t="s">
        <v>398</v>
      </c>
      <c r="NHD90">
        <v>1</v>
      </c>
      <c r="NHE90" t="s">
        <v>430</v>
      </c>
      <c r="NHF90" t="s">
        <v>431</v>
      </c>
      <c r="NHG90" t="s">
        <v>432</v>
      </c>
      <c r="NHI90" t="s">
        <v>429</v>
      </c>
      <c r="NHJ90" t="s">
        <v>143</v>
      </c>
      <c r="NHK90" t="s">
        <v>398</v>
      </c>
      <c r="NHL90">
        <v>1</v>
      </c>
      <c r="NHM90" t="s">
        <v>430</v>
      </c>
      <c r="NHN90" t="s">
        <v>431</v>
      </c>
      <c r="NHO90" t="s">
        <v>432</v>
      </c>
      <c r="NHQ90" t="s">
        <v>429</v>
      </c>
      <c r="NHR90" t="s">
        <v>143</v>
      </c>
      <c r="NHS90" t="s">
        <v>398</v>
      </c>
      <c r="NHT90">
        <v>1</v>
      </c>
      <c r="NHU90" t="s">
        <v>430</v>
      </c>
      <c r="NHV90" t="s">
        <v>431</v>
      </c>
      <c r="NHW90" t="s">
        <v>432</v>
      </c>
      <c r="NHY90" t="s">
        <v>429</v>
      </c>
      <c r="NHZ90" t="s">
        <v>143</v>
      </c>
      <c r="NIA90" t="s">
        <v>398</v>
      </c>
      <c r="NIB90">
        <v>1</v>
      </c>
      <c r="NIC90" t="s">
        <v>430</v>
      </c>
      <c r="NID90" t="s">
        <v>431</v>
      </c>
      <c r="NIE90" t="s">
        <v>432</v>
      </c>
      <c r="NIG90" t="s">
        <v>429</v>
      </c>
      <c r="NIH90" t="s">
        <v>143</v>
      </c>
      <c r="NII90" t="s">
        <v>398</v>
      </c>
      <c r="NIJ90">
        <v>1</v>
      </c>
      <c r="NIK90" t="s">
        <v>430</v>
      </c>
      <c r="NIL90" t="s">
        <v>431</v>
      </c>
      <c r="NIM90" t="s">
        <v>432</v>
      </c>
      <c r="NIO90" t="s">
        <v>429</v>
      </c>
      <c r="NIP90" t="s">
        <v>143</v>
      </c>
      <c r="NIQ90" t="s">
        <v>398</v>
      </c>
      <c r="NIR90">
        <v>1</v>
      </c>
      <c r="NIS90" t="s">
        <v>430</v>
      </c>
      <c r="NIT90" t="s">
        <v>431</v>
      </c>
      <c r="NIU90" t="s">
        <v>432</v>
      </c>
      <c r="NIW90" t="s">
        <v>429</v>
      </c>
      <c r="NIX90" t="s">
        <v>143</v>
      </c>
      <c r="NIY90" t="s">
        <v>398</v>
      </c>
      <c r="NIZ90">
        <v>1</v>
      </c>
      <c r="NJA90" t="s">
        <v>430</v>
      </c>
      <c r="NJB90" t="s">
        <v>431</v>
      </c>
      <c r="NJC90" t="s">
        <v>432</v>
      </c>
      <c r="NJE90" t="s">
        <v>429</v>
      </c>
      <c r="NJF90" t="s">
        <v>143</v>
      </c>
      <c r="NJG90" t="s">
        <v>398</v>
      </c>
      <c r="NJH90">
        <v>1</v>
      </c>
      <c r="NJI90" t="s">
        <v>430</v>
      </c>
      <c r="NJJ90" t="s">
        <v>431</v>
      </c>
      <c r="NJK90" t="s">
        <v>432</v>
      </c>
      <c r="NJM90" t="s">
        <v>429</v>
      </c>
      <c r="NJN90" t="s">
        <v>143</v>
      </c>
      <c r="NJO90" t="s">
        <v>398</v>
      </c>
      <c r="NJP90">
        <v>1</v>
      </c>
      <c r="NJQ90" t="s">
        <v>430</v>
      </c>
      <c r="NJR90" t="s">
        <v>431</v>
      </c>
      <c r="NJS90" t="s">
        <v>432</v>
      </c>
      <c r="NJU90" t="s">
        <v>429</v>
      </c>
      <c r="NJV90" t="s">
        <v>143</v>
      </c>
      <c r="NJW90" t="s">
        <v>398</v>
      </c>
      <c r="NJX90">
        <v>1</v>
      </c>
      <c r="NJY90" t="s">
        <v>430</v>
      </c>
      <c r="NJZ90" t="s">
        <v>431</v>
      </c>
      <c r="NKA90" t="s">
        <v>432</v>
      </c>
      <c r="NKC90" t="s">
        <v>429</v>
      </c>
      <c r="NKD90" t="s">
        <v>143</v>
      </c>
      <c r="NKE90" t="s">
        <v>398</v>
      </c>
      <c r="NKF90">
        <v>1</v>
      </c>
      <c r="NKG90" t="s">
        <v>430</v>
      </c>
      <c r="NKH90" t="s">
        <v>431</v>
      </c>
      <c r="NKI90" t="s">
        <v>432</v>
      </c>
      <c r="NKK90" t="s">
        <v>429</v>
      </c>
      <c r="NKL90" t="s">
        <v>143</v>
      </c>
      <c r="NKM90" t="s">
        <v>398</v>
      </c>
      <c r="NKN90">
        <v>1</v>
      </c>
      <c r="NKO90" t="s">
        <v>430</v>
      </c>
      <c r="NKP90" t="s">
        <v>431</v>
      </c>
      <c r="NKQ90" t="s">
        <v>432</v>
      </c>
      <c r="NKS90" t="s">
        <v>429</v>
      </c>
      <c r="NKT90" t="s">
        <v>143</v>
      </c>
      <c r="NKU90" t="s">
        <v>398</v>
      </c>
      <c r="NKV90">
        <v>1</v>
      </c>
      <c r="NKW90" t="s">
        <v>430</v>
      </c>
      <c r="NKX90" t="s">
        <v>431</v>
      </c>
      <c r="NKY90" t="s">
        <v>432</v>
      </c>
      <c r="NLA90" t="s">
        <v>429</v>
      </c>
      <c r="NLB90" t="s">
        <v>143</v>
      </c>
      <c r="NLC90" t="s">
        <v>398</v>
      </c>
      <c r="NLD90">
        <v>1</v>
      </c>
      <c r="NLE90" t="s">
        <v>430</v>
      </c>
      <c r="NLF90" t="s">
        <v>431</v>
      </c>
      <c r="NLG90" t="s">
        <v>432</v>
      </c>
      <c r="NLI90" t="s">
        <v>429</v>
      </c>
      <c r="NLJ90" t="s">
        <v>143</v>
      </c>
      <c r="NLK90" t="s">
        <v>398</v>
      </c>
      <c r="NLL90">
        <v>1</v>
      </c>
      <c r="NLM90" t="s">
        <v>430</v>
      </c>
      <c r="NLN90" t="s">
        <v>431</v>
      </c>
      <c r="NLO90" t="s">
        <v>432</v>
      </c>
      <c r="NLQ90" t="s">
        <v>429</v>
      </c>
      <c r="NLR90" t="s">
        <v>143</v>
      </c>
      <c r="NLS90" t="s">
        <v>398</v>
      </c>
      <c r="NLT90">
        <v>1</v>
      </c>
      <c r="NLU90" t="s">
        <v>430</v>
      </c>
      <c r="NLV90" t="s">
        <v>431</v>
      </c>
      <c r="NLW90" t="s">
        <v>432</v>
      </c>
      <c r="NLY90" t="s">
        <v>429</v>
      </c>
      <c r="NLZ90" t="s">
        <v>143</v>
      </c>
      <c r="NMA90" t="s">
        <v>398</v>
      </c>
      <c r="NMB90">
        <v>1</v>
      </c>
      <c r="NMC90" t="s">
        <v>430</v>
      </c>
      <c r="NMD90" t="s">
        <v>431</v>
      </c>
      <c r="NME90" t="s">
        <v>432</v>
      </c>
      <c r="NMG90" t="s">
        <v>429</v>
      </c>
      <c r="NMH90" t="s">
        <v>143</v>
      </c>
      <c r="NMI90" t="s">
        <v>398</v>
      </c>
      <c r="NMJ90">
        <v>1</v>
      </c>
      <c r="NMK90" t="s">
        <v>430</v>
      </c>
      <c r="NML90" t="s">
        <v>431</v>
      </c>
      <c r="NMM90" t="s">
        <v>432</v>
      </c>
      <c r="NMO90" t="s">
        <v>429</v>
      </c>
      <c r="NMP90" t="s">
        <v>143</v>
      </c>
      <c r="NMQ90" t="s">
        <v>398</v>
      </c>
      <c r="NMR90">
        <v>1</v>
      </c>
      <c r="NMS90" t="s">
        <v>430</v>
      </c>
      <c r="NMT90" t="s">
        <v>431</v>
      </c>
      <c r="NMU90" t="s">
        <v>432</v>
      </c>
      <c r="NMW90" t="s">
        <v>429</v>
      </c>
      <c r="NMX90" t="s">
        <v>143</v>
      </c>
      <c r="NMY90" t="s">
        <v>398</v>
      </c>
      <c r="NMZ90">
        <v>1</v>
      </c>
      <c r="NNA90" t="s">
        <v>430</v>
      </c>
      <c r="NNB90" t="s">
        <v>431</v>
      </c>
      <c r="NNC90" t="s">
        <v>432</v>
      </c>
      <c r="NNE90" t="s">
        <v>429</v>
      </c>
      <c r="NNF90" t="s">
        <v>143</v>
      </c>
      <c r="NNG90" t="s">
        <v>398</v>
      </c>
      <c r="NNH90">
        <v>1</v>
      </c>
      <c r="NNI90" t="s">
        <v>430</v>
      </c>
      <c r="NNJ90" t="s">
        <v>431</v>
      </c>
      <c r="NNK90" t="s">
        <v>432</v>
      </c>
      <c r="NNM90" t="s">
        <v>429</v>
      </c>
      <c r="NNN90" t="s">
        <v>143</v>
      </c>
      <c r="NNO90" t="s">
        <v>398</v>
      </c>
      <c r="NNP90">
        <v>1</v>
      </c>
      <c r="NNQ90" t="s">
        <v>430</v>
      </c>
      <c r="NNR90" t="s">
        <v>431</v>
      </c>
      <c r="NNS90" t="s">
        <v>432</v>
      </c>
      <c r="NNU90" t="s">
        <v>429</v>
      </c>
      <c r="NNV90" t="s">
        <v>143</v>
      </c>
      <c r="NNW90" t="s">
        <v>398</v>
      </c>
      <c r="NNX90">
        <v>1</v>
      </c>
      <c r="NNY90" t="s">
        <v>430</v>
      </c>
      <c r="NNZ90" t="s">
        <v>431</v>
      </c>
      <c r="NOA90" t="s">
        <v>432</v>
      </c>
      <c r="NOC90" t="s">
        <v>429</v>
      </c>
      <c r="NOD90" t="s">
        <v>143</v>
      </c>
      <c r="NOE90" t="s">
        <v>398</v>
      </c>
      <c r="NOF90">
        <v>1</v>
      </c>
      <c r="NOG90" t="s">
        <v>430</v>
      </c>
      <c r="NOH90" t="s">
        <v>431</v>
      </c>
      <c r="NOI90" t="s">
        <v>432</v>
      </c>
      <c r="NOK90" t="s">
        <v>429</v>
      </c>
      <c r="NOL90" t="s">
        <v>143</v>
      </c>
      <c r="NOM90" t="s">
        <v>398</v>
      </c>
      <c r="NON90">
        <v>1</v>
      </c>
      <c r="NOO90" t="s">
        <v>430</v>
      </c>
      <c r="NOP90" t="s">
        <v>431</v>
      </c>
      <c r="NOQ90" t="s">
        <v>432</v>
      </c>
      <c r="NOS90" t="s">
        <v>429</v>
      </c>
      <c r="NOT90" t="s">
        <v>143</v>
      </c>
      <c r="NOU90" t="s">
        <v>398</v>
      </c>
      <c r="NOV90">
        <v>1</v>
      </c>
      <c r="NOW90" t="s">
        <v>430</v>
      </c>
      <c r="NOX90" t="s">
        <v>431</v>
      </c>
      <c r="NOY90" t="s">
        <v>432</v>
      </c>
      <c r="NPA90" t="s">
        <v>429</v>
      </c>
      <c r="NPB90" t="s">
        <v>143</v>
      </c>
      <c r="NPC90" t="s">
        <v>398</v>
      </c>
      <c r="NPD90">
        <v>1</v>
      </c>
      <c r="NPE90" t="s">
        <v>430</v>
      </c>
      <c r="NPF90" t="s">
        <v>431</v>
      </c>
      <c r="NPG90" t="s">
        <v>432</v>
      </c>
      <c r="NPI90" t="s">
        <v>429</v>
      </c>
      <c r="NPJ90" t="s">
        <v>143</v>
      </c>
      <c r="NPK90" t="s">
        <v>398</v>
      </c>
      <c r="NPL90">
        <v>1</v>
      </c>
      <c r="NPM90" t="s">
        <v>430</v>
      </c>
      <c r="NPN90" t="s">
        <v>431</v>
      </c>
      <c r="NPO90" t="s">
        <v>432</v>
      </c>
      <c r="NPQ90" t="s">
        <v>429</v>
      </c>
      <c r="NPR90" t="s">
        <v>143</v>
      </c>
      <c r="NPS90" t="s">
        <v>398</v>
      </c>
      <c r="NPT90">
        <v>1</v>
      </c>
      <c r="NPU90" t="s">
        <v>430</v>
      </c>
      <c r="NPV90" t="s">
        <v>431</v>
      </c>
      <c r="NPW90" t="s">
        <v>432</v>
      </c>
      <c r="NPY90" t="s">
        <v>429</v>
      </c>
      <c r="NPZ90" t="s">
        <v>143</v>
      </c>
      <c r="NQA90" t="s">
        <v>398</v>
      </c>
      <c r="NQB90">
        <v>1</v>
      </c>
      <c r="NQC90" t="s">
        <v>430</v>
      </c>
      <c r="NQD90" t="s">
        <v>431</v>
      </c>
      <c r="NQE90" t="s">
        <v>432</v>
      </c>
      <c r="NQG90" t="s">
        <v>429</v>
      </c>
      <c r="NQH90" t="s">
        <v>143</v>
      </c>
      <c r="NQI90" t="s">
        <v>398</v>
      </c>
      <c r="NQJ90">
        <v>1</v>
      </c>
      <c r="NQK90" t="s">
        <v>430</v>
      </c>
      <c r="NQL90" t="s">
        <v>431</v>
      </c>
      <c r="NQM90" t="s">
        <v>432</v>
      </c>
      <c r="NQO90" t="s">
        <v>429</v>
      </c>
      <c r="NQP90" t="s">
        <v>143</v>
      </c>
      <c r="NQQ90" t="s">
        <v>398</v>
      </c>
      <c r="NQR90">
        <v>1</v>
      </c>
      <c r="NQS90" t="s">
        <v>430</v>
      </c>
      <c r="NQT90" t="s">
        <v>431</v>
      </c>
      <c r="NQU90" t="s">
        <v>432</v>
      </c>
      <c r="NQW90" t="s">
        <v>429</v>
      </c>
      <c r="NQX90" t="s">
        <v>143</v>
      </c>
      <c r="NQY90" t="s">
        <v>398</v>
      </c>
      <c r="NQZ90">
        <v>1</v>
      </c>
      <c r="NRA90" t="s">
        <v>430</v>
      </c>
      <c r="NRB90" t="s">
        <v>431</v>
      </c>
      <c r="NRC90" t="s">
        <v>432</v>
      </c>
      <c r="NRE90" t="s">
        <v>429</v>
      </c>
      <c r="NRF90" t="s">
        <v>143</v>
      </c>
      <c r="NRG90" t="s">
        <v>398</v>
      </c>
      <c r="NRH90">
        <v>1</v>
      </c>
      <c r="NRI90" t="s">
        <v>430</v>
      </c>
      <c r="NRJ90" t="s">
        <v>431</v>
      </c>
      <c r="NRK90" t="s">
        <v>432</v>
      </c>
      <c r="NRM90" t="s">
        <v>429</v>
      </c>
      <c r="NRN90" t="s">
        <v>143</v>
      </c>
      <c r="NRO90" t="s">
        <v>398</v>
      </c>
      <c r="NRP90">
        <v>1</v>
      </c>
      <c r="NRQ90" t="s">
        <v>430</v>
      </c>
      <c r="NRR90" t="s">
        <v>431</v>
      </c>
      <c r="NRS90" t="s">
        <v>432</v>
      </c>
      <c r="NRU90" t="s">
        <v>429</v>
      </c>
      <c r="NRV90" t="s">
        <v>143</v>
      </c>
      <c r="NRW90" t="s">
        <v>398</v>
      </c>
      <c r="NRX90">
        <v>1</v>
      </c>
      <c r="NRY90" t="s">
        <v>430</v>
      </c>
      <c r="NRZ90" t="s">
        <v>431</v>
      </c>
      <c r="NSA90" t="s">
        <v>432</v>
      </c>
      <c r="NSC90" t="s">
        <v>429</v>
      </c>
      <c r="NSD90" t="s">
        <v>143</v>
      </c>
      <c r="NSE90" t="s">
        <v>398</v>
      </c>
      <c r="NSF90">
        <v>1</v>
      </c>
      <c r="NSG90" t="s">
        <v>430</v>
      </c>
      <c r="NSH90" t="s">
        <v>431</v>
      </c>
      <c r="NSI90" t="s">
        <v>432</v>
      </c>
      <c r="NSK90" t="s">
        <v>429</v>
      </c>
      <c r="NSL90" t="s">
        <v>143</v>
      </c>
      <c r="NSM90" t="s">
        <v>398</v>
      </c>
      <c r="NSN90">
        <v>1</v>
      </c>
      <c r="NSO90" t="s">
        <v>430</v>
      </c>
      <c r="NSP90" t="s">
        <v>431</v>
      </c>
      <c r="NSQ90" t="s">
        <v>432</v>
      </c>
      <c r="NSS90" t="s">
        <v>429</v>
      </c>
      <c r="NST90" t="s">
        <v>143</v>
      </c>
      <c r="NSU90" t="s">
        <v>398</v>
      </c>
      <c r="NSV90">
        <v>1</v>
      </c>
      <c r="NSW90" t="s">
        <v>430</v>
      </c>
      <c r="NSX90" t="s">
        <v>431</v>
      </c>
      <c r="NSY90" t="s">
        <v>432</v>
      </c>
      <c r="NTA90" t="s">
        <v>429</v>
      </c>
      <c r="NTB90" t="s">
        <v>143</v>
      </c>
      <c r="NTC90" t="s">
        <v>398</v>
      </c>
      <c r="NTD90">
        <v>1</v>
      </c>
      <c r="NTE90" t="s">
        <v>430</v>
      </c>
      <c r="NTF90" t="s">
        <v>431</v>
      </c>
      <c r="NTG90" t="s">
        <v>432</v>
      </c>
      <c r="NTI90" t="s">
        <v>429</v>
      </c>
      <c r="NTJ90" t="s">
        <v>143</v>
      </c>
      <c r="NTK90" t="s">
        <v>398</v>
      </c>
      <c r="NTL90">
        <v>1</v>
      </c>
      <c r="NTM90" t="s">
        <v>430</v>
      </c>
      <c r="NTN90" t="s">
        <v>431</v>
      </c>
      <c r="NTO90" t="s">
        <v>432</v>
      </c>
      <c r="NTQ90" t="s">
        <v>429</v>
      </c>
      <c r="NTR90" t="s">
        <v>143</v>
      </c>
      <c r="NTS90" t="s">
        <v>398</v>
      </c>
      <c r="NTT90">
        <v>1</v>
      </c>
      <c r="NTU90" t="s">
        <v>430</v>
      </c>
      <c r="NTV90" t="s">
        <v>431</v>
      </c>
      <c r="NTW90" t="s">
        <v>432</v>
      </c>
      <c r="NTY90" t="s">
        <v>429</v>
      </c>
      <c r="NTZ90" t="s">
        <v>143</v>
      </c>
      <c r="NUA90" t="s">
        <v>398</v>
      </c>
      <c r="NUB90">
        <v>1</v>
      </c>
      <c r="NUC90" t="s">
        <v>430</v>
      </c>
      <c r="NUD90" t="s">
        <v>431</v>
      </c>
      <c r="NUE90" t="s">
        <v>432</v>
      </c>
      <c r="NUG90" t="s">
        <v>429</v>
      </c>
      <c r="NUH90" t="s">
        <v>143</v>
      </c>
      <c r="NUI90" t="s">
        <v>398</v>
      </c>
      <c r="NUJ90">
        <v>1</v>
      </c>
      <c r="NUK90" t="s">
        <v>430</v>
      </c>
      <c r="NUL90" t="s">
        <v>431</v>
      </c>
      <c r="NUM90" t="s">
        <v>432</v>
      </c>
      <c r="NUO90" t="s">
        <v>429</v>
      </c>
      <c r="NUP90" t="s">
        <v>143</v>
      </c>
      <c r="NUQ90" t="s">
        <v>398</v>
      </c>
      <c r="NUR90">
        <v>1</v>
      </c>
      <c r="NUS90" t="s">
        <v>430</v>
      </c>
      <c r="NUT90" t="s">
        <v>431</v>
      </c>
      <c r="NUU90" t="s">
        <v>432</v>
      </c>
      <c r="NUW90" t="s">
        <v>429</v>
      </c>
      <c r="NUX90" t="s">
        <v>143</v>
      </c>
      <c r="NUY90" t="s">
        <v>398</v>
      </c>
      <c r="NUZ90">
        <v>1</v>
      </c>
      <c r="NVA90" t="s">
        <v>430</v>
      </c>
      <c r="NVB90" t="s">
        <v>431</v>
      </c>
      <c r="NVC90" t="s">
        <v>432</v>
      </c>
      <c r="NVE90" t="s">
        <v>429</v>
      </c>
      <c r="NVF90" t="s">
        <v>143</v>
      </c>
      <c r="NVG90" t="s">
        <v>398</v>
      </c>
      <c r="NVH90">
        <v>1</v>
      </c>
      <c r="NVI90" t="s">
        <v>430</v>
      </c>
      <c r="NVJ90" t="s">
        <v>431</v>
      </c>
      <c r="NVK90" t="s">
        <v>432</v>
      </c>
      <c r="NVM90" t="s">
        <v>429</v>
      </c>
      <c r="NVN90" t="s">
        <v>143</v>
      </c>
      <c r="NVO90" t="s">
        <v>398</v>
      </c>
      <c r="NVP90">
        <v>1</v>
      </c>
      <c r="NVQ90" t="s">
        <v>430</v>
      </c>
      <c r="NVR90" t="s">
        <v>431</v>
      </c>
      <c r="NVS90" t="s">
        <v>432</v>
      </c>
      <c r="NVU90" t="s">
        <v>429</v>
      </c>
      <c r="NVV90" t="s">
        <v>143</v>
      </c>
      <c r="NVW90" t="s">
        <v>398</v>
      </c>
      <c r="NVX90">
        <v>1</v>
      </c>
      <c r="NVY90" t="s">
        <v>430</v>
      </c>
      <c r="NVZ90" t="s">
        <v>431</v>
      </c>
      <c r="NWA90" t="s">
        <v>432</v>
      </c>
      <c r="NWC90" t="s">
        <v>429</v>
      </c>
      <c r="NWD90" t="s">
        <v>143</v>
      </c>
      <c r="NWE90" t="s">
        <v>398</v>
      </c>
      <c r="NWF90">
        <v>1</v>
      </c>
      <c r="NWG90" t="s">
        <v>430</v>
      </c>
      <c r="NWH90" t="s">
        <v>431</v>
      </c>
      <c r="NWI90" t="s">
        <v>432</v>
      </c>
      <c r="NWK90" t="s">
        <v>429</v>
      </c>
      <c r="NWL90" t="s">
        <v>143</v>
      </c>
      <c r="NWM90" t="s">
        <v>398</v>
      </c>
      <c r="NWN90">
        <v>1</v>
      </c>
      <c r="NWO90" t="s">
        <v>430</v>
      </c>
      <c r="NWP90" t="s">
        <v>431</v>
      </c>
      <c r="NWQ90" t="s">
        <v>432</v>
      </c>
      <c r="NWS90" t="s">
        <v>429</v>
      </c>
      <c r="NWT90" t="s">
        <v>143</v>
      </c>
      <c r="NWU90" t="s">
        <v>398</v>
      </c>
      <c r="NWV90">
        <v>1</v>
      </c>
      <c r="NWW90" t="s">
        <v>430</v>
      </c>
      <c r="NWX90" t="s">
        <v>431</v>
      </c>
      <c r="NWY90" t="s">
        <v>432</v>
      </c>
      <c r="NXA90" t="s">
        <v>429</v>
      </c>
      <c r="NXB90" t="s">
        <v>143</v>
      </c>
      <c r="NXC90" t="s">
        <v>398</v>
      </c>
      <c r="NXD90">
        <v>1</v>
      </c>
      <c r="NXE90" t="s">
        <v>430</v>
      </c>
      <c r="NXF90" t="s">
        <v>431</v>
      </c>
      <c r="NXG90" t="s">
        <v>432</v>
      </c>
      <c r="NXI90" t="s">
        <v>429</v>
      </c>
      <c r="NXJ90" t="s">
        <v>143</v>
      </c>
      <c r="NXK90" t="s">
        <v>398</v>
      </c>
      <c r="NXL90">
        <v>1</v>
      </c>
      <c r="NXM90" t="s">
        <v>430</v>
      </c>
      <c r="NXN90" t="s">
        <v>431</v>
      </c>
      <c r="NXO90" t="s">
        <v>432</v>
      </c>
      <c r="NXQ90" t="s">
        <v>429</v>
      </c>
      <c r="NXR90" t="s">
        <v>143</v>
      </c>
      <c r="NXS90" t="s">
        <v>398</v>
      </c>
      <c r="NXT90">
        <v>1</v>
      </c>
      <c r="NXU90" t="s">
        <v>430</v>
      </c>
      <c r="NXV90" t="s">
        <v>431</v>
      </c>
      <c r="NXW90" t="s">
        <v>432</v>
      </c>
      <c r="NXY90" t="s">
        <v>429</v>
      </c>
      <c r="NXZ90" t="s">
        <v>143</v>
      </c>
      <c r="NYA90" t="s">
        <v>398</v>
      </c>
      <c r="NYB90">
        <v>1</v>
      </c>
      <c r="NYC90" t="s">
        <v>430</v>
      </c>
      <c r="NYD90" t="s">
        <v>431</v>
      </c>
      <c r="NYE90" t="s">
        <v>432</v>
      </c>
      <c r="NYG90" t="s">
        <v>429</v>
      </c>
      <c r="NYH90" t="s">
        <v>143</v>
      </c>
      <c r="NYI90" t="s">
        <v>398</v>
      </c>
      <c r="NYJ90">
        <v>1</v>
      </c>
      <c r="NYK90" t="s">
        <v>430</v>
      </c>
      <c r="NYL90" t="s">
        <v>431</v>
      </c>
      <c r="NYM90" t="s">
        <v>432</v>
      </c>
      <c r="NYO90" t="s">
        <v>429</v>
      </c>
      <c r="NYP90" t="s">
        <v>143</v>
      </c>
      <c r="NYQ90" t="s">
        <v>398</v>
      </c>
      <c r="NYR90">
        <v>1</v>
      </c>
      <c r="NYS90" t="s">
        <v>430</v>
      </c>
      <c r="NYT90" t="s">
        <v>431</v>
      </c>
      <c r="NYU90" t="s">
        <v>432</v>
      </c>
      <c r="NYW90" t="s">
        <v>429</v>
      </c>
      <c r="NYX90" t="s">
        <v>143</v>
      </c>
      <c r="NYY90" t="s">
        <v>398</v>
      </c>
      <c r="NYZ90">
        <v>1</v>
      </c>
      <c r="NZA90" t="s">
        <v>430</v>
      </c>
      <c r="NZB90" t="s">
        <v>431</v>
      </c>
      <c r="NZC90" t="s">
        <v>432</v>
      </c>
      <c r="NZE90" t="s">
        <v>429</v>
      </c>
      <c r="NZF90" t="s">
        <v>143</v>
      </c>
      <c r="NZG90" t="s">
        <v>398</v>
      </c>
      <c r="NZH90">
        <v>1</v>
      </c>
      <c r="NZI90" t="s">
        <v>430</v>
      </c>
      <c r="NZJ90" t="s">
        <v>431</v>
      </c>
      <c r="NZK90" t="s">
        <v>432</v>
      </c>
      <c r="NZM90" t="s">
        <v>429</v>
      </c>
      <c r="NZN90" t="s">
        <v>143</v>
      </c>
      <c r="NZO90" t="s">
        <v>398</v>
      </c>
      <c r="NZP90">
        <v>1</v>
      </c>
      <c r="NZQ90" t="s">
        <v>430</v>
      </c>
      <c r="NZR90" t="s">
        <v>431</v>
      </c>
      <c r="NZS90" t="s">
        <v>432</v>
      </c>
      <c r="NZU90" t="s">
        <v>429</v>
      </c>
      <c r="NZV90" t="s">
        <v>143</v>
      </c>
      <c r="NZW90" t="s">
        <v>398</v>
      </c>
      <c r="NZX90">
        <v>1</v>
      </c>
      <c r="NZY90" t="s">
        <v>430</v>
      </c>
      <c r="NZZ90" t="s">
        <v>431</v>
      </c>
      <c r="OAA90" t="s">
        <v>432</v>
      </c>
      <c r="OAC90" t="s">
        <v>429</v>
      </c>
      <c r="OAD90" t="s">
        <v>143</v>
      </c>
      <c r="OAE90" t="s">
        <v>398</v>
      </c>
      <c r="OAF90">
        <v>1</v>
      </c>
      <c r="OAG90" t="s">
        <v>430</v>
      </c>
      <c r="OAH90" t="s">
        <v>431</v>
      </c>
      <c r="OAI90" t="s">
        <v>432</v>
      </c>
      <c r="OAK90" t="s">
        <v>429</v>
      </c>
      <c r="OAL90" t="s">
        <v>143</v>
      </c>
      <c r="OAM90" t="s">
        <v>398</v>
      </c>
      <c r="OAN90">
        <v>1</v>
      </c>
      <c r="OAO90" t="s">
        <v>430</v>
      </c>
      <c r="OAP90" t="s">
        <v>431</v>
      </c>
      <c r="OAQ90" t="s">
        <v>432</v>
      </c>
      <c r="OAS90" t="s">
        <v>429</v>
      </c>
      <c r="OAT90" t="s">
        <v>143</v>
      </c>
      <c r="OAU90" t="s">
        <v>398</v>
      </c>
      <c r="OAV90">
        <v>1</v>
      </c>
      <c r="OAW90" t="s">
        <v>430</v>
      </c>
      <c r="OAX90" t="s">
        <v>431</v>
      </c>
      <c r="OAY90" t="s">
        <v>432</v>
      </c>
      <c r="OBA90" t="s">
        <v>429</v>
      </c>
      <c r="OBB90" t="s">
        <v>143</v>
      </c>
      <c r="OBC90" t="s">
        <v>398</v>
      </c>
      <c r="OBD90">
        <v>1</v>
      </c>
      <c r="OBE90" t="s">
        <v>430</v>
      </c>
      <c r="OBF90" t="s">
        <v>431</v>
      </c>
      <c r="OBG90" t="s">
        <v>432</v>
      </c>
      <c r="OBI90" t="s">
        <v>429</v>
      </c>
      <c r="OBJ90" t="s">
        <v>143</v>
      </c>
      <c r="OBK90" t="s">
        <v>398</v>
      </c>
      <c r="OBL90">
        <v>1</v>
      </c>
      <c r="OBM90" t="s">
        <v>430</v>
      </c>
      <c r="OBN90" t="s">
        <v>431</v>
      </c>
      <c r="OBO90" t="s">
        <v>432</v>
      </c>
      <c r="OBQ90" t="s">
        <v>429</v>
      </c>
      <c r="OBR90" t="s">
        <v>143</v>
      </c>
      <c r="OBS90" t="s">
        <v>398</v>
      </c>
      <c r="OBT90">
        <v>1</v>
      </c>
      <c r="OBU90" t="s">
        <v>430</v>
      </c>
      <c r="OBV90" t="s">
        <v>431</v>
      </c>
      <c r="OBW90" t="s">
        <v>432</v>
      </c>
      <c r="OBY90" t="s">
        <v>429</v>
      </c>
      <c r="OBZ90" t="s">
        <v>143</v>
      </c>
      <c r="OCA90" t="s">
        <v>398</v>
      </c>
      <c r="OCB90">
        <v>1</v>
      </c>
      <c r="OCC90" t="s">
        <v>430</v>
      </c>
      <c r="OCD90" t="s">
        <v>431</v>
      </c>
      <c r="OCE90" t="s">
        <v>432</v>
      </c>
      <c r="OCG90" t="s">
        <v>429</v>
      </c>
      <c r="OCH90" t="s">
        <v>143</v>
      </c>
      <c r="OCI90" t="s">
        <v>398</v>
      </c>
      <c r="OCJ90">
        <v>1</v>
      </c>
      <c r="OCK90" t="s">
        <v>430</v>
      </c>
      <c r="OCL90" t="s">
        <v>431</v>
      </c>
      <c r="OCM90" t="s">
        <v>432</v>
      </c>
      <c r="OCO90" t="s">
        <v>429</v>
      </c>
      <c r="OCP90" t="s">
        <v>143</v>
      </c>
      <c r="OCQ90" t="s">
        <v>398</v>
      </c>
      <c r="OCR90">
        <v>1</v>
      </c>
      <c r="OCS90" t="s">
        <v>430</v>
      </c>
      <c r="OCT90" t="s">
        <v>431</v>
      </c>
      <c r="OCU90" t="s">
        <v>432</v>
      </c>
      <c r="OCW90" t="s">
        <v>429</v>
      </c>
      <c r="OCX90" t="s">
        <v>143</v>
      </c>
      <c r="OCY90" t="s">
        <v>398</v>
      </c>
      <c r="OCZ90">
        <v>1</v>
      </c>
      <c r="ODA90" t="s">
        <v>430</v>
      </c>
      <c r="ODB90" t="s">
        <v>431</v>
      </c>
      <c r="ODC90" t="s">
        <v>432</v>
      </c>
      <c r="ODE90" t="s">
        <v>429</v>
      </c>
      <c r="ODF90" t="s">
        <v>143</v>
      </c>
      <c r="ODG90" t="s">
        <v>398</v>
      </c>
      <c r="ODH90">
        <v>1</v>
      </c>
      <c r="ODI90" t="s">
        <v>430</v>
      </c>
      <c r="ODJ90" t="s">
        <v>431</v>
      </c>
      <c r="ODK90" t="s">
        <v>432</v>
      </c>
      <c r="ODM90" t="s">
        <v>429</v>
      </c>
      <c r="ODN90" t="s">
        <v>143</v>
      </c>
      <c r="ODO90" t="s">
        <v>398</v>
      </c>
      <c r="ODP90">
        <v>1</v>
      </c>
      <c r="ODQ90" t="s">
        <v>430</v>
      </c>
      <c r="ODR90" t="s">
        <v>431</v>
      </c>
      <c r="ODS90" t="s">
        <v>432</v>
      </c>
      <c r="ODU90" t="s">
        <v>429</v>
      </c>
      <c r="ODV90" t="s">
        <v>143</v>
      </c>
      <c r="ODW90" t="s">
        <v>398</v>
      </c>
      <c r="ODX90">
        <v>1</v>
      </c>
      <c r="ODY90" t="s">
        <v>430</v>
      </c>
      <c r="ODZ90" t="s">
        <v>431</v>
      </c>
      <c r="OEA90" t="s">
        <v>432</v>
      </c>
      <c r="OEC90" t="s">
        <v>429</v>
      </c>
      <c r="OED90" t="s">
        <v>143</v>
      </c>
      <c r="OEE90" t="s">
        <v>398</v>
      </c>
      <c r="OEF90">
        <v>1</v>
      </c>
      <c r="OEG90" t="s">
        <v>430</v>
      </c>
      <c r="OEH90" t="s">
        <v>431</v>
      </c>
      <c r="OEI90" t="s">
        <v>432</v>
      </c>
      <c r="OEK90" t="s">
        <v>429</v>
      </c>
      <c r="OEL90" t="s">
        <v>143</v>
      </c>
      <c r="OEM90" t="s">
        <v>398</v>
      </c>
      <c r="OEN90">
        <v>1</v>
      </c>
      <c r="OEO90" t="s">
        <v>430</v>
      </c>
      <c r="OEP90" t="s">
        <v>431</v>
      </c>
      <c r="OEQ90" t="s">
        <v>432</v>
      </c>
      <c r="OES90" t="s">
        <v>429</v>
      </c>
      <c r="OET90" t="s">
        <v>143</v>
      </c>
      <c r="OEU90" t="s">
        <v>398</v>
      </c>
      <c r="OEV90">
        <v>1</v>
      </c>
      <c r="OEW90" t="s">
        <v>430</v>
      </c>
      <c r="OEX90" t="s">
        <v>431</v>
      </c>
      <c r="OEY90" t="s">
        <v>432</v>
      </c>
      <c r="OFA90" t="s">
        <v>429</v>
      </c>
      <c r="OFB90" t="s">
        <v>143</v>
      </c>
      <c r="OFC90" t="s">
        <v>398</v>
      </c>
      <c r="OFD90">
        <v>1</v>
      </c>
      <c r="OFE90" t="s">
        <v>430</v>
      </c>
      <c r="OFF90" t="s">
        <v>431</v>
      </c>
      <c r="OFG90" t="s">
        <v>432</v>
      </c>
      <c r="OFI90" t="s">
        <v>429</v>
      </c>
      <c r="OFJ90" t="s">
        <v>143</v>
      </c>
      <c r="OFK90" t="s">
        <v>398</v>
      </c>
      <c r="OFL90">
        <v>1</v>
      </c>
      <c r="OFM90" t="s">
        <v>430</v>
      </c>
      <c r="OFN90" t="s">
        <v>431</v>
      </c>
      <c r="OFO90" t="s">
        <v>432</v>
      </c>
      <c r="OFQ90" t="s">
        <v>429</v>
      </c>
      <c r="OFR90" t="s">
        <v>143</v>
      </c>
      <c r="OFS90" t="s">
        <v>398</v>
      </c>
      <c r="OFT90">
        <v>1</v>
      </c>
      <c r="OFU90" t="s">
        <v>430</v>
      </c>
      <c r="OFV90" t="s">
        <v>431</v>
      </c>
      <c r="OFW90" t="s">
        <v>432</v>
      </c>
      <c r="OFY90" t="s">
        <v>429</v>
      </c>
      <c r="OFZ90" t="s">
        <v>143</v>
      </c>
      <c r="OGA90" t="s">
        <v>398</v>
      </c>
      <c r="OGB90">
        <v>1</v>
      </c>
      <c r="OGC90" t="s">
        <v>430</v>
      </c>
      <c r="OGD90" t="s">
        <v>431</v>
      </c>
      <c r="OGE90" t="s">
        <v>432</v>
      </c>
      <c r="OGG90" t="s">
        <v>429</v>
      </c>
      <c r="OGH90" t="s">
        <v>143</v>
      </c>
      <c r="OGI90" t="s">
        <v>398</v>
      </c>
      <c r="OGJ90">
        <v>1</v>
      </c>
      <c r="OGK90" t="s">
        <v>430</v>
      </c>
      <c r="OGL90" t="s">
        <v>431</v>
      </c>
      <c r="OGM90" t="s">
        <v>432</v>
      </c>
      <c r="OGO90" t="s">
        <v>429</v>
      </c>
      <c r="OGP90" t="s">
        <v>143</v>
      </c>
      <c r="OGQ90" t="s">
        <v>398</v>
      </c>
      <c r="OGR90">
        <v>1</v>
      </c>
      <c r="OGS90" t="s">
        <v>430</v>
      </c>
      <c r="OGT90" t="s">
        <v>431</v>
      </c>
      <c r="OGU90" t="s">
        <v>432</v>
      </c>
      <c r="OGW90" t="s">
        <v>429</v>
      </c>
      <c r="OGX90" t="s">
        <v>143</v>
      </c>
      <c r="OGY90" t="s">
        <v>398</v>
      </c>
      <c r="OGZ90">
        <v>1</v>
      </c>
      <c r="OHA90" t="s">
        <v>430</v>
      </c>
      <c r="OHB90" t="s">
        <v>431</v>
      </c>
      <c r="OHC90" t="s">
        <v>432</v>
      </c>
      <c r="OHE90" t="s">
        <v>429</v>
      </c>
      <c r="OHF90" t="s">
        <v>143</v>
      </c>
      <c r="OHG90" t="s">
        <v>398</v>
      </c>
      <c r="OHH90">
        <v>1</v>
      </c>
      <c r="OHI90" t="s">
        <v>430</v>
      </c>
      <c r="OHJ90" t="s">
        <v>431</v>
      </c>
      <c r="OHK90" t="s">
        <v>432</v>
      </c>
      <c r="OHM90" t="s">
        <v>429</v>
      </c>
      <c r="OHN90" t="s">
        <v>143</v>
      </c>
      <c r="OHO90" t="s">
        <v>398</v>
      </c>
      <c r="OHP90">
        <v>1</v>
      </c>
      <c r="OHQ90" t="s">
        <v>430</v>
      </c>
      <c r="OHR90" t="s">
        <v>431</v>
      </c>
      <c r="OHS90" t="s">
        <v>432</v>
      </c>
      <c r="OHU90" t="s">
        <v>429</v>
      </c>
      <c r="OHV90" t="s">
        <v>143</v>
      </c>
      <c r="OHW90" t="s">
        <v>398</v>
      </c>
      <c r="OHX90">
        <v>1</v>
      </c>
      <c r="OHY90" t="s">
        <v>430</v>
      </c>
      <c r="OHZ90" t="s">
        <v>431</v>
      </c>
      <c r="OIA90" t="s">
        <v>432</v>
      </c>
      <c r="OIC90" t="s">
        <v>429</v>
      </c>
      <c r="OID90" t="s">
        <v>143</v>
      </c>
      <c r="OIE90" t="s">
        <v>398</v>
      </c>
      <c r="OIF90">
        <v>1</v>
      </c>
      <c r="OIG90" t="s">
        <v>430</v>
      </c>
      <c r="OIH90" t="s">
        <v>431</v>
      </c>
      <c r="OII90" t="s">
        <v>432</v>
      </c>
      <c r="OIK90" t="s">
        <v>429</v>
      </c>
      <c r="OIL90" t="s">
        <v>143</v>
      </c>
      <c r="OIM90" t="s">
        <v>398</v>
      </c>
      <c r="OIN90">
        <v>1</v>
      </c>
      <c r="OIO90" t="s">
        <v>430</v>
      </c>
      <c r="OIP90" t="s">
        <v>431</v>
      </c>
      <c r="OIQ90" t="s">
        <v>432</v>
      </c>
      <c r="OIS90" t="s">
        <v>429</v>
      </c>
      <c r="OIT90" t="s">
        <v>143</v>
      </c>
      <c r="OIU90" t="s">
        <v>398</v>
      </c>
      <c r="OIV90">
        <v>1</v>
      </c>
      <c r="OIW90" t="s">
        <v>430</v>
      </c>
      <c r="OIX90" t="s">
        <v>431</v>
      </c>
      <c r="OIY90" t="s">
        <v>432</v>
      </c>
      <c r="OJA90" t="s">
        <v>429</v>
      </c>
      <c r="OJB90" t="s">
        <v>143</v>
      </c>
      <c r="OJC90" t="s">
        <v>398</v>
      </c>
      <c r="OJD90">
        <v>1</v>
      </c>
      <c r="OJE90" t="s">
        <v>430</v>
      </c>
      <c r="OJF90" t="s">
        <v>431</v>
      </c>
      <c r="OJG90" t="s">
        <v>432</v>
      </c>
      <c r="OJI90" t="s">
        <v>429</v>
      </c>
      <c r="OJJ90" t="s">
        <v>143</v>
      </c>
      <c r="OJK90" t="s">
        <v>398</v>
      </c>
      <c r="OJL90">
        <v>1</v>
      </c>
      <c r="OJM90" t="s">
        <v>430</v>
      </c>
      <c r="OJN90" t="s">
        <v>431</v>
      </c>
      <c r="OJO90" t="s">
        <v>432</v>
      </c>
      <c r="OJQ90" t="s">
        <v>429</v>
      </c>
      <c r="OJR90" t="s">
        <v>143</v>
      </c>
      <c r="OJS90" t="s">
        <v>398</v>
      </c>
      <c r="OJT90">
        <v>1</v>
      </c>
      <c r="OJU90" t="s">
        <v>430</v>
      </c>
      <c r="OJV90" t="s">
        <v>431</v>
      </c>
      <c r="OJW90" t="s">
        <v>432</v>
      </c>
      <c r="OJY90" t="s">
        <v>429</v>
      </c>
      <c r="OJZ90" t="s">
        <v>143</v>
      </c>
      <c r="OKA90" t="s">
        <v>398</v>
      </c>
      <c r="OKB90">
        <v>1</v>
      </c>
      <c r="OKC90" t="s">
        <v>430</v>
      </c>
      <c r="OKD90" t="s">
        <v>431</v>
      </c>
      <c r="OKE90" t="s">
        <v>432</v>
      </c>
      <c r="OKG90" t="s">
        <v>429</v>
      </c>
      <c r="OKH90" t="s">
        <v>143</v>
      </c>
      <c r="OKI90" t="s">
        <v>398</v>
      </c>
      <c r="OKJ90">
        <v>1</v>
      </c>
      <c r="OKK90" t="s">
        <v>430</v>
      </c>
      <c r="OKL90" t="s">
        <v>431</v>
      </c>
      <c r="OKM90" t="s">
        <v>432</v>
      </c>
      <c r="OKO90" t="s">
        <v>429</v>
      </c>
      <c r="OKP90" t="s">
        <v>143</v>
      </c>
      <c r="OKQ90" t="s">
        <v>398</v>
      </c>
      <c r="OKR90">
        <v>1</v>
      </c>
      <c r="OKS90" t="s">
        <v>430</v>
      </c>
      <c r="OKT90" t="s">
        <v>431</v>
      </c>
      <c r="OKU90" t="s">
        <v>432</v>
      </c>
      <c r="OKW90" t="s">
        <v>429</v>
      </c>
      <c r="OKX90" t="s">
        <v>143</v>
      </c>
      <c r="OKY90" t="s">
        <v>398</v>
      </c>
      <c r="OKZ90">
        <v>1</v>
      </c>
      <c r="OLA90" t="s">
        <v>430</v>
      </c>
      <c r="OLB90" t="s">
        <v>431</v>
      </c>
      <c r="OLC90" t="s">
        <v>432</v>
      </c>
      <c r="OLE90" t="s">
        <v>429</v>
      </c>
      <c r="OLF90" t="s">
        <v>143</v>
      </c>
      <c r="OLG90" t="s">
        <v>398</v>
      </c>
      <c r="OLH90">
        <v>1</v>
      </c>
      <c r="OLI90" t="s">
        <v>430</v>
      </c>
      <c r="OLJ90" t="s">
        <v>431</v>
      </c>
      <c r="OLK90" t="s">
        <v>432</v>
      </c>
      <c r="OLM90" t="s">
        <v>429</v>
      </c>
      <c r="OLN90" t="s">
        <v>143</v>
      </c>
      <c r="OLO90" t="s">
        <v>398</v>
      </c>
      <c r="OLP90">
        <v>1</v>
      </c>
      <c r="OLQ90" t="s">
        <v>430</v>
      </c>
      <c r="OLR90" t="s">
        <v>431</v>
      </c>
      <c r="OLS90" t="s">
        <v>432</v>
      </c>
      <c r="OLU90" t="s">
        <v>429</v>
      </c>
      <c r="OLV90" t="s">
        <v>143</v>
      </c>
      <c r="OLW90" t="s">
        <v>398</v>
      </c>
      <c r="OLX90">
        <v>1</v>
      </c>
      <c r="OLY90" t="s">
        <v>430</v>
      </c>
      <c r="OLZ90" t="s">
        <v>431</v>
      </c>
      <c r="OMA90" t="s">
        <v>432</v>
      </c>
      <c r="OMC90" t="s">
        <v>429</v>
      </c>
      <c r="OMD90" t="s">
        <v>143</v>
      </c>
      <c r="OME90" t="s">
        <v>398</v>
      </c>
      <c r="OMF90">
        <v>1</v>
      </c>
      <c r="OMG90" t="s">
        <v>430</v>
      </c>
      <c r="OMH90" t="s">
        <v>431</v>
      </c>
      <c r="OMI90" t="s">
        <v>432</v>
      </c>
      <c r="OMK90" t="s">
        <v>429</v>
      </c>
      <c r="OML90" t="s">
        <v>143</v>
      </c>
      <c r="OMM90" t="s">
        <v>398</v>
      </c>
      <c r="OMN90">
        <v>1</v>
      </c>
      <c r="OMO90" t="s">
        <v>430</v>
      </c>
      <c r="OMP90" t="s">
        <v>431</v>
      </c>
      <c r="OMQ90" t="s">
        <v>432</v>
      </c>
      <c r="OMS90" t="s">
        <v>429</v>
      </c>
      <c r="OMT90" t="s">
        <v>143</v>
      </c>
      <c r="OMU90" t="s">
        <v>398</v>
      </c>
      <c r="OMV90">
        <v>1</v>
      </c>
      <c r="OMW90" t="s">
        <v>430</v>
      </c>
      <c r="OMX90" t="s">
        <v>431</v>
      </c>
      <c r="OMY90" t="s">
        <v>432</v>
      </c>
      <c r="ONA90" t="s">
        <v>429</v>
      </c>
      <c r="ONB90" t="s">
        <v>143</v>
      </c>
      <c r="ONC90" t="s">
        <v>398</v>
      </c>
      <c r="OND90">
        <v>1</v>
      </c>
      <c r="ONE90" t="s">
        <v>430</v>
      </c>
      <c r="ONF90" t="s">
        <v>431</v>
      </c>
      <c r="ONG90" t="s">
        <v>432</v>
      </c>
      <c r="ONI90" t="s">
        <v>429</v>
      </c>
      <c r="ONJ90" t="s">
        <v>143</v>
      </c>
      <c r="ONK90" t="s">
        <v>398</v>
      </c>
      <c r="ONL90">
        <v>1</v>
      </c>
      <c r="ONM90" t="s">
        <v>430</v>
      </c>
      <c r="ONN90" t="s">
        <v>431</v>
      </c>
      <c r="ONO90" t="s">
        <v>432</v>
      </c>
      <c r="ONQ90" t="s">
        <v>429</v>
      </c>
      <c r="ONR90" t="s">
        <v>143</v>
      </c>
      <c r="ONS90" t="s">
        <v>398</v>
      </c>
      <c r="ONT90">
        <v>1</v>
      </c>
      <c r="ONU90" t="s">
        <v>430</v>
      </c>
      <c r="ONV90" t="s">
        <v>431</v>
      </c>
      <c r="ONW90" t="s">
        <v>432</v>
      </c>
      <c r="ONY90" t="s">
        <v>429</v>
      </c>
      <c r="ONZ90" t="s">
        <v>143</v>
      </c>
      <c r="OOA90" t="s">
        <v>398</v>
      </c>
      <c r="OOB90">
        <v>1</v>
      </c>
      <c r="OOC90" t="s">
        <v>430</v>
      </c>
      <c r="OOD90" t="s">
        <v>431</v>
      </c>
      <c r="OOE90" t="s">
        <v>432</v>
      </c>
      <c r="OOG90" t="s">
        <v>429</v>
      </c>
      <c r="OOH90" t="s">
        <v>143</v>
      </c>
      <c r="OOI90" t="s">
        <v>398</v>
      </c>
      <c r="OOJ90">
        <v>1</v>
      </c>
      <c r="OOK90" t="s">
        <v>430</v>
      </c>
      <c r="OOL90" t="s">
        <v>431</v>
      </c>
      <c r="OOM90" t="s">
        <v>432</v>
      </c>
      <c r="OOO90" t="s">
        <v>429</v>
      </c>
      <c r="OOP90" t="s">
        <v>143</v>
      </c>
      <c r="OOQ90" t="s">
        <v>398</v>
      </c>
      <c r="OOR90">
        <v>1</v>
      </c>
      <c r="OOS90" t="s">
        <v>430</v>
      </c>
      <c r="OOT90" t="s">
        <v>431</v>
      </c>
      <c r="OOU90" t="s">
        <v>432</v>
      </c>
      <c r="OOW90" t="s">
        <v>429</v>
      </c>
      <c r="OOX90" t="s">
        <v>143</v>
      </c>
      <c r="OOY90" t="s">
        <v>398</v>
      </c>
      <c r="OOZ90">
        <v>1</v>
      </c>
      <c r="OPA90" t="s">
        <v>430</v>
      </c>
      <c r="OPB90" t="s">
        <v>431</v>
      </c>
      <c r="OPC90" t="s">
        <v>432</v>
      </c>
      <c r="OPE90" t="s">
        <v>429</v>
      </c>
      <c r="OPF90" t="s">
        <v>143</v>
      </c>
      <c r="OPG90" t="s">
        <v>398</v>
      </c>
      <c r="OPH90">
        <v>1</v>
      </c>
      <c r="OPI90" t="s">
        <v>430</v>
      </c>
      <c r="OPJ90" t="s">
        <v>431</v>
      </c>
      <c r="OPK90" t="s">
        <v>432</v>
      </c>
      <c r="OPM90" t="s">
        <v>429</v>
      </c>
      <c r="OPN90" t="s">
        <v>143</v>
      </c>
      <c r="OPO90" t="s">
        <v>398</v>
      </c>
      <c r="OPP90">
        <v>1</v>
      </c>
      <c r="OPQ90" t="s">
        <v>430</v>
      </c>
      <c r="OPR90" t="s">
        <v>431</v>
      </c>
      <c r="OPS90" t="s">
        <v>432</v>
      </c>
      <c r="OPU90" t="s">
        <v>429</v>
      </c>
      <c r="OPV90" t="s">
        <v>143</v>
      </c>
      <c r="OPW90" t="s">
        <v>398</v>
      </c>
      <c r="OPX90">
        <v>1</v>
      </c>
      <c r="OPY90" t="s">
        <v>430</v>
      </c>
      <c r="OPZ90" t="s">
        <v>431</v>
      </c>
      <c r="OQA90" t="s">
        <v>432</v>
      </c>
      <c r="OQC90" t="s">
        <v>429</v>
      </c>
      <c r="OQD90" t="s">
        <v>143</v>
      </c>
      <c r="OQE90" t="s">
        <v>398</v>
      </c>
      <c r="OQF90">
        <v>1</v>
      </c>
      <c r="OQG90" t="s">
        <v>430</v>
      </c>
      <c r="OQH90" t="s">
        <v>431</v>
      </c>
      <c r="OQI90" t="s">
        <v>432</v>
      </c>
      <c r="OQK90" t="s">
        <v>429</v>
      </c>
      <c r="OQL90" t="s">
        <v>143</v>
      </c>
      <c r="OQM90" t="s">
        <v>398</v>
      </c>
      <c r="OQN90">
        <v>1</v>
      </c>
      <c r="OQO90" t="s">
        <v>430</v>
      </c>
      <c r="OQP90" t="s">
        <v>431</v>
      </c>
      <c r="OQQ90" t="s">
        <v>432</v>
      </c>
      <c r="OQS90" t="s">
        <v>429</v>
      </c>
      <c r="OQT90" t="s">
        <v>143</v>
      </c>
      <c r="OQU90" t="s">
        <v>398</v>
      </c>
      <c r="OQV90">
        <v>1</v>
      </c>
      <c r="OQW90" t="s">
        <v>430</v>
      </c>
      <c r="OQX90" t="s">
        <v>431</v>
      </c>
      <c r="OQY90" t="s">
        <v>432</v>
      </c>
      <c r="ORA90" t="s">
        <v>429</v>
      </c>
      <c r="ORB90" t="s">
        <v>143</v>
      </c>
      <c r="ORC90" t="s">
        <v>398</v>
      </c>
      <c r="ORD90">
        <v>1</v>
      </c>
      <c r="ORE90" t="s">
        <v>430</v>
      </c>
      <c r="ORF90" t="s">
        <v>431</v>
      </c>
      <c r="ORG90" t="s">
        <v>432</v>
      </c>
      <c r="ORI90" t="s">
        <v>429</v>
      </c>
      <c r="ORJ90" t="s">
        <v>143</v>
      </c>
      <c r="ORK90" t="s">
        <v>398</v>
      </c>
      <c r="ORL90">
        <v>1</v>
      </c>
      <c r="ORM90" t="s">
        <v>430</v>
      </c>
      <c r="ORN90" t="s">
        <v>431</v>
      </c>
      <c r="ORO90" t="s">
        <v>432</v>
      </c>
      <c r="ORQ90" t="s">
        <v>429</v>
      </c>
      <c r="ORR90" t="s">
        <v>143</v>
      </c>
      <c r="ORS90" t="s">
        <v>398</v>
      </c>
      <c r="ORT90">
        <v>1</v>
      </c>
      <c r="ORU90" t="s">
        <v>430</v>
      </c>
      <c r="ORV90" t="s">
        <v>431</v>
      </c>
      <c r="ORW90" t="s">
        <v>432</v>
      </c>
      <c r="ORY90" t="s">
        <v>429</v>
      </c>
      <c r="ORZ90" t="s">
        <v>143</v>
      </c>
      <c r="OSA90" t="s">
        <v>398</v>
      </c>
      <c r="OSB90">
        <v>1</v>
      </c>
      <c r="OSC90" t="s">
        <v>430</v>
      </c>
      <c r="OSD90" t="s">
        <v>431</v>
      </c>
      <c r="OSE90" t="s">
        <v>432</v>
      </c>
      <c r="OSG90" t="s">
        <v>429</v>
      </c>
      <c r="OSH90" t="s">
        <v>143</v>
      </c>
      <c r="OSI90" t="s">
        <v>398</v>
      </c>
      <c r="OSJ90">
        <v>1</v>
      </c>
      <c r="OSK90" t="s">
        <v>430</v>
      </c>
      <c r="OSL90" t="s">
        <v>431</v>
      </c>
      <c r="OSM90" t="s">
        <v>432</v>
      </c>
      <c r="OSO90" t="s">
        <v>429</v>
      </c>
      <c r="OSP90" t="s">
        <v>143</v>
      </c>
      <c r="OSQ90" t="s">
        <v>398</v>
      </c>
      <c r="OSR90">
        <v>1</v>
      </c>
      <c r="OSS90" t="s">
        <v>430</v>
      </c>
      <c r="OST90" t="s">
        <v>431</v>
      </c>
      <c r="OSU90" t="s">
        <v>432</v>
      </c>
      <c r="OSW90" t="s">
        <v>429</v>
      </c>
      <c r="OSX90" t="s">
        <v>143</v>
      </c>
      <c r="OSY90" t="s">
        <v>398</v>
      </c>
      <c r="OSZ90">
        <v>1</v>
      </c>
      <c r="OTA90" t="s">
        <v>430</v>
      </c>
      <c r="OTB90" t="s">
        <v>431</v>
      </c>
      <c r="OTC90" t="s">
        <v>432</v>
      </c>
      <c r="OTE90" t="s">
        <v>429</v>
      </c>
      <c r="OTF90" t="s">
        <v>143</v>
      </c>
      <c r="OTG90" t="s">
        <v>398</v>
      </c>
      <c r="OTH90">
        <v>1</v>
      </c>
      <c r="OTI90" t="s">
        <v>430</v>
      </c>
      <c r="OTJ90" t="s">
        <v>431</v>
      </c>
      <c r="OTK90" t="s">
        <v>432</v>
      </c>
      <c r="OTM90" t="s">
        <v>429</v>
      </c>
      <c r="OTN90" t="s">
        <v>143</v>
      </c>
      <c r="OTO90" t="s">
        <v>398</v>
      </c>
      <c r="OTP90">
        <v>1</v>
      </c>
      <c r="OTQ90" t="s">
        <v>430</v>
      </c>
      <c r="OTR90" t="s">
        <v>431</v>
      </c>
      <c r="OTS90" t="s">
        <v>432</v>
      </c>
      <c r="OTU90" t="s">
        <v>429</v>
      </c>
      <c r="OTV90" t="s">
        <v>143</v>
      </c>
      <c r="OTW90" t="s">
        <v>398</v>
      </c>
      <c r="OTX90">
        <v>1</v>
      </c>
      <c r="OTY90" t="s">
        <v>430</v>
      </c>
      <c r="OTZ90" t="s">
        <v>431</v>
      </c>
      <c r="OUA90" t="s">
        <v>432</v>
      </c>
      <c r="OUC90" t="s">
        <v>429</v>
      </c>
      <c r="OUD90" t="s">
        <v>143</v>
      </c>
      <c r="OUE90" t="s">
        <v>398</v>
      </c>
      <c r="OUF90">
        <v>1</v>
      </c>
      <c r="OUG90" t="s">
        <v>430</v>
      </c>
      <c r="OUH90" t="s">
        <v>431</v>
      </c>
      <c r="OUI90" t="s">
        <v>432</v>
      </c>
      <c r="OUK90" t="s">
        <v>429</v>
      </c>
      <c r="OUL90" t="s">
        <v>143</v>
      </c>
      <c r="OUM90" t="s">
        <v>398</v>
      </c>
      <c r="OUN90">
        <v>1</v>
      </c>
      <c r="OUO90" t="s">
        <v>430</v>
      </c>
      <c r="OUP90" t="s">
        <v>431</v>
      </c>
      <c r="OUQ90" t="s">
        <v>432</v>
      </c>
      <c r="OUS90" t="s">
        <v>429</v>
      </c>
      <c r="OUT90" t="s">
        <v>143</v>
      </c>
      <c r="OUU90" t="s">
        <v>398</v>
      </c>
      <c r="OUV90">
        <v>1</v>
      </c>
      <c r="OUW90" t="s">
        <v>430</v>
      </c>
      <c r="OUX90" t="s">
        <v>431</v>
      </c>
      <c r="OUY90" t="s">
        <v>432</v>
      </c>
      <c r="OVA90" t="s">
        <v>429</v>
      </c>
      <c r="OVB90" t="s">
        <v>143</v>
      </c>
      <c r="OVC90" t="s">
        <v>398</v>
      </c>
      <c r="OVD90">
        <v>1</v>
      </c>
      <c r="OVE90" t="s">
        <v>430</v>
      </c>
      <c r="OVF90" t="s">
        <v>431</v>
      </c>
      <c r="OVG90" t="s">
        <v>432</v>
      </c>
      <c r="OVI90" t="s">
        <v>429</v>
      </c>
      <c r="OVJ90" t="s">
        <v>143</v>
      </c>
      <c r="OVK90" t="s">
        <v>398</v>
      </c>
      <c r="OVL90">
        <v>1</v>
      </c>
      <c r="OVM90" t="s">
        <v>430</v>
      </c>
      <c r="OVN90" t="s">
        <v>431</v>
      </c>
      <c r="OVO90" t="s">
        <v>432</v>
      </c>
      <c r="OVQ90" t="s">
        <v>429</v>
      </c>
      <c r="OVR90" t="s">
        <v>143</v>
      </c>
      <c r="OVS90" t="s">
        <v>398</v>
      </c>
      <c r="OVT90">
        <v>1</v>
      </c>
      <c r="OVU90" t="s">
        <v>430</v>
      </c>
      <c r="OVV90" t="s">
        <v>431</v>
      </c>
      <c r="OVW90" t="s">
        <v>432</v>
      </c>
      <c r="OVY90" t="s">
        <v>429</v>
      </c>
      <c r="OVZ90" t="s">
        <v>143</v>
      </c>
      <c r="OWA90" t="s">
        <v>398</v>
      </c>
      <c r="OWB90">
        <v>1</v>
      </c>
      <c r="OWC90" t="s">
        <v>430</v>
      </c>
      <c r="OWD90" t="s">
        <v>431</v>
      </c>
      <c r="OWE90" t="s">
        <v>432</v>
      </c>
      <c r="OWG90" t="s">
        <v>429</v>
      </c>
      <c r="OWH90" t="s">
        <v>143</v>
      </c>
      <c r="OWI90" t="s">
        <v>398</v>
      </c>
      <c r="OWJ90">
        <v>1</v>
      </c>
      <c r="OWK90" t="s">
        <v>430</v>
      </c>
      <c r="OWL90" t="s">
        <v>431</v>
      </c>
      <c r="OWM90" t="s">
        <v>432</v>
      </c>
      <c r="OWO90" t="s">
        <v>429</v>
      </c>
      <c r="OWP90" t="s">
        <v>143</v>
      </c>
      <c r="OWQ90" t="s">
        <v>398</v>
      </c>
      <c r="OWR90">
        <v>1</v>
      </c>
      <c r="OWS90" t="s">
        <v>430</v>
      </c>
      <c r="OWT90" t="s">
        <v>431</v>
      </c>
      <c r="OWU90" t="s">
        <v>432</v>
      </c>
      <c r="OWW90" t="s">
        <v>429</v>
      </c>
      <c r="OWX90" t="s">
        <v>143</v>
      </c>
      <c r="OWY90" t="s">
        <v>398</v>
      </c>
      <c r="OWZ90">
        <v>1</v>
      </c>
      <c r="OXA90" t="s">
        <v>430</v>
      </c>
      <c r="OXB90" t="s">
        <v>431</v>
      </c>
      <c r="OXC90" t="s">
        <v>432</v>
      </c>
      <c r="OXE90" t="s">
        <v>429</v>
      </c>
      <c r="OXF90" t="s">
        <v>143</v>
      </c>
      <c r="OXG90" t="s">
        <v>398</v>
      </c>
      <c r="OXH90">
        <v>1</v>
      </c>
      <c r="OXI90" t="s">
        <v>430</v>
      </c>
      <c r="OXJ90" t="s">
        <v>431</v>
      </c>
      <c r="OXK90" t="s">
        <v>432</v>
      </c>
      <c r="OXM90" t="s">
        <v>429</v>
      </c>
      <c r="OXN90" t="s">
        <v>143</v>
      </c>
      <c r="OXO90" t="s">
        <v>398</v>
      </c>
      <c r="OXP90">
        <v>1</v>
      </c>
      <c r="OXQ90" t="s">
        <v>430</v>
      </c>
      <c r="OXR90" t="s">
        <v>431</v>
      </c>
      <c r="OXS90" t="s">
        <v>432</v>
      </c>
      <c r="OXU90" t="s">
        <v>429</v>
      </c>
      <c r="OXV90" t="s">
        <v>143</v>
      </c>
      <c r="OXW90" t="s">
        <v>398</v>
      </c>
      <c r="OXX90">
        <v>1</v>
      </c>
      <c r="OXY90" t="s">
        <v>430</v>
      </c>
      <c r="OXZ90" t="s">
        <v>431</v>
      </c>
      <c r="OYA90" t="s">
        <v>432</v>
      </c>
      <c r="OYC90" t="s">
        <v>429</v>
      </c>
      <c r="OYD90" t="s">
        <v>143</v>
      </c>
      <c r="OYE90" t="s">
        <v>398</v>
      </c>
      <c r="OYF90">
        <v>1</v>
      </c>
      <c r="OYG90" t="s">
        <v>430</v>
      </c>
      <c r="OYH90" t="s">
        <v>431</v>
      </c>
      <c r="OYI90" t="s">
        <v>432</v>
      </c>
      <c r="OYK90" t="s">
        <v>429</v>
      </c>
      <c r="OYL90" t="s">
        <v>143</v>
      </c>
      <c r="OYM90" t="s">
        <v>398</v>
      </c>
      <c r="OYN90">
        <v>1</v>
      </c>
      <c r="OYO90" t="s">
        <v>430</v>
      </c>
      <c r="OYP90" t="s">
        <v>431</v>
      </c>
      <c r="OYQ90" t="s">
        <v>432</v>
      </c>
      <c r="OYS90" t="s">
        <v>429</v>
      </c>
      <c r="OYT90" t="s">
        <v>143</v>
      </c>
      <c r="OYU90" t="s">
        <v>398</v>
      </c>
      <c r="OYV90">
        <v>1</v>
      </c>
      <c r="OYW90" t="s">
        <v>430</v>
      </c>
      <c r="OYX90" t="s">
        <v>431</v>
      </c>
      <c r="OYY90" t="s">
        <v>432</v>
      </c>
      <c r="OZA90" t="s">
        <v>429</v>
      </c>
      <c r="OZB90" t="s">
        <v>143</v>
      </c>
      <c r="OZC90" t="s">
        <v>398</v>
      </c>
      <c r="OZD90">
        <v>1</v>
      </c>
      <c r="OZE90" t="s">
        <v>430</v>
      </c>
      <c r="OZF90" t="s">
        <v>431</v>
      </c>
      <c r="OZG90" t="s">
        <v>432</v>
      </c>
      <c r="OZI90" t="s">
        <v>429</v>
      </c>
      <c r="OZJ90" t="s">
        <v>143</v>
      </c>
      <c r="OZK90" t="s">
        <v>398</v>
      </c>
      <c r="OZL90">
        <v>1</v>
      </c>
      <c r="OZM90" t="s">
        <v>430</v>
      </c>
      <c r="OZN90" t="s">
        <v>431</v>
      </c>
      <c r="OZO90" t="s">
        <v>432</v>
      </c>
      <c r="OZQ90" t="s">
        <v>429</v>
      </c>
      <c r="OZR90" t="s">
        <v>143</v>
      </c>
      <c r="OZS90" t="s">
        <v>398</v>
      </c>
      <c r="OZT90">
        <v>1</v>
      </c>
      <c r="OZU90" t="s">
        <v>430</v>
      </c>
      <c r="OZV90" t="s">
        <v>431</v>
      </c>
      <c r="OZW90" t="s">
        <v>432</v>
      </c>
      <c r="OZY90" t="s">
        <v>429</v>
      </c>
      <c r="OZZ90" t="s">
        <v>143</v>
      </c>
      <c r="PAA90" t="s">
        <v>398</v>
      </c>
      <c r="PAB90">
        <v>1</v>
      </c>
      <c r="PAC90" t="s">
        <v>430</v>
      </c>
      <c r="PAD90" t="s">
        <v>431</v>
      </c>
      <c r="PAE90" t="s">
        <v>432</v>
      </c>
      <c r="PAG90" t="s">
        <v>429</v>
      </c>
      <c r="PAH90" t="s">
        <v>143</v>
      </c>
      <c r="PAI90" t="s">
        <v>398</v>
      </c>
      <c r="PAJ90">
        <v>1</v>
      </c>
      <c r="PAK90" t="s">
        <v>430</v>
      </c>
      <c r="PAL90" t="s">
        <v>431</v>
      </c>
      <c r="PAM90" t="s">
        <v>432</v>
      </c>
      <c r="PAO90" t="s">
        <v>429</v>
      </c>
      <c r="PAP90" t="s">
        <v>143</v>
      </c>
      <c r="PAQ90" t="s">
        <v>398</v>
      </c>
      <c r="PAR90">
        <v>1</v>
      </c>
      <c r="PAS90" t="s">
        <v>430</v>
      </c>
      <c r="PAT90" t="s">
        <v>431</v>
      </c>
      <c r="PAU90" t="s">
        <v>432</v>
      </c>
      <c r="PAW90" t="s">
        <v>429</v>
      </c>
      <c r="PAX90" t="s">
        <v>143</v>
      </c>
      <c r="PAY90" t="s">
        <v>398</v>
      </c>
      <c r="PAZ90">
        <v>1</v>
      </c>
      <c r="PBA90" t="s">
        <v>430</v>
      </c>
      <c r="PBB90" t="s">
        <v>431</v>
      </c>
      <c r="PBC90" t="s">
        <v>432</v>
      </c>
      <c r="PBE90" t="s">
        <v>429</v>
      </c>
      <c r="PBF90" t="s">
        <v>143</v>
      </c>
      <c r="PBG90" t="s">
        <v>398</v>
      </c>
      <c r="PBH90">
        <v>1</v>
      </c>
      <c r="PBI90" t="s">
        <v>430</v>
      </c>
      <c r="PBJ90" t="s">
        <v>431</v>
      </c>
      <c r="PBK90" t="s">
        <v>432</v>
      </c>
      <c r="PBM90" t="s">
        <v>429</v>
      </c>
      <c r="PBN90" t="s">
        <v>143</v>
      </c>
      <c r="PBO90" t="s">
        <v>398</v>
      </c>
      <c r="PBP90">
        <v>1</v>
      </c>
      <c r="PBQ90" t="s">
        <v>430</v>
      </c>
      <c r="PBR90" t="s">
        <v>431</v>
      </c>
      <c r="PBS90" t="s">
        <v>432</v>
      </c>
      <c r="PBU90" t="s">
        <v>429</v>
      </c>
      <c r="PBV90" t="s">
        <v>143</v>
      </c>
      <c r="PBW90" t="s">
        <v>398</v>
      </c>
      <c r="PBX90">
        <v>1</v>
      </c>
      <c r="PBY90" t="s">
        <v>430</v>
      </c>
      <c r="PBZ90" t="s">
        <v>431</v>
      </c>
      <c r="PCA90" t="s">
        <v>432</v>
      </c>
      <c r="PCC90" t="s">
        <v>429</v>
      </c>
      <c r="PCD90" t="s">
        <v>143</v>
      </c>
      <c r="PCE90" t="s">
        <v>398</v>
      </c>
      <c r="PCF90">
        <v>1</v>
      </c>
      <c r="PCG90" t="s">
        <v>430</v>
      </c>
      <c r="PCH90" t="s">
        <v>431</v>
      </c>
      <c r="PCI90" t="s">
        <v>432</v>
      </c>
      <c r="PCK90" t="s">
        <v>429</v>
      </c>
      <c r="PCL90" t="s">
        <v>143</v>
      </c>
      <c r="PCM90" t="s">
        <v>398</v>
      </c>
      <c r="PCN90">
        <v>1</v>
      </c>
      <c r="PCO90" t="s">
        <v>430</v>
      </c>
      <c r="PCP90" t="s">
        <v>431</v>
      </c>
      <c r="PCQ90" t="s">
        <v>432</v>
      </c>
      <c r="PCS90" t="s">
        <v>429</v>
      </c>
      <c r="PCT90" t="s">
        <v>143</v>
      </c>
      <c r="PCU90" t="s">
        <v>398</v>
      </c>
      <c r="PCV90">
        <v>1</v>
      </c>
      <c r="PCW90" t="s">
        <v>430</v>
      </c>
      <c r="PCX90" t="s">
        <v>431</v>
      </c>
      <c r="PCY90" t="s">
        <v>432</v>
      </c>
      <c r="PDA90" t="s">
        <v>429</v>
      </c>
      <c r="PDB90" t="s">
        <v>143</v>
      </c>
      <c r="PDC90" t="s">
        <v>398</v>
      </c>
      <c r="PDD90">
        <v>1</v>
      </c>
      <c r="PDE90" t="s">
        <v>430</v>
      </c>
      <c r="PDF90" t="s">
        <v>431</v>
      </c>
      <c r="PDG90" t="s">
        <v>432</v>
      </c>
      <c r="PDI90" t="s">
        <v>429</v>
      </c>
      <c r="PDJ90" t="s">
        <v>143</v>
      </c>
      <c r="PDK90" t="s">
        <v>398</v>
      </c>
      <c r="PDL90">
        <v>1</v>
      </c>
      <c r="PDM90" t="s">
        <v>430</v>
      </c>
      <c r="PDN90" t="s">
        <v>431</v>
      </c>
      <c r="PDO90" t="s">
        <v>432</v>
      </c>
      <c r="PDQ90" t="s">
        <v>429</v>
      </c>
      <c r="PDR90" t="s">
        <v>143</v>
      </c>
      <c r="PDS90" t="s">
        <v>398</v>
      </c>
      <c r="PDT90">
        <v>1</v>
      </c>
      <c r="PDU90" t="s">
        <v>430</v>
      </c>
      <c r="PDV90" t="s">
        <v>431</v>
      </c>
      <c r="PDW90" t="s">
        <v>432</v>
      </c>
      <c r="PDY90" t="s">
        <v>429</v>
      </c>
      <c r="PDZ90" t="s">
        <v>143</v>
      </c>
      <c r="PEA90" t="s">
        <v>398</v>
      </c>
      <c r="PEB90">
        <v>1</v>
      </c>
      <c r="PEC90" t="s">
        <v>430</v>
      </c>
      <c r="PED90" t="s">
        <v>431</v>
      </c>
      <c r="PEE90" t="s">
        <v>432</v>
      </c>
      <c r="PEG90" t="s">
        <v>429</v>
      </c>
      <c r="PEH90" t="s">
        <v>143</v>
      </c>
      <c r="PEI90" t="s">
        <v>398</v>
      </c>
      <c r="PEJ90">
        <v>1</v>
      </c>
      <c r="PEK90" t="s">
        <v>430</v>
      </c>
      <c r="PEL90" t="s">
        <v>431</v>
      </c>
      <c r="PEM90" t="s">
        <v>432</v>
      </c>
      <c r="PEO90" t="s">
        <v>429</v>
      </c>
      <c r="PEP90" t="s">
        <v>143</v>
      </c>
      <c r="PEQ90" t="s">
        <v>398</v>
      </c>
      <c r="PER90">
        <v>1</v>
      </c>
      <c r="PES90" t="s">
        <v>430</v>
      </c>
      <c r="PET90" t="s">
        <v>431</v>
      </c>
      <c r="PEU90" t="s">
        <v>432</v>
      </c>
      <c r="PEW90" t="s">
        <v>429</v>
      </c>
      <c r="PEX90" t="s">
        <v>143</v>
      </c>
      <c r="PEY90" t="s">
        <v>398</v>
      </c>
      <c r="PEZ90">
        <v>1</v>
      </c>
      <c r="PFA90" t="s">
        <v>430</v>
      </c>
      <c r="PFB90" t="s">
        <v>431</v>
      </c>
      <c r="PFC90" t="s">
        <v>432</v>
      </c>
      <c r="PFE90" t="s">
        <v>429</v>
      </c>
      <c r="PFF90" t="s">
        <v>143</v>
      </c>
      <c r="PFG90" t="s">
        <v>398</v>
      </c>
      <c r="PFH90">
        <v>1</v>
      </c>
      <c r="PFI90" t="s">
        <v>430</v>
      </c>
      <c r="PFJ90" t="s">
        <v>431</v>
      </c>
      <c r="PFK90" t="s">
        <v>432</v>
      </c>
      <c r="PFM90" t="s">
        <v>429</v>
      </c>
      <c r="PFN90" t="s">
        <v>143</v>
      </c>
      <c r="PFO90" t="s">
        <v>398</v>
      </c>
      <c r="PFP90">
        <v>1</v>
      </c>
      <c r="PFQ90" t="s">
        <v>430</v>
      </c>
      <c r="PFR90" t="s">
        <v>431</v>
      </c>
      <c r="PFS90" t="s">
        <v>432</v>
      </c>
      <c r="PFU90" t="s">
        <v>429</v>
      </c>
      <c r="PFV90" t="s">
        <v>143</v>
      </c>
      <c r="PFW90" t="s">
        <v>398</v>
      </c>
      <c r="PFX90">
        <v>1</v>
      </c>
      <c r="PFY90" t="s">
        <v>430</v>
      </c>
      <c r="PFZ90" t="s">
        <v>431</v>
      </c>
      <c r="PGA90" t="s">
        <v>432</v>
      </c>
      <c r="PGC90" t="s">
        <v>429</v>
      </c>
      <c r="PGD90" t="s">
        <v>143</v>
      </c>
      <c r="PGE90" t="s">
        <v>398</v>
      </c>
      <c r="PGF90">
        <v>1</v>
      </c>
      <c r="PGG90" t="s">
        <v>430</v>
      </c>
      <c r="PGH90" t="s">
        <v>431</v>
      </c>
      <c r="PGI90" t="s">
        <v>432</v>
      </c>
      <c r="PGK90" t="s">
        <v>429</v>
      </c>
      <c r="PGL90" t="s">
        <v>143</v>
      </c>
      <c r="PGM90" t="s">
        <v>398</v>
      </c>
      <c r="PGN90">
        <v>1</v>
      </c>
      <c r="PGO90" t="s">
        <v>430</v>
      </c>
      <c r="PGP90" t="s">
        <v>431</v>
      </c>
      <c r="PGQ90" t="s">
        <v>432</v>
      </c>
      <c r="PGS90" t="s">
        <v>429</v>
      </c>
      <c r="PGT90" t="s">
        <v>143</v>
      </c>
      <c r="PGU90" t="s">
        <v>398</v>
      </c>
      <c r="PGV90">
        <v>1</v>
      </c>
      <c r="PGW90" t="s">
        <v>430</v>
      </c>
      <c r="PGX90" t="s">
        <v>431</v>
      </c>
      <c r="PGY90" t="s">
        <v>432</v>
      </c>
      <c r="PHA90" t="s">
        <v>429</v>
      </c>
      <c r="PHB90" t="s">
        <v>143</v>
      </c>
      <c r="PHC90" t="s">
        <v>398</v>
      </c>
      <c r="PHD90">
        <v>1</v>
      </c>
      <c r="PHE90" t="s">
        <v>430</v>
      </c>
      <c r="PHF90" t="s">
        <v>431</v>
      </c>
      <c r="PHG90" t="s">
        <v>432</v>
      </c>
      <c r="PHI90" t="s">
        <v>429</v>
      </c>
      <c r="PHJ90" t="s">
        <v>143</v>
      </c>
      <c r="PHK90" t="s">
        <v>398</v>
      </c>
      <c r="PHL90">
        <v>1</v>
      </c>
      <c r="PHM90" t="s">
        <v>430</v>
      </c>
      <c r="PHN90" t="s">
        <v>431</v>
      </c>
      <c r="PHO90" t="s">
        <v>432</v>
      </c>
      <c r="PHQ90" t="s">
        <v>429</v>
      </c>
      <c r="PHR90" t="s">
        <v>143</v>
      </c>
      <c r="PHS90" t="s">
        <v>398</v>
      </c>
      <c r="PHT90">
        <v>1</v>
      </c>
      <c r="PHU90" t="s">
        <v>430</v>
      </c>
      <c r="PHV90" t="s">
        <v>431</v>
      </c>
      <c r="PHW90" t="s">
        <v>432</v>
      </c>
      <c r="PHY90" t="s">
        <v>429</v>
      </c>
      <c r="PHZ90" t="s">
        <v>143</v>
      </c>
      <c r="PIA90" t="s">
        <v>398</v>
      </c>
      <c r="PIB90">
        <v>1</v>
      </c>
      <c r="PIC90" t="s">
        <v>430</v>
      </c>
      <c r="PID90" t="s">
        <v>431</v>
      </c>
      <c r="PIE90" t="s">
        <v>432</v>
      </c>
      <c r="PIG90" t="s">
        <v>429</v>
      </c>
      <c r="PIH90" t="s">
        <v>143</v>
      </c>
      <c r="PII90" t="s">
        <v>398</v>
      </c>
      <c r="PIJ90">
        <v>1</v>
      </c>
      <c r="PIK90" t="s">
        <v>430</v>
      </c>
      <c r="PIL90" t="s">
        <v>431</v>
      </c>
      <c r="PIM90" t="s">
        <v>432</v>
      </c>
      <c r="PIO90" t="s">
        <v>429</v>
      </c>
      <c r="PIP90" t="s">
        <v>143</v>
      </c>
      <c r="PIQ90" t="s">
        <v>398</v>
      </c>
      <c r="PIR90">
        <v>1</v>
      </c>
      <c r="PIS90" t="s">
        <v>430</v>
      </c>
      <c r="PIT90" t="s">
        <v>431</v>
      </c>
      <c r="PIU90" t="s">
        <v>432</v>
      </c>
      <c r="PIW90" t="s">
        <v>429</v>
      </c>
      <c r="PIX90" t="s">
        <v>143</v>
      </c>
      <c r="PIY90" t="s">
        <v>398</v>
      </c>
      <c r="PIZ90">
        <v>1</v>
      </c>
      <c r="PJA90" t="s">
        <v>430</v>
      </c>
      <c r="PJB90" t="s">
        <v>431</v>
      </c>
      <c r="PJC90" t="s">
        <v>432</v>
      </c>
      <c r="PJE90" t="s">
        <v>429</v>
      </c>
      <c r="PJF90" t="s">
        <v>143</v>
      </c>
      <c r="PJG90" t="s">
        <v>398</v>
      </c>
      <c r="PJH90">
        <v>1</v>
      </c>
      <c r="PJI90" t="s">
        <v>430</v>
      </c>
      <c r="PJJ90" t="s">
        <v>431</v>
      </c>
      <c r="PJK90" t="s">
        <v>432</v>
      </c>
      <c r="PJM90" t="s">
        <v>429</v>
      </c>
      <c r="PJN90" t="s">
        <v>143</v>
      </c>
      <c r="PJO90" t="s">
        <v>398</v>
      </c>
      <c r="PJP90">
        <v>1</v>
      </c>
      <c r="PJQ90" t="s">
        <v>430</v>
      </c>
      <c r="PJR90" t="s">
        <v>431</v>
      </c>
      <c r="PJS90" t="s">
        <v>432</v>
      </c>
      <c r="PJU90" t="s">
        <v>429</v>
      </c>
      <c r="PJV90" t="s">
        <v>143</v>
      </c>
      <c r="PJW90" t="s">
        <v>398</v>
      </c>
      <c r="PJX90">
        <v>1</v>
      </c>
      <c r="PJY90" t="s">
        <v>430</v>
      </c>
      <c r="PJZ90" t="s">
        <v>431</v>
      </c>
      <c r="PKA90" t="s">
        <v>432</v>
      </c>
      <c r="PKC90" t="s">
        <v>429</v>
      </c>
      <c r="PKD90" t="s">
        <v>143</v>
      </c>
      <c r="PKE90" t="s">
        <v>398</v>
      </c>
      <c r="PKF90">
        <v>1</v>
      </c>
      <c r="PKG90" t="s">
        <v>430</v>
      </c>
      <c r="PKH90" t="s">
        <v>431</v>
      </c>
      <c r="PKI90" t="s">
        <v>432</v>
      </c>
      <c r="PKK90" t="s">
        <v>429</v>
      </c>
      <c r="PKL90" t="s">
        <v>143</v>
      </c>
      <c r="PKM90" t="s">
        <v>398</v>
      </c>
      <c r="PKN90">
        <v>1</v>
      </c>
      <c r="PKO90" t="s">
        <v>430</v>
      </c>
      <c r="PKP90" t="s">
        <v>431</v>
      </c>
      <c r="PKQ90" t="s">
        <v>432</v>
      </c>
      <c r="PKS90" t="s">
        <v>429</v>
      </c>
      <c r="PKT90" t="s">
        <v>143</v>
      </c>
      <c r="PKU90" t="s">
        <v>398</v>
      </c>
      <c r="PKV90">
        <v>1</v>
      </c>
      <c r="PKW90" t="s">
        <v>430</v>
      </c>
      <c r="PKX90" t="s">
        <v>431</v>
      </c>
      <c r="PKY90" t="s">
        <v>432</v>
      </c>
      <c r="PLA90" t="s">
        <v>429</v>
      </c>
      <c r="PLB90" t="s">
        <v>143</v>
      </c>
      <c r="PLC90" t="s">
        <v>398</v>
      </c>
      <c r="PLD90">
        <v>1</v>
      </c>
      <c r="PLE90" t="s">
        <v>430</v>
      </c>
      <c r="PLF90" t="s">
        <v>431</v>
      </c>
      <c r="PLG90" t="s">
        <v>432</v>
      </c>
      <c r="PLI90" t="s">
        <v>429</v>
      </c>
      <c r="PLJ90" t="s">
        <v>143</v>
      </c>
      <c r="PLK90" t="s">
        <v>398</v>
      </c>
      <c r="PLL90">
        <v>1</v>
      </c>
      <c r="PLM90" t="s">
        <v>430</v>
      </c>
      <c r="PLN90" t="s">
        <v>431</v>
      </c>
      <c r="PLO90" t="s">
        <v>432</v>
      </c>
      <c r="PLQ90" t="s">
        <v>429</v>
      </c>
      <c r="PLR90" t="s">
        <v>143</v>
      </c>
      <c r="PLS90" t="s">
        <v>398</v>
      </c>
      <c r="PLT90">
        <v>1</v>
      </c>
      <c r="PLU90" t="s">
        <v>430</v>
      </c>
      <c r="PLV90" t="s">
        <v>431</v>
      </c>
      <c r="PLW90" t="s">
        <v>432</v>
      </c>
      <c r="PLY90" t="s">
        <v>429</v>
      </c>
      <c r="PLZ90" t="s">
        <v>143</v>
      </c>
      <c r="PMA90" t="s">
        <v>398</v>
      </c>
      <c r="PMB90">
        <v>1</v>
      </c>
      <c r="PMC90" t="s">
        <v>430</v>
      </c>
      <c r="PMD90" t="s">
        <v>431</v>
      </c>
      <c r="PME90" t="s">
        <v>432</v>
      </c>
      <c r="PMG90" t="s">
        <v>429</v>
      </c>
      <c r="PMH90" t="s">
        <v>143</v>
      </c>
      <c r="PMI90" t="s">
        <v>398</v>
      </c>
      <c r="PMJ90">
        <v>1</v>
      </c>
      <c r="PMK90" t="s">
        <v>430</v>
      </c>
      <c r="PML90" t="s">
        <v>431</v>
      </c>
      <c r="PMM90" t="s">
        <v>432</v>
      </c>
      <c r="PMO90" t="s">
        <v>429</v>
      </c>
      <c r="PMP90" t="s">
        <v>143</v>
      </c>
      <c r="PMQ90" t="s">
        <v>398</v>
      </c>
      <c r="PMR90">
        <v>1</v>
      </c>
      <c r="PMS90" t="s">
        <v>430</v>
      </c>
      <c r="PMT90" t="s">
        <v>431</v>
      </c>
      <c r="PMU90" t="s">
        <v>432</v>
      </c>
      <c r="PMW90" t="s">
        <v>429</v>
      </c>
      <c r="PMX90" t="s">
        <v>143</v>
      </c>
      <c r="PMY90" t="s">
        <v>398</v>
      </c>
      <c r="PMZ90">
        <v>1</v>
      </c>
      <c r="PNA90" t="s">
        <v>430</v>
      </c>
      <c r="PNB90" t="s">
        <v>431</v>
      </c>
      <c r="PNC90" t="s">
        <v>432</v>
      </c>
      <c r="PNE90" t="s">
        <v>429</v>
      </c>
      <c r="PNF90" t="s">
        <v>143</v>
      </c>
      <c r="PNG90" t="s">
        <v>398</v>
      </c>
      <c r="PNH90">
        <v>1</v>
      </c>
      <c r="PNI90" t="s">
        <v>430</v>
      </c>
      <c r="PNJ90" t="s">
        <v>431</v>
      </c>
      <c r="PNK90" t="s">
        <v>432</v>
      </c>
      <c r="PNM90" t="s">
        <v>429</v>
      </c>
      <c r="PNN90" t="s">
        <v>143</v>
      </c>
      <c r="PNO90" t="s">
        <v>398</v>
      </c>
      <c r="PNP90">
        <v>1</v>
      </c>
      <c r="PNQ90" t="s">
        <v>430</v>
      </c>
      <c r="PNR90" t="s">
        <v>431</v>
      </c>
      <c r="PNS90" t="s">
        <v>432</v>
      </c>
      <c r="PNU90" t="s">
        <v>429</v>
      </c>
      <c r="PNV90" t="s">
        <v>143</v>
      </c>
      <c r="PNW90" t="s">
        <v>398</v>
      </c>
      <c r="PNX90">
        <v>1</v>
      </c>
      <c r="PNY90" t="s">
        <v>430</v>
      </c>
      <c r="PNZ90" t="s">
        <v>431</v>
      </c>
      <c r="POA90" t="s">
        <v>432</v>
      </c>
      <c r="POC90" t="s">
        <v>429</v>
      </c>
      <c r="POD90" t="s">
        <v>143</v>
      </c>
      <c r="POE90" t="s">
        <v>398</v>
      </c>
      <c r="POF90">
        <v>1</v>
      </c>
      <c r="POG90" t="s">
        <v>430</v>
      </c>
      <c r="POH90" t="s">
        <v>431</v>
      </c>
      <c r="POI90" t="s">
        <v>432</v>
      </c>
      <c r="POK90" t="s">
        <v>429</v>
      </c>
      <c r="POL90" t="s">
        <v>143</v>
      </c>
      <c r="POM90" t="s">
        <v>398</v>
      </c>
      <c r="PON90">
        <v>1</v>
      </c>
      <c r="POO90" t="s">
        <v>430</v>
      </c>
      <c r="POP90" t="s">
        <v>431</v>
      </c>
      <c r="POQ90" t="s">
        <v>432</v>
      </c>
      <c r="POS90" t="s">
        <v>429</v>
      </c>
      <c r="POT90" t="s">
        <v>143</v>
      </c>
      <c r="POU90" t="s">
        <v>398</v>
      </c>
      <c r="POV90">
        <v>1</v>
      </c>
      <c r="POW90" t="s">
        <v>430</v>
      </c>
      <c r="POX90" t="s">
        <v>431</v>
      </c>
      <c r="POY90" t="s">
        <v>432</v>
      </c>
      <c r="PPA90" t="s">
        <v>429</v>
      </c>
      <c r="PPB90" t="s">
        <v>143</v>
      </c>
      <c r="PPC90" t="s">
        <v>398</v>
      </c>
      <c r="PPD90">
        <v>1</v>
      </c>
      <c r="PPE90" t="s">
        <v>430</v>
      </c>
      <c r="PPF90" t="s">
        <v>431</v>
      </c>
      <c r="PPG90" t="s">
        <v>432</v>
      </c>
      <c r="PPI90" t="s">
        <v>429</v>
      </c>
      <c r="PPJ90" t="s">
        <v>143</v>
      </c>
      <c r="PPK90" t="s">
        <v>398</v>
      </c>
      <c r="PPL90">
        <v>1</v>
      </c>
      <c r="PPM90" t="s">
        <v>430</v>
      </c>
      <c r="PPN90" t="s">
        <v>431</v>
      </c>
      <c r="PPO90" t="s">
        <v>432</v>
      </c>
      <c r="PPQ90" t="s">
        <v>429</v>
      </c>
      <c r="PPR90" t="s">
        <v>143</v>
      </c>
      <c r="PPS90" t="s">
        <v>398</v>
      </c>
      <c r="PPT90">
        <v>1</v>
      </c>
      <c r="PPU90" t="s">
        <v>430</v>
      </c>
      <c r="PPV90" t="s">
        <v>431</v>
      </c>
      <c r="PPW90" t="s">
        <v>432</v>
      </c>
      <c r="PPY90" t="s">
        <v>429</v>
      </c>
      <c r="PPZ90" t="s">
        <v>143</v>
      </c>
      <c r="PQA90" t="s">
        <v>398</v>
      </c>
      <c r="PQB90">
        <v>1</v>
      </c>
      <c r="PQC90" t="s">
        <v>430</v>
      </c>
      <c r="PQD90" t="s">
        <v>431</v>
      </c>
      <c r="PQE90" t="s">
        <v>432</v>
      </c>
      <c r="PQG90" t="s">
        <v>429</v>
      </c>
      <c r="PQH90" t="s">
        <v>143</v>
      </c>
      <c r="PQI90" t="s">
        <v>398</v>
      </c>
      <c r="PQJ90">
        <v>1</v>
      </c>
      <c r="PQK90" t="s">
        <v>430</v>
      </c>
      <c r="PQL90" t="s">
        <v>431</v>
      </c>
      <c r="PQM90" t="s">
        <v>432</v>
      </c>
      <c r="PQO90" t="s">
        <v>429</v>
      </c>
      <c r="PQP90" t="s">
        <v>143</v>
      </c>
      <c r="PQQ90" t="s">
        <v>398</v>
      </c>
      <c r="PQR90">
        <v>1</v>
      </c>
      <c r="PQS90" t="s">
        <v>430</v>
      </c>
      <c r="PQT90" t="s">
        <v>431</v>
      </c>
      <c r="PQU90" t="s">
        <v>432</v>
      </c>
      <c r="PQW90" t="s">
        <v>429</v>
      </c>
      <c r="PQX90" t="s">
        <v>143</v>
      </c>
      <c r="PQY90" t="s">
        <v>398</v>
      </c>
      <c r="PQZ90">
        <v>1</v>
      </c>
      <c r="PRA90" t="s">
        <v>430</v>
      </c>
      <c r="PRB90" t="s">
        <v>431</v>
      </c>
      <c r="PRC90" t="s">
        <v>432</v>
      </c>
      <c r="PRE90" t="s">
        <v>429</v>
      </c>
      <c r="PRF90" t="s">
        <v>143</v>
      </c>
      <c r="PRG90" t="s">
        <v>398</v>
      </c>
      <c r="PRH90">
        <v>1</v>
      </c>
      <c r="PRI90" t="s">
        <v>430</v>
      </c>
      <c r="PRJ90" t="s">
        <v>431</v>
      </c>
      <c r="PRK90" t="s">
        <v>432</v>
      </c>
      <c r="PRM90" t="s">
        <v>429</v>
      </c>
      <c r="PRN90" t="s">
        <v>143</v>
      </c>
      <c r="PRO90" t="s">
        <v>398</v>
      </c>
      <c r="PRP90">
        <v>1</v>
      </c>
      <c r="PRQ90" t="s">
        <v>430</v>
      </c>
      <c r="PRR90" t="s">
        <v>431</v>
      </c>
      <c r="PRS90" t="s">
        <v>432</v>
      </c>
      <c r="PRU90" t="s">
        <v>429</v>
      </c>
      <c r="PRV90" t="s">
        <v>143</v>
      </c>
      <c r="PRW90" t="s">
        <v>398</v>
      </c>
      <c r="PRX90">
        <v>1</v>
      </c>
      <c r="PRY90" t="s">
        <v>430</v>
      </c>
      <c r="PRZ90" t="s">
        <v>431</v>
      </c>
      <c r="PSA90" t="s">
        <v>432</v>
      </c>
      <c r="PSC90" t="s">
        <v>429</v>
      </c>
      <c r="PSD90" t="s">
        <v>143</v>
      </c>
      <c r="PSE90" t="s">
        <v>398</v>
      </c>
      <c r="PSF90">
        <v>1</v>
      </c>
      <c r="PSG90" t="s">
        <v>430</v>
      </c>
      <c r="PSH90" t="s">
        <v>431</v>
      </c>
      <c r="PSI90" t="s">
        <v>432</v>
      </c>
      <c r="PSK90" t="s">
        <v>429</v>
      </c>
      <c r="PSL90" t="s">
        <v>143</v>
      </c>
      <c r="PSM90" t="s">
        <v>398</v>
      </c>
      <c r="PSN90">
        <v>1</v>
      </c>
      <c r="PSO90" t="s">
        <v>430</v>
      </c>
      <c r="PSP90" t="s">
        <v>431</v>
      </c>
      <c r="PSQ90" t="s">
        <v>432</v>
      </c>
      <c r="PSS90" t="s">
        <v>429</v>
      </c>
      <c r="PST90" t="s">
        <v>143</v>
      </c>
      <c r="PSU90" t="s">
        <v>398</v>
      </c>
      <c r="PSV90">
        <v>1</v>
      </c>
      <c r="PSW90" t="s">
        <v>430</v>
      </c>
      <c r="PSX90" t="s">
        <v>431</v>
      </c>
      <c r="PSY90" t="s">
        <v>432</v>
      </c>
      <c r="PTA90" t="s">
        <v>429</v>
      </c>
      <c r="PTB90" t="s">
        <v>143</v>
      </c>
      <c r="PTC90" t="s">
        <v>398</v>
      </c>
      <c r="PTD90">
        <v>1</v>
      </c>
      <c r="PTE90" t="s">
        <v>430</v>
      </c>
      <c r="PTF90" t="s">
        <v>431</v>
      </c>
      <c r="PTG90" t="s">
        <v>432</v>
      </c>
      <c r="PTI90" t="s">
        <v>429</v>
      </c>
      <c r="PTJ90" t="s">
        <v>143</v>
      </c>
      <c r="PTK90" t="s">
        <v>398</v>
      </c>
      <c r="PTL90">
        <v>1</v>
      </c>
      <c r="PTM90" t="s">
        <v>430</v>
      </c>
      <c r="PTN90" t="s">
        <v>431</v>
      </c>
      <c r="PTO90" t="s">
        <v>432</v>
      </c>
      <c r="PTQ90" t="s">
        <v>429</v>
      </c>
      <c r="PTR90" t="s">
        <v>143</v>
      </c>
      <c r="PTS90" t="s">
        <v>398</v>
      </c>
      <c r="PTT90">
        <v>1</v>
      </c>
      <c r="PTU90" t="s">
        <v>430</v>
      </c>
      <c r="PTV90" t="s">
        <v>431</v>
      </c>
      <c r="PTW90" t="s">
        <v>432</v>
      </c>
      <c r="PTY90" t="s">
        <v>429</v>
      </c>
      <c r="PTZ90" t="s">
        <v>143</v>
      </c>
      <c r="PUA90" t="s">
        <v>398</v>
      </c>
      <c r="PUB90">
        <v>1</v>
      </c>
      <c r="PUC90" t="s">
        <v>430</v>
      </c>
      <c r="PUD90" t="s">
        <v>431</v>
      </c>
      <c r="PUE90" t="s">
        <v>432</v>
      </c>
      <c r="PUG90" t="s">
        <v>429</v>
      </c>
      <c r="PUH90" t="s">
        <v>143</v>
      </c>
      <c r="PUI90" t="s">
        <v>398</v>
      </c>
      <c r="PUJ90">
        <v>1</v>
      </c>
      <c r="PUK90" t="s">
        <v>430</v>
      </c>
      <c r="PUL90" t="s">
        <v>431</v>
      </c>
      <c r="PUM90" t="s">
        <v>432</v>
      </c>
      <c r="PUO90" t="s">
        <v>429</v>
      </c>
      <c r="PUP90" t="s">
        <v>143</v>
      </c>
      <c r="PUQ90" t="s">
        <v>398</v>
      </c>
      <c r="PUR90">
        <v>1</v>
      </c>
      <c r="PUS90" t="s">
        <v>430</v>
      </c>
      <c r="PUT90" t="s">
        <v>431</v>
      </c>
      <c r="PUU90" t="s">
        <v>432</v>
      </c>
      <c r="PUW90" t="s">
        <v>429</v>
      </c>
      <c r="PUX90" t="s">
        <v>143</v>
      </c>
      <c r="PUY90" t="s">
        <v>398</v>
      </c>
      <c r="PUZ90">
        <v>1</v>
      </c>
      <c r="PVA90" t="s">
        <v>430</v>
      </c>
      <c r="PVB90" t="s">
        <v>431</v>
      </c>
      <c r="PVC90" t="s">
        <v>432</v>
      </c>
      <c r="PVE90" t="s">
        <v>429</v>
      </c>
      <c r="PVF90" t="s">
        <v>143</v>
      </c>
      <c r="PVG90" t="s">
        <v>398</v>
      </c>
      <c r="PVH90">
        <v>1</v>
      </c>
      <c r="PVI90" t="s">
        <v>430</v>
      </c>
      <c r="PVJ90" t="s">
        <v>431</v>
      </c>
      <c r="PVK90" t="s">
        <v>432</v>
      </c>
      <c r="PVM90" t="s">
        <v>429</v>
      </c>
      <c r="PVN90" t="s">
        <v>143</v>
      </c>
      <c r="PVO90" t="s">
        <v>398</v>
      </c>
      <c r="PVP90">
        <v>1</v>
      </c>
      <c r="PVQ90" t="s">
        <v>430</v>
      </c>
      <c r="PVR90" t="s">
        <v>431</v>
      </c>
      <c r="PVS90" t="s">
        <v>432</v>
      </c>
      <c r="PVU90" t="s">
        <v>429</v>
      </c>
      <c r="PVV90" t="s">
        <v>143</v>
      </c>
      <c r="PVW90" t="s">
        <v>398</v>
      </c>
      <c r="PVX90">
        <v>1</v>
      </c>
      <c r="PVY90" t="s">
        <v>430</v>
      </c>
      <c r="PVZ90" t="s">
        <v>431</v>
      </c>
      <c r="PWA90" t="s">
        <v>432</v>
      </c>
      <c r="PWC90" t="s">
        <v>429</v>
      </c>
      <c r="PWD90" t="s">
        <v>143</v>
      </c>
      <c r="PWE90" t="s">
        <v>398</v>
      </c>
      <c r="PWF90">
        <v>1</v>
      </c>
      <c r="PWG90" t="s">
        <v>430</v>
      </c>
      <c r="PWH90" t="s">
        <v>431</v>
      </c>
      <c r="PWI90" t="s">
        <v>432</v>
      </c>
      <c r="PWK90" t="s">
        <v>429</v>
      </c>
      <c r="PWL90" t="s">
        <v>143</v>
      </c>
      <c r="PWM90" t="s">
        <v>398</v>
      </c>
      <c r="PWN90">
        <v>1</v>
      </c>
      <c r="PWO90" t="s">
        <v>430</v>
      </c>
      <c r="PWP90" t="s">
        <v>431</v>
      </c>
      <c r="PWQ90" t="s">
        <v>432</v>
      </c>
      <c r="PWS90" t="s">
        <v>429</v>
      </c>
      <c r="PWT90" t="s">
        <v>143</v>
      </c>
      <c r="PWU90" t="s">
        <v>398</v>
      </c>
      <c r="PWV90">
        <v>1</v>
      </c>
      <c r="PWW90" t="s">
        <v>430</v>
      </c>
      <c r="PWX90" t="s">
        <v>431</v>
      </c>
      <c r="PWY90" t="s">
        <v>432</v>
      </c>
      <c r="PXA90" t="s">
        <v>429</v>
      </c>
      <c r="PXB90" t="s">
        <v>143</v>
      </c>
      <c r="PXC90" t="s">
        <v>398</v>
      </c>
      <c r="PXD90">
        <v>1</v>
      </c>
      <c r="PXE90" t="s">
        <v>430</v>
      </c>
      <c r="PXF90" t="s">
        <v>431</v>
      </c>
      <c r="PXG90" t="s">
        <v>432</v>
      </c>
      <c r="PXI90" t="s">
        <v>429</v>
      </c>
      <c r="PXJ90" t="s">
        <v>143</v>
      </c>
      <c r="PXK90" t="s">
        <v>398</v>
      </c>
      <c r="PXL90">
        <v>1</v>
      </c>
      <c r="PXM90" t="s">
        <v>430</v>
      </c>
      <c r="PXN90" t="s">
        <v>431</v>
      </c>
      <c r="PXO90" t="s">
        <v>432</v>
      </c>
      <c r="PXQ90" t="s">
        <v>429</v>
      </c>
      <c r="PXR90" t="s">
        <v>143</v>
      </c>
      <c r="PXS90" t="s">
        <v>398</v>
      </c>
      <c r="PXT90">
        <v>1</v>
      </c>
      <c r="PXU90" t="s">
        <v>430</v>
      </c>
      <c r="PXV90" t="s">
        <v>431</v>
      </c>
      <c r="PXW90" t="s">
        <v>432</v>
      </c>
      <c r="PXY90" t="s">
        <v>429</v>
      </c>
      <c r="PXZ90" t="s">
        <v>143</v>
      </c>
      <c r="PYA90" t="s">
        <v>398</v>
      </c>
      <c r="PYB90">
        <v>1</v>
      </c>
      <c r="PYC90" t="s">
        <v>430</v>
      </c>
      <c r="PYD90" t="s">
        <v>431</v>
      </c>
      <c r="PYE90" t="s">
        <v>432</v>
      </c>
      <c r="PYG90" t="s">
        <v>429</v>
      </c>
      <c r="PYH90" t="s">
        <v>143</v>
      </c>
      <c r="PYI90" t="s">
        <v>398</v>
      </c>
      <c r="PYJ90">
        <v>1</v>
      </c>
      <c r="PYK90" t="s">
        <v>430</v>
      </c>
      <c r="PYL90" t="s">
        <v>431</v>
      </c>
      <c r="PYM90" t="s">
        <v>432</v>
      </c>
      <c r="PYO90" t="s">
        <v>429</v>
      </c>
      <c r="PYP90" t="s">
        <v>143</v>
      </c>
      <c r="PYQ90" t="s">
        <v>398</v>
      </c>
      <c r="PYR90">
        <v>1</v>
      </c>
      <c r="PYS90" t="s">
        <v>430</v>
      </c>
      <c r="PYT90" t="s">
        <v>431</v>
      </c>
      <c r="PYU90" t="s">
        <v>432</v>
      </c>
      <c r="PYW90" t="s">
        <v>429</v>
      </c>
      <c r="PYX90" t="s">
        <v>143</v>
      </c>
      <c r="PYY90" t="s">
        <v>398</v>
      </c>
      <c r="PYZ90">
        <v>1</v>
      </c>
      <c r="PZA90" t="s">
        <v>430</v>
      </c>
      <c r="PZB90" t="s">
        <v>431</v>
      </c>
      <c r="PZC90" t="s">
        <v>432</v>
      </c>
      <c r="PZE90" t="s">
        <v>429</v>
      </c>
      <c r="PZF90" t="s">
        <v>143</v>
      </c>
      <c r="PZG90" t="s">
        <v>398</v>
      </c>
      <c r="PZH90">
        <v>1</v>
      </c>
      <c r="PZI90" t="s">
        <v>430</v>
      </c>
      <c r="PZJ90" t="s">
        <v>431</v>
      </c>
      <c r="PZK90" t="s">
        <v>432</v>
      </c>
      <c r="PZM90" t="s">
        <v>429</v>
      </c>
      <c r="PZN90" t="s">
        <v>143</v>
      </c>
      <c r="PZO90" t="s">
        <v>398</v>
      </c>
      <c r="PZP90">
        <v>1</v>
      </c>
      <c r="PZQ90" t="s">
        <v>430</v>
      </c>
      <c r="PZR90" t="s">
        <v>431</v>
      </c>
      <c r="PZS90" t="s">
        <v>432</v>
      </c>
      <c r="PZU90" t="s">
        <v>429</v>
      </c>
      <c r="PZV90" t="s">
        <v>143</v>
      </c>
      <c r="PZW90" t="s">
        <v>398</v>
      </c>
      <c r="PZX90">
        <v>1</v>
      </c>
      <c r="PZY90" t="s">
        <v>430</v>
      </c>
      <c r="PZZ90" t="s">
        <v>431</v>
      </c>
      <c r="QAA90" t="s">
        <v>432</v>
      </c>
      <c r="QAC90" t="s">
        <v>429</v>
      </c>
      <c r="QAD90" t="s">
        <v>143</v>
      </c>
      <c r="QAE90" t="s">
        <v>398</v>
      </c>
      <c r="QAF90">
        <v>1</v>
      </c>
      <c r="QAG90" t="s">
        <v>430</v>
      </c>
      <c r="QAH90" t="s">
        <v>431</v>
      </c>
      <c r="QAI90" t="s">
        <v>432</v>
      </c>
      <c r="QAK90" t="s">
        <v>429</v>
      </c>
      <c r="QAL90" t="s">
        <v>143</v>
      </c>
      <c r="QAM90" t="s">
        <v>398</v>
      </c>
      <c r="QAN90">
        <v>1</v>
      </c>
      <c r="QAO90" t="s">
        <v>430</v>
      </c>
      <c r="QAP90" t="s">
        <v>431</v>
      </c>
      <c r="QAQ90" t="s">
        <v>432</v>
      </c>
      <c r="QAS90" t="s">
        <v>429</v>
      </c>
      <c r="QAT90" t="s">
        <v>143</v>
      </c>
      <c r="QAU90" t="s">
        <v>398</v>
      </c>
      <c r="QAV90">
        <v>1</v>
      </c>
      <c r="QAW90" t="s">
        <v>430</v>
      </c>
      <c r="QAX90" t="s">
        <v>431</v>
      </c>
      <c r="QAY90" t="s">
        <v>432</v>
      </c>
      <c r="QBA90" t="s">
        <v>429</v>
      </c>
      <c r="QBB90" t="s">
        <v>143</v>
      </c>
      <c r="QBC90" t="s">
        <v>398</v>
      </c>
      <c r="QBD90">
        <v>1</v>
      </c>
      <c r="QBE90" t="s">
        <v>430</v>
      </c>
      <c r="QBF90" t="s">
        <v>431</v>
      </c>
      <c r="QBG90" t="s">
        <v>432</v>
      </c>
      <c r="QBI90" t="s">
        <v>429</v>
      </c>
      <c r="QBJ90" t="s">
        <v>143</v>
      </c>
      <c r="QBK90" t="s">
        <v>398</v>
      </c>
      <c r="QBL90">
        <v>1</v>
      </c>
      <c r="QBM90" t="s">
        <v>430</v>
      </c>
      <c r="QBN90" t="s">
        <v>431</v>
      </c>
      <c r="QBO90" t="s">
        <v>432</v>
      </c>
      <c r="QBQ90" t="s">
        <v>429</v>
      </c>
      <c r="QBR90" t="s">
        <v>143</v>
      </c>
      <c r="QBS90" t="s">
        <v>398</v>
      </c>
      <c r="QBT90">
        <v>1</v>
      </c>
      <c r="QBU90" t="s">
        <v>430</v>
      </c>
      <c r="QBV90" t="s">
        <v>431</v>
      </c>
      <c r="QBW90" t="s">
        <v>432</v>
      </c>
      <c r="QBY90" t="s">
        <v>429</v>
      </c>
      <c r="QBZ90" t="s">
        <v>143</v>
      </c>
      <c r="QCA90" t="s">
        <v>398</v>
      </c>
      <c r="QCB90">
        <v>1</v>
      </c>
      <c r="QCC90" t="s">
        <v>430</v>
      </c>
      <c r="QCD90" t="s">
        <v>431</v>
      </c>
      <c r="QCE90" t="s">
        <v>432</v>
      </c>
      <c r="QCG90" t="s">
        <v>429</v>
      </c>
      <c r="QCH90" t="s">
        <v>143</v>
      </c>
      <c r="QCI90" t="s">
        <v>398</v>
      </c>
      <c r="QCJ90">
        <v>1</v>
      </c>
      <c r="QCK90" t="s">
        <v>430</v>
      </c>
      <c r="QCL90" t="s">
        <v>431</v>
      </c>
      <c r="QCM90" t="s">
        <v>432</v>
      </c>
      <c r="QCO90" t="s">
        <v>429</v>
      </c>
      <c r="QCP90" t="s">
        <v>143</v>
      </c>
      <c r="QCQ90" t="s">
        <v>398</v>
      </c>
      <c r="QCR90">
        <v>1</v>
      </c>
      <c r="QCS90" t="s">
        <v>430</v>
      </c>
      <c r="QCT90" t="s">
        <v>431</v>
      </c>
      <c r="QCU90" t="s">
        <v>432</v>
      </c>
      <c r="QCW90" t="s">
        <v>429</v>
      </c>
      <c r="QCX90" t="s">
        <v>143</v>
      </c>
      <c r="QCY90" t="s">
        <v>398</v>
      </c>
      <c r="QCZ90">
        <v>1</v>
      </c>
      <c r="QDA90" t="s">
        <v>430</v>
      </c>
      <c r="QDB90" t="s">
        <v>431</v>
      </c>
      <c r="QDC90" t="s">
        <v>432</v>
      </c>
      <c r="QDE90" t="s">
        <v>429</v>
      </c>
      <c r="QDF90" t="s">
        <v>143</v>
      </c>
      <c r="QDG90" t="s">
        <v>398</v>
      </c>
      <c r="QDH90">
        <v>1</v>
      </c>
      <c r="QDI90" t="s">
        <v>430</v>
      </c>
      <c r="QDJ90" t="s">
        <v>431</v>
      </c>
      <c r="QDK90" t="s">
        <v>432</v>
      </c>
      <c r="QDM90" t="s">
        <v>429</v>
      </c>
      <c r="QDN90" t="s">
        <v>143</v>
      </c>
      <c r="QDO90" t="s">
        <v>398</v>
      </c>
      <c r="QDP90">
        <v>1</v>
      </c>
      <c r="QDQ90" t="s">
        <v>430</v>
      </c>
      <c r="QDR90" t="s">
        <v>431</v>
      </c>
      <c r="QDS90" t="s">
        <v>432</v>
      </c>
      <c r="QDU90" t="s">
        <v>429</v>
      </c>
      <c r="QDV90" t="s">
        <v>143</v>
      </c>
      <c r="QDW90" t="s">
        <v>398</v>
      </c>
      <c r="QDX90">
        <v>1</v>
      </c>
      <c r="QDY90" t="s">
        <v>430</v>
      </c>
      <c r="QDZ90" t="s">
        <v>431</v>
      </c>
      <c r="QEA90" t="s">
        <v>432</v>
      </c>
      <c r="QEC90" t="s">
        <v>429</v>
      </c>
      <c r="QED90" t="s">
        <v>143</v>
      </c>
      <c r="QEE90" t="s">
        <v>398</v>
      </c>
      <c r="QEF90">
        <v>1</v>
      </c>
      <c r="QEG90" t="s">
        <v>430</v>
      </c>
      <c r="QEH90" t="s">
        <v>431</v>
      </c>
      <c r="QEI90" t="s">
        <v>432</v>
      </c>
      <c r="QEK90" t="s">
        <v>429</v>
      </c>
      <c r="QEL90" t="s">
        <v>143</v>
      </c>
      <c r="QEM90" t="s">
        <v>398</v>
      </c>
      <c r="QEN90">
        <v>1</v>
      </c>
      <c r="QEO90" t="s">
        <v>430</v>
      </c>
      <c r="QEP90" t="s">
        <v>431</v>
      </c>
      <c r="QEQ90" t="s">
        <v>432</v>
      </c>
      <c r="QES90" t="s">
        <v>429</v>
      </c>
      <c r="QET90" t="s">
        <v>143</v>
      </c>
      <c r="QEU90" t="s">
        <v>398</v>
      </c>
      <c r="QEV90">
        <v>1</v>
      </c>
      <c r="QEW90" t="s">
        <v>430</v>
      </c>
      <c r="QEX90" t="s">
        <v>431</v>
      </c>
      <c r="QEY90" t="s">
        <v>432</v>
      </c>
      <c r="QFA90" t="s">
        <v>429</v>
      </c>
      <c r="QFB90" t="s">
        <v>143</v>
      </c>
      <c r="QFC90" t="s">
        <v>398</v>
      </c>
      <c r="QFD90">
        <v>1</v>
      </c>
      <c r="QFE90" t="s">
        <v>430</v>
      </c>
      <c r="QFF90" t="s">
        <v>431</v>
      </c>
      <c r="QFG90" t="s">
        <v>432</v>
      </c>
      <c r="QFI90" t="s">
        <v>429</v>
      </c>
      <c r="QFJ90" t="s">
        <v>143</v>
      </c>
      <c r="QFK90" t="s">
        <v>398</v>
      </c>
      <c r="QFL90">
        <v>1</v>
      </c>
      <c r="QFM90" t="s">
        <v>430</v>
      </c>
      <c r="QFN90" t="s">
        <v>431</v>
      </c>
      <c r="QFO90" t="s">
        <v>432</v>
      </c>
      <c r="QFQ90" t="s">
        <v>429</v>
      </c>
      <c r="QFR90" t="s">
        <v>143</v>
      </c>
      <c r="QFS90" t="s">
        <v>398</v>
      </c>
      <c r="QFT90">
        <v>1</v>
      </c>
      <c r="QFU90" t="s">
        <v>430</v>
      </c>
      <c r="QFV90" t="s">
        <v>431</v>
      </c>
      <c r="QFW90" t="s">
        <v>432</v>
      </c>
      <c r="QFY90" t="s">
        <v>429</v>
      </c>
      <c r="QFZ90" t="s">
        <v>143</v>
      </c>
      <c r="QGA90" t="s">
        <v>398</v>
      </c>
      <c r="QGB90">
        <v>1</v>
      </c>
      <c r="QGC90" t="s">
        <v>430</v>
      </c>
      <c r="QGD90" t="s">
        <v>431</v>
      </c>
      <c r="QGE90" t="s">
        <v>432</v>
      </c>
      <c r="QGG90" t="s">
        <v>429</v>
      </c>
      <c r="QGH90" t="s">
        <v>143</v>
      </c>
      <c r="QGI90" t="s">
        <v>398</v>
      </c>
      <c r="QGJ90">
        <v>1</v>
      </c>
      <c r="QGK90" t="s">
        <v>430</v>
      </c>
      <c r="QGL90" t="s">
        <v>431</v>
      </c>
      <c r="QGM90" t="s">
        <v>432</v>
      </c>
      <c r="QGO90" t="s">
        <v>429</v>
      </c>
      <c r="QGP90" t="s">
        <v>143</v>
      </c>
      <c r="QGQ90" t="s">
        <v>398</v>
      </c>
      <c r="QGR90">
        <v>1</v>
      </c>
      <c r="QGS90" t="s">
        <v>430</v>
      </c>
      <c r="QGT90" t="s">
        <v>431</v>
      </c>
      <c r="QGU90" t="s">
        <v>432</v>
      </c>
      <c r="QGW90" t="s">
        <v>429</v>
      </c>
      <c r="QGX90" t="s">
        <v>143</v>
      </c>
      <c r="QGY90" t="s">
        <v>398</v>
      </c>
      <c r="QGZ90">
        <v>1</v>
      </c>
      <c r="QHA90" t="s">
        <v>430</v>
      </c>
      <c r="QHB90" t="s">
        <v>431</v>
      </c>
      <c r="QHC90" t="s">
        <v>432</v>
      </c>
      <c r="QHE90" t="s">
        <v>429</v>
      </c>
      <c r="QHF90" t="s">
        <v>143</v>
      </c>
      <c r="QHG90" t="s">
        <v>398</v>
      </c>
      <c r="QHH90">
        <v>1</v>
      </c>
      <c r="QHI90" t="s">
        <v>430</v>
      </c>
      <c r="QHJ90" t="s">
        <v>431</v>
      </c>
      <c r="QHK90" t="s">
        <v>432</v>
      </c>
      <c r="QHM90" t="s">
        <v>429</v>
      </c>
      <c r="QHN90" t="s">
        <v>143</v>
      </c>
      <c r="QHO90" t="s">
        <v>398</v>
      </c>
      <c r="QHP90">
        <v>1</v>
      </c>
      <c r="QHQ90" t="s">
        <v>430</v>
      </c>
      <c r="QHR90" t="s">
        <v>431</v>
      </c>
      <c r="QHS90" t="s">
        <v>432</v>
      </c>
      <c r="QHU90" t="s">
        <v>429</v>
      </c>
      <c r="QHV90" t="s">
        <v>143</v>
      </c>
      <c r="QHW90" t="s">
        <v>398</v>
      </c>
      <c r="QHX90">
        <v>1</v>
      </c>
      <c r="QHY90" t="s">
        <v>430</v>
      </c>
      <c r="QHZ90" t="s">
        <v>431</v>
      </c>
      <c r="QIA90" t="s">
        <v>432</v>
      </c>
      <c r="QIC90" t="s">
        <v>429</v>
      </c>
      <c r="QID90" t="s">
        <v>143</v>
      </c>
      <c r="QIE90" t="s">
        <v>398</v>
      </c>
      <c r="QIF90">
        <v>1</v>
      </c>
      <c r="QIG90" t="s">
        <v>430</v>
      </c>
      <c r="QIH90" t="s">
        <v>431</v>
      </c>
      <c r="QII90" t="s">
        <v>432</v>
      </c>
      <c r="QIK90" t="s">
        <v>429</v>
      </c>
      <c r="QIL90" t="s">
        <v>143</v>
      </c>
      <c r="QIM90" t="s">
        <v>398</v>
      </c>
      <c r="QIN90">
        <v>1</v>
      </c>
      <c r="QIO90" t="s">
        <v>430</v>
      </c>
      <c r="QIP90" t="s">
        <v>431</v>
      </c>
      <c r="QIQ90" t="s">
        <v>432</v>
      </c>
      <c r="QIS90" t="s">
        <v>429</v>
      </c>
      <c r="QIT90" t="s">
        <v>143</v>
      </c>
      <c r="QIU90" t="s">
        <v>398</v>
      </c>
      <c r="QIV90">
        <v>1</v>
      </c>
      <c r="QIW90" t="s">
        <v>430</v>
      </c>
      <c r="QIX90" t="s">
        <v>431</v>
      </c>
      <c r="QIY90" t="s">
        <v>432</v>
      </c>
      <c r="QJA90" t="s">
        <v>429</v>
      </c>
      <c r="QJB90" t="s">
        <v>143</v>
      </c>
      <c r="QJC90" t="s">
        <v>398</v>
      </c>
      <c r="QJD90">
        <v>1</v>
      </c>
      <c r="QJE90" t="s">
        <v>430</v>
      </c>
      <c r="QJF90" t="s">
        <v>431</v>
      </c>
      <c r="QJG90" t="s">
        <v>432</v>
      </c>
      <c r="QJI90" t="s">
        <v>429</v>
      </c>
      <c r="QJJ90" t="s">
        <v>143</v>
      </c>
      <c r="QJK90" t="s">
        <v>398</v>
      </c>
      <c r="QJL90">
        <v>1</v>
      </c>
      <c r="QJM90" t="s">
        <v>430</v>
      </c>
      <c r="QJN90" t="s">
        <v>431</v>
      </c>
      <c r="QJO90" t="s">
        <v>432</v>
      </c>
      <c r="QJQ90" t="s">
        <v>429</v>
      </c>
      <c r="QJR90" t="s">
        <v>143</v>
      </c>
      <c r="QJS90" t="s">
        <v>398</v>
      </c>
      <c r="QJT90">
        <v>1</v>
      </c>
      <c r="QJU90" t="s">
        <v>430</v>
      </c>
      <c r="QJV90" t="s">
        <v>431</v>
      </c>
      <c r="QJW90" t="s">
        <v>432</v>
      </c>
      <c r="QJY90" t="s">
        <v>429</v>
      </c>
      <c r="QJZ90" t="s">
        <v>143</v>
      </c>
      <c r="QKA90" t="s">
        <v>398</v>
      </c>
      <c r="QKB90">
        <v>1</v>
      </c>
      <c r="QKC90" t="s">
        <v>430</v>
      </c>
      <c r="QKD90" t="s">
        <v>431</v>
      </c>
      <c r="QKE90" t="s">
        <v>432</v>
      </c>
      <c r="QKG90" t="s">
        <v>429</v>
      </c>
      <c r="QKH90" t="s">
        <v>143</v>
      </c>
      <c r="QKI90" t="s">
        <v>398</v>
      </c>
      <c r="QKJ90">
        <v>1</v>
      </c>
      <c r="QKK90" t="s">
        <v>430</v>
      </c>
      <c r="QKL90" t="s">
        <v>431</v>
      </c>
      <c r="QKM90" t="s">
        <v>432</v>
      </c>
      <c r="QKO90" t="s">
        <v>429</v>
      </c>
      <c r="QKP90" t="s">
        <v>143</v>
      </c>
      <c r="QKQ90" t="s">
        <v>398</v>
      </c>
      <c r="QKR90">
        <v>1</v>
      </c>
      <c r="QKS90" t="s">
        <v>430</v>
      </c>
      <c r="QKT90" t="s">
        <v>431</v>
      </c>
      <c r="QKU90" t="s">
        <v>432</v>
      </c>
      <c r="QKW90" t="s">
        <v>429</v>
      </c>
      <c r="QKX90" t="s">
        <v>143</v>
      </c>
      <c r="QKY90" t="s">
        <v>398</v>
      </c>
      <c r="QKZ90">
        <v>1</v>
      </c>
      <c r="QLA90" t="s">
        <v>430</v>
      </c>
      <c r="QLB90" t="s">
        <v>431</v>
      </c>
      <c r="QLC90" t="s">
        <v>432</v>
      </c>
      <c r="QLE90" t="s">
        <v>429</v>
      </c>
      <c r="QLF90" t="s">
        <v>143</v>
      </c>
      <c r="QLG90" t="s">
        <v>398</v>
      </c>
      <c r="QLH90">
        <v>1</v>
      </c>
      <c r="QLI90" t="s">
        <v>430</v>
      </c>
      <c r="QLJ90" t="s">
        <v>431</v>
      </c>
      <c r="QLK90" t="s">
        <v>432</v>
      </c>
      <c r="QLM90" t="s">
        <v>429</v>
      </c>
      <c r="QLN90" t="s">
        <v>143</v>
      </c>
      <c r="QLO90" t="s">
        <v>398</v>
      </c>
      <c r="QLP90">
        <v>1</v>
      </c>
      <c r="QLQ90" t="s">
        <v>430</v>
      </c>
      <c r="QLR90" t="s">
        <v>431</v>
      </c>
      <c r="QLS90" t="s">
        <v>432</v>
      </c>
      <c r="QLU90" t="s">
        <v>429</v>
      </c>
      <c r="QLV90" t="s">
        <v>143</v>
      </c>
      <c r="QLW90" t="s">
        <v>398</v>
      </c>
      <c r="QLX90">
        <v>1</v>
      </c>
      <c r="QLY90" t="s">
        <v>430</v>
      </c>
      <c r="QLZ90" t="s">
        <v>431</v>
      </c>
      <c r="QMA90" t="s">
        <v>432</v>
      </c>
      <c r="QMC90" t="s">
        <v>429</v>
      </c>
      <c r="QMD90" t="s">
        <v>143</v>
      </c>
      <c r="QME90" t="s">
        <v>398</v>
      </c>
      <c r="QMF90">
        <v>1</v>
      </c>
      <c r="QMG90" t="s">
        <v>430</v>
      </c>
      <c r="QMH90" t="s">
        <v>431</v>
      </c>
      <c r="QMI90" t="s">
        <v>432</v>
      </c>
      <c r="QMK90" t="s">
        <v>429</v>
      </c>
      <c r="QML90" t="s">
        <v>143</v>
      </c>
      <c r="QMM90" t="s">
        <v>398</v>
      </c>
      <c r="QMN90">
        <v>1</v>
      </c>
      <c r="QMO90" t="s">
        <v>430</v>
      </c>
      <c r="QMP90" t="s">
        <v>431</v>
      </c>
      <c r="QMQ90" t="s">
        <v>432</v>
      </c>
      <c r="QMS90" t="s">
        <v>429</v>
      </c>
      <c r="QMT90" t="s">
        <v>143</v>
      </c>
      <c r="QMU90" t="s">
        <v>398</v>
      </c>
      <c r="QMV90">
        <v>1</v>
      </c>
      <c r="QMW90" t="s">
        <v>430</v>
      </c>
      <c r="QMX90" t="s">
        <v>431</v>
      </c>
      <c r="QMY90" t="s">
        <v>432</v>
      </c>
      <c r="QNA90" t="s">
        <v>429</v>
      </c>
      <c r="QNB90" t="s">
        <v>143</v>
      </c>
      <c r="QNC90" t="s">
        <v>398</v>
      </c>
      <c r="QND90">
        <v>1</v>
      </c>
      <c r="QNE90" t="s">
        <v>430</v>
      </c>
      <c r="QNF90" t="s">
        <v>431</v>
      </c>
      <c r="QNG90" t="s">
        <v>432</v>
      </c>
      <c r="QNI90" t="s">
        <v>429</v>
      </c>
      <c r="QNJ90" t="s">
        <v>143</v>
      </c>
      <c r="QNK90" t="s">
        <v>398</v>
      </c>
      <c r="QNL90">
        <v>1</v>
      </c>
      <c r="QNM90" t="s">
        <v>430</v>
      </c>
      <c r="QNN90" t="s">
        <v>431</v>
      </c>
      <c r="QNO90" t="s">
        <v>432</v>
      </c>
      <c r="QNQ90" t="s">
        <v>429</v>
      </c>
      <c r="QNR90" t="s">
        <v>143</v>
      </c>
      <c r="QNS90" t="s">
        <v>398</v>
      </c>
      <c r="QNT90">
        <v>1</v>
      </c>
      <c r="QNU90" t="s">
        <v>430</v>
      </c>
      <c r="QNV90" t="s">
        <v>431</v>
      </c>
      <c r="QNW90" t="s">
        <v>432</v>
      </c>
      <c r="QNY90" t="s">
        <v>429</v>
      </c>
      <c r="QNZ90" t="s">
        <v>143</v>
      </c>
      <c r="QOA90" t="s">
        <v>398</v>
      </c>
      <c r="QOB90">
        <v>1</v>
      </c>
      <c r="QOC90" t="s">
        <v>430</v>
      </c>
      <c r="QOD90" t="s">
        <v>431</v>
      </c>
      <c r="QOE90" t="s">
        <v>432</v>
      </c>
      <c r="QOG90" t="s">
        <v>429</v>
      </c>
      <c r="QOH90" t="s">
        <v>143</v>
      </c>
      <c r="QOI90" t="s">
        <v>398</v>
      </c>
      <c r="QOJ90">
        <v>1</v>
      </c>
      <c r="QOK90" t="s">
        <v>430</v>
      </c>
      <c r="QOL90" t="s">
        <v>431</v>
      </c>
      <c r="QOM90" t="s">
        <v>432</v>
      </c>
      <c r="QOO90" t="s">
        <v>429</v>
      </c>
      <c r="QOP90" t="s">
        <v>143</v>
      </c>
      <c r="QOQ90" t="s">
        <v>398</v>
      </c>
      <c r="QOR90">
        <v>1</v>
      </c>
      <c r="QOS90" t="s">
        <v>430</v>
      </c>
      <c r="QOT90" t="s">
        <v>431</v>
      </c>
      <c r="QOU90" t="s">
        <v>432</v>
      </c>
      <c r="QOW90" t="s">
        <v>429</v>
      </c>
      <c r="QOX90" t="s">
        <v>143</v>
      </c>
      <c r="QOY90" t="s">
        <v>398</v>
      </c>
      <c r="QOZ90">
        <v>1</v>
      </c>
      <c r="QPA90" t="s">
        <v>430</v>
      </c>
      <c r="QPB90" t="s">
        <v>431</v>
      </c>
      <c r="QPC90" t="s">
        <v>432</v>
      </c>
      <c r="QPE90" t="s">
        <v>429</v>
      </c>
      <c r="QPF90" t="s">
        <v>143</v>
      </c>
      <c r="QPG90" t="s">
        <v>398</v>
      </c>
      <c r="QPH90">
        <v>1</v>
      </c>
      <c r="QPI90" t="s">
        <v>430</v>
      </c>
      <c r="QPJ90" t="s">
        <v>431</v>
      </c>
      <c r="QPK90" t="s">
        <v>432</v>
      </c>
      <c r="QPM90" t="s">
        <v>429</v>
      </c>
      <c r="QPN90" t="s">
        <v>143</v>
      </c>
      <c r="QPO90" t="s">
        <v>398</v>
      </c>
      <c r="QPP90">
        <v>1</v>
      </c>
      <c r="QPQ90" t="s">
        <v>430</v>
      </c>
      <c r="QPR90" t="s">
        <v>431</v>
      </c>
      <c r="QPS90" t="s">
        <v>432</v>
      </c>
      <c r="QPU90" t="s">
        <v>429</v>
      </c>
      <c r="QPV90" t="s">
        <v>143</v>
      </c>
      <c r="QPW90" t="s">
        <v>398</v>
      </c>
      <c r="QPX90">
        <v>1</v>
      </c>
      <c r="QPY90" t="s">
        <v>430</v>
      </c>
      <c r="QPZ90" t="s">
        <v>431</v>
      </c>
      <c r="QQA90" t="s">
        <v>432</v>
      </c>
      <c r="QQC90" t="s">
        <v>429</v>
      </c>
      <c r="QQD90" t="s">
        <v>143</v>
      </c>
      <c r="QQE90" t="s">
        <v>398</v>
      </c>
      <c r="QQF90">
        <v>1</v>
      </c>
      <c r="QQG90" t="s">
        <v>430</v>
      </c>
      <c r="QQH90" t="s">
        <v>431</v>
      </c>
      <c r="QQI90" t="s">
        <v>432</v>
      </c>
      <c r="QQK90" t="s">
        <v>429</v>
      </c>
      <c r="QQL90" t="s">
        <v>143</v>
      </c>
      <c r="QQM90" t="s">
        <v>398</v>
      </c>
      <c r="QQN90">
        <v>1</v>
      </c>
      <c r="QQO90" t="s">
        <v>430</v>
      </c>
      <c r="QQP90" t="s">
        <v>431</v>
      </c>
      <c r="QQQ90" t="s">
        <v>432</v>
      </c>
      <c r="QQS90" t="s">
        <v>429</v>
      </c>
      <c r="QQT90" t="s">
        <v>143</v>
      </c>
      <c r="QQU90" t="s">
        <v>398</v>
      </c>
      <c r="QQV90">
        <v>1</v>
      </c>
      <c r="QQW90" t="s">
        <v>430</v>
      </c>
      <c r="QQX90" t="s">
        <v>431</v>
      </c>
      <c r="QQY90" t="s">
        <v>432</v>
      </c>
      <c r="QRA90" t="s">
        <v>429</v>
      </c>
      <c r="QRB90" t="s">
        <v>143</v>
      </c>
      <c r="QRC90" t="s">
        <v>398</v>
      </c>
      <c r="QRD90">
        <v>1</v>
      </c>
      <c r="QRE90" t="s">
        <v>430</v>
      </c>
      <c r="QRF90" t="s">
        <v>431</v>
      </c>
      <c r="QRG90" t="s">
        <v>432</v>
      </c>
      <c r="QRI90" t="s">
        <v>429</v>
      </c>
      <c r="QRJ90" t="s">
        <v>143</v>
      </c>
      <c r="QRK90" t="s">
        <v>398</v>
      </c>
      <c r="QRL90">
        <v>1</v>
      </c>
      <c r="QRM90" t="s">
        <v>430</v>
      </c>
      <c r="QRN90" t="s">
        <v>431</v>
      </c>
      <c r="QRO90" t="s">
        <v>432</v>
      </c>
      <c r="QRQ90" t="s">
        <v>429</v>
      </c>
      <c r="QRR90" t="s">
        <v>143</v>
      </c>
      <c r="QRS90" t="s">
        <v>398</v>
      </c>
      <c r="QRT90">
        <v>1</v>
      </c>
      <c r="QRU90" t="s">
        <v>430</v>
      </c>
      <c r="QRV90" t="s">
        <v>431</v>
      </c>
      <c r="QRW90" t="s">
        <v>432</v>
      </c>
      <c r="QRY90" t="s">
        <v>429</v>
      </c>
      <c r="QRZ90" t="s">
        <v>143</v>
      </c>
      <c r="QSA90" t="s">
        <v>398</v>
      </c>
      <c r="QSB90">
        <v>1</v>
      </c>
      <c r="QSC90" t="s">
        <v>430</v>
      </c>
      <c r="QSD90" t="s">
        <v>431</v>
      </c>
      <c r="QSE90" t="s">
        <v>432</v>
      </c>
      <c r="QSG90" t="s">
        <v>429</v>
      </c>
      <c r="QSH90" t="s">
        <v>143</v>
      </c>
      <c r="QSI90" t="s">
        <v>398</v>
      </c>
      <c r="QSJ90">
        <v>1</v>
      </c>
      <c r="QSK90" t="s">
        <v>430</v>
      </c>
      <c r="QSL90" t="s">
        <v>431</v>
      </c>
      <c r="QSM90" t="s">
        <v>432</v>
      </c>
      <c r="QSO90" t="s">
        <v>429</v>
      </c>
      <c r="QSP90" t="s">
        <v>143</v>
      </c>
      <c r="QSQ90" t="s">
        <v>398</v>
      </c>
      <c r="QSR90">
        <v>1</v>
      </c>
      <c r="QSS90" t="s">
        <v>430</v>
      </c>
      <c r="QST90" t="s">
        <v>431</v>
      </c>
      <c r="QSU90" t="s">
        <v>432</v>
      </c>
      <c r="QSW90" t="s">
        <v>429</v>
      </c>
      <c r="QSX90" t="s">
        <v>143</v>
      </c>
      <c r="QSY90" t="s">
        <v>398</v>
      </c>
      <c r="QSZ90">
        <v>1</v>
      </c>
      <c r="QTA90" t="s">
        <v>430</v>
      </c>
      <c r="QTB90" t="s">
        <v>431</v>
      </c>
      <c r="QTC90" t="s">
        <v>432</v>
      </c>
      <c r="QTE90" t="s">
        <v>429</v>
      </c>
      <c r="QTF90" t="s">
        <v>143</v>
      </c>
      <c r="QTG90" t="s">
        <v>398</v>
      </c>
      <c r="QTH90">
        <v>1</v>
      </c>
      <c r="QTI90" t="s">
        <v>430</v>
      </c>
      <c r="QTJ90" t="s">
        <v>431</v>
      </c>
      <c r="QTK90" t="s">
        <v>432</v>
      </c>
      <c r="QTM90" t="s">
        <v>429</v>
      </c>
      <c r="QTN90" t="s">
        <v>143</v>
      </c>
      <c r="QTO90" t="s">
        <v>398</v>
      </c>
      <c r="QTP90">
        <v>1</v>
      </c>
      <c r="QTQ90" t="s">
        <v>430</v>
      </c>
      <c r="QTR90" t="s">
        <v>431</v>
      </c>
      <c r="QTS90" t="s">
        <v>432</v>
      </c>
      <c r="QTU90" t="s">
        <v>429</v>
      </c>
      <c r="QTV90" t="s">
        <v>143</v>
      </c>
      <c r="QTW90" t="s">
        <v>398</v>
      </c>
      <c r="QTX90">
        <v>1</v>
      </c>
      <c r="QTY90" t="s">
        <v>430</v>
      </c>
      <c r="QTZ90" t="s">
        <v>431</v>
      </c>
      <c r="QUA90" t="s">
        <v>432</v>
      </c>
      <c r="QUC90" t="s">
        <v>429</v>
      </c>
      <c r="QUD90" t="s">
        <v>143</v>
      </c>
      <c r="QUE90" t="s">
        <v>398</v>
      </c>
      <c r="QUF90">
        <v>1</v>
      </c>
      <c r="QUG90" t="s">
        <v>430</v>
      </c>
      <c r="QUH90" t="s">
        <v>431</v>
      </c>
      <c r="QUI90" t="s">
        <v>432</v>
      </c>
      <c r="QUK90" t="s">
        <v>429</v>
      </c>
      <c r="QUL90" t="s">
        <v>143</v>
      </c>
      <c r="QUM90" t="s">
        <v>398</v>
      </c>
      <c r="QUN90">
        <v>1</v>
      </c>
      <c r="QUO90" t="s">
        <v>430</v>
      </c>
      <c r="QUP90" t="s">
        <v>431</v>
      </c>
      <c r="QUQ90" t="s">
        <v>432</v>
      </c>
      <c r="QUS90" t="s">
        <v>429</v>
      </c>
      <c r="QUT90" t="s">
        <v>143</v>
      </c>
      <c r="QUU90" t="s">
        <v>398</v>
      </c>
      <c r="QUV90">
        <v>1</v>
      </c>
      <c r="QUW90" t="s">
        <v>430</v>
      </c>
      <c r="QUX90" t="s">
        <v>431</v>
      </c>
      <c r="QUY90" t="s">
        <v>432</v>
      </c>
      <c r="QVA90" t="s">
        <v>429</v>
      </c>
      <c r="QVB90" t="s">
        <v>143</v>
      </c>
      <c r="QVC90" t="s">
        <v>398</v>
      </c>
      <c r="QVD90">
        <v>1</v>
      </c>
      <c r="QVE90" t="s">
        <v>430</v>
      </c>
      <c r="QVF90" t="s">
        <v>431</v>
      </c>
      <c r="QVG90" t="s">
        <v>432</v>
      </c>
      <c r="QVI90" t="s">
        <v>429</v>
      </c>
      <c r="QVJ90" t="s">
        <v>143</v>
      </c>
      <c r="QVK90" t="s">
        <v>398</v>
      </c>
      <c r="QVL90">
        <v>1</v>
      </c>
      <c r="QVM90" t="s">
        <v>430</v>
      </c>
      <c r="QVN90" t="s">
        <v>431</v>
      </c>
      <c r="QVO90" t="s">
        <v>432</v>
      </c>
      <c r="QVQ90" t="s">
        <v>429</v>
      </c>
      <c r="QVR90" t="s">
        <v>143</v>
      </c>
      <c r="QVS90" t="s">
        <v>398</v>
      </c>
      <c r="QVT90">
        <v>1</v>
      </c>
      <c r="QVU90" t="s">
        <v>430</v>
      </c>
      <c r="QVV90" t="s">
        <v>431</v>
      </c>
      <c r="QVW90" t="s">
        <v>432</v>
      </c>
      <c r="QVY90" t="s">
        <v>429</v>
      </c>
      <c r="QVZ90" t="s">
        <v>143</v>
      </c>
      <c r="QWA90" t="s">
        <v>398</v>
      </c>
      <c r="QWB90">
        <v>1</v>
      </c>
      <c r="QWC90" t="s">
        <v>430</v>
      </c>
      <c r="QWD90" t="s">
        <v>431</v>
      </c>
      <c r="QWE90" t="s">
        <v>432</v>
      </c>
      <c r="QWG90" t="s">
        <v>429</v>
      </c>
      <c r="QWH90" t="s">
        <v>143</v>
      </c>
      <c r="QWI90" t="s">
        <v>398</v>
      </c>
      <c r="QWJ90">
        <v>1</v>
      </c>
      <c r="QWK90" t="s">
        <v>430</v>
      </c>
      <c r="QWL90" t="s">
        <v>431</v>
      </c>
      <c r="QWM90" t="s">
        <v>432</v>
      </c>
      <c r="QWO90" t="s">
        <v>429</v>
      </c>
      <c r="QWP90" t="s">
        <v>143</v>
      </c>
      <c r="QWQ90" t="s">
        <v>398</v>
      </c>
      <c r="QWR90">
        <v>1</v>
      </c>
      <c r="QWS90" t="s">
        <v>430</v>
      </c>
      <c r="QWT90" t="s">
        <v>431</v>
      </c>
      <c r="QWU90" t="s">
        <v>432</v>
      </c>
      <c r="QWW90" t="s">
        <v>429</v>
      </c>
      <c r="QWX90" t="s">
        <v>143</v>
      </c>
      <c r="QWY90" t="s">
        <v>398</v>
      </c>
      <c r="QWZ90">
        <v>1</v>
      </c>
      <c r="QXA90" t="s">
        <v>430</v>
      </c>
      <c r="QXB90" t="s">
        <v>431</v>
      </c>
      <c r="QXC90" t="s">
        <v>432</v>
      </c>
      <c r="QXE90" t="s">
        <v>429</v>
      </c>
      <c r="QXF90" t="s">
        <v>143</v>
      </c>
      <c r="QXG90" t="s">
        <v>398</v>
      </c>
      <c r="QXH90">
        <v>1</v>
      </c>
      <c r="QXI90" t="s">
        <v>430</v>
      </c>
      <c r="QXJ90" t="s">
        <v>431</v>
      </c>
      <c r="QXK90" t="s">
        <v>432</v>
      </c>
      <c r="QXM90" t="s">
        <v>429</v>
      </c>
      <c r="QXN90" t="s">
        <v>143</v>
      </c>
      <c r="QXO90" t="s">
        <v>398</v>
      </c>
      <c r="QXP90">
        <v>1</v>
      </c>
      <c r="QXQ90" t="s">
        <v>430</v>
      </c>
      <c r="QXR90" t="s">
        <v>431</v>
      </c>
      <c r="QXS90" t="s">
        <v>432</v>
      </c>
      <c r="QXU90" t="s">
        <v>429</v>
      </c>
      <c r="QXV90" t="s">
        <v>143</v>
      </c>
      <c r="QXW90" t="s">
        <v>398</v>
      </c>
      <c r="QXX90">
        <v>1</v>
      </c>
      <c r="QXY90" t="s">
        <v>430</v>
      </c>
      <c r="QXZ90" t="s">
        <v>431</v>
      </c>
      <c r="QYA90" t="s">
        <v>432</v>
      </c>
      <c r="QYC90" t="s">
        <v>429</v>
      </c>
      <c r="QYD90" t="s">
        <v>143</v>
      </c>
      <c r="QYE90" t="s">
        <v>398</v>
      </c>
      <c r="QYF90">
        <v>1</v>
      </c>
      <c r="QYG90" t="s">
        <v>430</v>
      </c>
      <c r="QYH90" t="s">
        <v>431</v>
      </c>
      <c r="QYI90" t="s">
        <v>432</v>
      </c>
      <c r="QYK90" t="s">
        <v>429</v>
      </c>
      <c r="QYL90" t="s">
        <v>143</v>
      </c>
      <c r="QYM90" t="s">
        <v>398</v>
      </c>
      <c r="QYN90">
        <v>1</v>
      </c>
      <c r="QYO90" t="s">
        <v>430</v>
      </c>
      <c r="QYP90" t="s">
        <v>431</v>
      </c>
      <c r="QYQ90" t="s">
        <v>432</v>
      </c>
      <c r="QYS90" t="s">
        <v>429</v>
      </c>
      <c r="QYT90" t="s">
        <v>143</v>
      </c>
      <c r="QYU90" t="s">
        <v>398</v>
      </c>
      <c r="QYV90">
        <v>1</v>
      </c>
      <c r="QYW90" t="s">
        <v>430</v>
      </c>
      <c r="QYX90" t="s">
        <v>431</v>
      </c>
      <c r="QYY90" t="s">
        <v>432</v>
      </c>
      <c r="QZA90" t="s">
        <v>429</v>
      </c>
      <c r="QZB90" t="s">
        <v>143</v>
      </c>
      <c r="QZC90" t="s">
        <v>398</v>
      </c>
      <c r="QZD90">
        <v>1</v>
      </c>
      <c r="QZE90" t="s">
        <v>430</v>
      </c>
      <c r="QZF90" t="s">
        <v>431</v>
      </c>
      <c r="QZG90" t="s">
        <v>432</v>
      </c>
      <c r="QZI90" t="s">
        <v>429</v>
      </c>
      <c r="QZJ90" t="s">
        <v>143</v>
      </c>
      <c r="QZK90" t="s">
        <v>398</v>
      </c>
      <c r="QZL90">
        <v>1</v>
      </c>
      <c r="QZM90" t="s">
        <v>430</v>
      </c>
      <c r="QZN90" t="s">
        <v>431</v>
      </c>
      <c r="QZO90" t="s">
        <v>432</v>
      </c>
      <c r="QZQ90" t="s">
        <v>429</v>
      </c>
      <c r="QZR90" t="s">
        <v>143</v>
      </c>
      <c r="QZS90" t="s">
        <v>398</v>
      </c>
      <c r="QZT90">
        <v>1</v>
      </c>
      <c r="QZU90" t="s">
        <v>430</v>
      </c>
      <c r="QZV90" t="s">
        <v>431</v>
      </c>
      <c r="QZW90" t="s">
        <v>432</v>
      </c>
      <c r="QZY90" t="s">
        <v>429</v>
      </c>
      <c r="QZZ90" t="s">
        <v>143</v>
      </c>
      <c r="RAA90" t="s">
        <v>398</v>
      </c>
      <c r="RAB90">
        <v>1</v>
      </c>
      <c r="RAC90" t="s">
        <v>430</v>
      </c>
      <c r="RAD90" t="s">
        <v>431</v>
      </c>
      <c r="RAE90" t="s">
        <v>432</v>
      </c>
      <c r="RAG90" t="s">
        <v>429</v>
      </c>
      <c r="RAH90" t="s">
        <v>143</v>
      </c>
      <c r="RAI90" t="s">
        <v>398</v>
      </c>
      <c r="RAJ90">
        <v>1</v>
      </c>
      <c r="RAK90" t="s">
        <v>430</v>
      </c>
      <c r="RAL90" t="s">
        <v>431</v>
      </c>
      <c r="RAM90" t="s">
        <v>432</v>
      </c>
      <c r="RAO90" t="s">
        <v>429</v>
      </c>
      <c r="RAP90" t="s">
        <v>143</v>
      </c>
      <c r="RAQ90" t="s">
        <v>398</v>
      </c>
      <c r="RAR90">
        <v>1</v>
      </c>
      <c r="RAS90" t="s">
        <v>430</v>
      </c>
      <c r="RAT90" t="s">
        <v>431</v>
      </c>
      <c r="RAU90" t="s">
        <v>432</v>
      </c>
      <c r="RAW90" t="s">
        <v>429</v>
      </c>
      <c r="RAX90" t="s">
        <v>143</v>
      </c>
      <c r="RAY90" t="s">
        <v>398</v>
      </c>
      <c r="RAZ90">
        <v>1</v>
      </c>
      <c r="RBA90" t="s">
        <v>430</v>
      </c>
      <c r="RBB90" t="s">
        <v>431</v>
      </c>
      <c r="RBC90" t="s">
        <v>432</v>
      </c>
      <c r="RBE90" t="s">
        <v>429</v>
      </c>
      <c r="RBF90" t="s">
        <v>143</v>
      </c>
      <c r="RBG90" t="s">
        <v>398</v>
      </c>
      <c r="RBH90">
        <v>1</v>
      </c>
      <c r="RBI90" t="s">
        <v>430</v>
      </c>
      <c r="RBJ90" t="s">
        <v>431</v>
      </c>
      <c r="RBK90" t="s">
        <v>432</v>
      </c>
      <c r="RBM90" t="s">
        <v>429</v>
      </c>
      <c r="RBN90" t="s">
        <v>143</v>
      </c>
      <c r="RBO90" t="s">
        <v>398</v>
      </c>
      <c r="RBP90">
        <v>1</v>
      </c>
      <c r="RBQ90" t="s">
        <v>430</v>
      </c>
      <c r="RBR90" t="s">
        <v>431</v>
      </c>
      <c r="RBS90" t="s">
        <v>432</v>
      </c>
      <c r="RBU90" t="s">
        <v>429</v>
      </c>
      <c r="RBV90" t="s">
        <v>143</v>
      </c>
      <c r="RBW90" t="s">
        <v>398</v>
      </c>
      <c r="RBX90">
        <v>1</v>
      </c>
      <c r="RBY90" t="s">
        <v>430</v>
      </c>
      <c r="RBZ90" t="s">
        <v>431</v>
      </c>
      <c r="RCA90" t="s">
        <v>432</v>
      </c>
      <c r="RCC90" t="s">
        <v>429</v>
      </c>
      <c r="RCD90" t="s">
        <v>143</v>
      </c>
      <c r="RCE90" t="s">
        <v>398</v>
      </c>
      <c r="RCF90">
        <v>1</v>
      </c>
      <c r="RCG90" t="s">
        <v>430</v>
      </c>
      <c r="RCH90" t="s">
        <v>431</v>
      </c>
      <c r="RCI90" t="s">
        <v>432</v>
      </c>
      <c r="RCK90" t="s">
        <v>429</v>
      </c>
      <c r="RCL90" t="s">
        <v>143</v>
      </c>
      <c r="RCM90" t="s">
        <v>398</v>
      </c>
      <c r="RCN90">
        <v>1</v>
      </c>
      <c r="RCO90" t="s">
        <v>430</v>
      </c>
      <c r="RCP90" t="s">
        <v>431</v>
      </c>
      <c r="RCQ90" t="s">
        <v>432</v>
      </c>
      <c r="RCS90" t="s">
        <v>429</v>
      </c>
      <c r="RCT90" t="s">
        <v>143</v>
      </c>
      <c r="RCU90" t="s">
        <v>398</v>
      </c>
      <c r="RCV90">
        <v>1</v>
      </c>
      <c r="RCW90" t="s">
        <v>430</v>
      </c>
      <c r="RCX90" t="s">
        <v>431</v>
      </c>
      <c r="RCY90" t="s">
        <v>432</v>
      </c>
      <c r="RDA90" t="s">
        <v>429</v>
      </c>
      <c r="RDB90" t="s">
        <v>143</v>
      </c>
      <c r="RDC90" t="s">
        <v>398</v>
      </c>
      <c r="RDD90">
        <v>1</v>
      </c>
      <c r="RDE90" t="s">
        <v>430</v>
      </c>
      <c r="RDF90" t="s">
        <v>431</v>
      </c>
      <c r="RDG90" t="s">
        <v>432</v>
      </c>
      <c r="RDI90" t="s">
        <v>429</v>
      </c>
      <c r="RDJ90" t="s">
        <v>143</v>
      </c>
      <c r="RDK90" t="s">
        <v>398</v>
      </c>
      <c r="RDL90">
        <v>1</v>
      </c>
      <c r="RDM90" t="s">
        <v>430</v>
      </c>
      <c r="RDN90" t="s">
        <v>431</v>
      </c>
      <c r="RDO90" t="s">
        <v>432</v>
      </c>
      <c r="RDQ90" t="s">
        <v>429</v>
      </c>
      <c r="RDR90" t="s">
        <v>143</v>
      </c>
      <c r="RDS90" t="s">
        <v>398</v>
      </c>
      <c r="RDT90">
        <v>1</v>
      </c>
      <c r="RDU90" t="s">
        <v>430</v>
      </c>
      <c r="RDV90" t="s">
        <v>431</v>
      </c>
      <c r="RDW90" t="s">
        <v>432</v>
      </c>
      <c r="RDY90" t="s">
        <v>429</v>
      </c>
      <c r="RDZ90" t="s">
        <v>143</v>
      </c>
      <c r="REA90" t="s">
        <v>398</v>
      </c>
      <c r="REB90">
        <v>1</v>
      </c>
      <c r="REC90" t="s">
        <v>430</v>
      </c>
      <c r="RED90" t="s">
        <v>431</v>
      </c>
      <c r="REE90" t="s">
        <v>432</v>
      </c>
      <c r="REG90" t="s">
        <v>429</v>
      </c>
      <c r="REH90" t="s">
        <v>143</v>
      </c>
      <c r="REI90" t="s">
        <v>398</v>
      </c>
      <c r="REJ90">
        <v>1</v>
      </c>
      <c r="REK90" t="s">
        <v>430</v>
      </c>
      <c r="REL90" t="s">
        <v>431</v>
      </c>
      <c r="REM90" t="s">
        <v>432</v>
      </c>
      <c r="REO90" t="s">
        <v>429</v>
      </c>
      <c r="REP90" t="s">
        <v>143</v>
      </c>
      <c r="REQ90" t="s">
        <v>398</v>
      </c>
      <c r="RER90">
        <v>1</v>
      </c>
      <c r="RES90" t="s">
        <v>430</v>
      </c>
      <c r="RET90" t="s">
        <v>431</v>
      </c>
      <c r="REU90" t="s">
        <v>432</v>
      </c>
      <c r="REW90" t="s">
        <v>429</v>
      </c>
      <c r="REX90" t="s">
        <v>143</v>
      </c>
      <c r="REY90" t="s">
        <v>398</v>
      </c>
      <c r="REZ90">
        <v>1</v>
      </c>
      <c r="RFA90" t="s">
        <v>430</v>
      </c>
      <c r="RFB90" t="s">
        <v>431</v>
      </c>
      <c r="RFC90" t="s">
        <v>432</v>
      </c>
      <c r="RFE90" t="s">
        <v>429</v>
      </c>
      <c r="RFF90" t="s">
        <v>143</v>
      </c>
      <c r="RFG90" t="s">
        <v>398</v>
      </c>
      <c r="RFH90">
        <v>1</v>
      </c>
      <c r="RFI90" t="s">
        <v>430</v>
      </c>
      <c r="RFJ90" t="s">
        <v>431</v>
      </c>
      <c r="RFK90" t="s">
        <v>432</v>
      </c>
      <c r="RFM90" t="s">
        <v>429</v>
      </c>
      <c r="RFN90" t="s">
        <v>143</v>
      </c>
      <c r="RFO90" t="s">
        <v>398</v>
      </c>
      <c r="RFP90">
        <v>1</v>
      </c>
      <c r="RFQ90" t="s">
        <v>430</v>
      </c>
      <c r="RFR90" t="s">
        <v>431</v>
      </c>
      <c r="RFS90" t="s">
        <v>432</v>
      </c>
      <c r="RFU90" t="s">
        <v>429</v>
      </c>
      <c r="RFV90" t="s">
        <v>143</v>
      </c>
      <c r="RFW90" t="s">
        <v>398</v>
      </c>
      <c r="RFX90">
        <v>1</v>
      </c>
      <c r="RFY90" t="s">
        <v>430</v>
      </c>
      <c r="RFZ90" t="s">
        <v>431</v>
      </c>
      <c r="RGA90" t="s">
        <v>432</v>
      </c>
      <c r="RGC90" t="s">
        <v>429</v>
      </c>
      <c r="RGD90" t="s">
        <v>143</v>
      </c>
      <c r="RGE90" t="s">
        <v>398</v>
      </c>
      <c r="RGF90">
        <v>1</v>
      </c>
      <c r="RGG90" t="s">
        <v>430</v>
      </c>
      <c r="RGH90" t="s">
        <v>431</v>
      </c>
      <c r="RGI90" t="s">
        <v>432</v>
      </c>
      <c r="RGK90" t="s">
        <v>429</v>
      </c>
      <c r="RGL90" t="s">
        <v>143</v>
      </c>
      <c r="RGM90" t="s">
        <v>398</v>
      </c>
      <c r="RGN90">
        <v>1</v>
      </c>
      <c r="RGO90" t="s">
        <v>430</v>
      </c>
      <c r="RGP90" t="s">
        <v>431</v>
      </c>
      <c r="RGQ90" t="s">
        <v>432</v>
      </c>
      <c r="RGS90" t="s">
        <v>429</v>
      </c>
      <c r="RGT90" t="s">
        <v>143</v>
      </c>
      <c r="RGU90" t="s">
        <v>398</v>
      </c>
      <c r="RGV90">
        <v>1</v>
      </c>
      <c r="RGW90" t="s">
        <v>430</v>
      </c>
      <c r="RGX90" t="s">
        <v>431</v>
      </c>
      <c r="RGY90" t="s">
        <v>432</v>
      </c>
      <c r="RHA90" t="s">
        <v>429</v>
      </c>
      <c r="RHB90" t="s">
        <v>143</v>
      </c>
      <c r="RHC90" t="s">
        <v>398</v>
      </c>
      <c r="RHD90">
        <v>1</v>
      </c>
      <c r="RHE90" t="s">
        <v>430</v>
      </c>
      <c r="RHF90" t="s">
        <v>431</v>
      </c>
      <c r="RHG90" t="s">
        <v>432</v>
      </c>
      <c r="RHI90" t="s">
        <v>429</v>
      </c>
      <c r="RHJ90" t="s">
        <v>143</v>
      </c>
      <c r="RHK90" t="s">
        <v>398</v>
      </c>
      <c r="RHL90">
        <v>1</v>
      </c>
      <c r="RHM90" t="s">
        <v>430</v>
      </c>
      <c r="RHN90" t="s">
        <v>431</v>
      </c>
      <c r="RHO90" t="s">
        <v>432</v>
      </c>
      <c r="RHQ90" t="s">
        <v>429</v>
      </c>
      <c r="RHR90" t="s">
        <v>143</v>
      </c>
      <c r="RHS90" t="s">
        <v>398</v>
      </c>
      <c r="RHT90">
        <v>1</v>
      </c>
      <c r="RHU90" t="s">
        <v>430</v>
      </c>
      <c r="RHV90" t="s">
        <v>431</v>
      </c>
      <c r="RHW90" t="s">
        <v>432</v>
      </c>
      <c r="RHY90" t="s">
        <v>429</v>
      </c>
      <c r="RHZ90" t="s">
        <v>143</v>
      </c>
      <c r="RIA90" t="s">
        <v>398</v>
      </c>
      <c r="RIB90">
        <v>1</v>
      </c>
      <c r="RIC90" t="s">
        <v>430</v>
      </c>
      <c r="RID90" t="s">
        <v>431</v>
      </c>
      <c r="RIE90" t="s">
        <v>432</v>
      </c>
      <c r="RIG90" t="s">
        <v>429</v>
      </c>
      <c r="RIH90" t="s">
        <v>143</v>
      </c>
      <c r="RII90" t="s">
        <v>398</v>
      </c>
      <c r="RIJ90">
        <v>1</v>
      </c>
      <c r="RIK90" t="s">
        <v>430</v>
      </c>
      <c r="RIL90" t="s">
        <v>431</v>
      </c>
      <c r="RIM90" t="s">
        <v>432</v>
      </c>
      <c r="RIO90" t="s">
        <v>429</v>
      </c>
      <c r="RIP90" t="s">
        <v>143</v>
      </c>
      <c r="RIQ90" t="s">
        <v>398</v>
      </c>
      <c r="RIR90">
        <v>1</v>
      </c>
      <c r="RIS90" t="s">
        <v>430</v>
      </c>
      <c r="RIT90" t="s">
        <v>431</v>
      </c>
      <c r="RIU90" t="s">
        <v>432</v>
      </c>
      <c r="RIW90" t="s">
        <v>429</v>
      </c>
      <c r="RIX90" t="s">
        <v>143</v>
      </c>
      <c r="RIY90" t="s">
        <v>398</v>
      </c>
      <c r="RIZ90">
        <v>1</v>
      </c>
      <c r="RJA90" t="s">
        <v>430</v>
      </c>
      <c r="RJB90" t="s">
        <v>431</v>
      </c>
      <c r="RJC90" t="s">
        <v>432</v>
      </c>
      <c r="RJE90" t="s">
        <v>429</v>
      </c>
      <c r="RJF90" t="s">
        <v>143</v>
      </c>
      <c r="RJG90" t="s">
        <v>398</v>
      </c>
      <c r="RJH90">
        <v>1</v>
      </c>
      <c r="RJI90" t="s">
        <v>430</v>
      </c>
      <c r="RJJ90" t="s">
        <v>431</v>
      </c>
      <c r="RJK90" t="s">
        <v>432</v>
      </c>
      <c r="RJM90" t="s">
        <v>429</v>
      </c>
      <c r="RJN90" t="s">
        <v>143</v>
      </c>
      <c r="RJO90" t="s">
        <v>398</v>
      </c>
      <c r="RJP90">
        <v>1</v>
      </c>
      <c r="RJQ90" t="s">
        <v>430</v>
      </c>
      <c r="RJR90" t="s">
        <v>431</v>
      </c>
      <c r="RJS90" t="s">
        <v>432</v>
      </c>
      <c r="RJU90" t="s">
        <v>429</v>
      </c>
      <c r="RJV90" t="s">
        <v>143</v>
      </c>
      <c r="RJW90" t="s">
        <v>398</v>
      </c>
      <c r="RJX90">
        <v>1</v>
      </c>
      <c r="RJY90" t="s">
        <v>430</v>
      </c>
      <c r="RJZ90" t="s">
        <v>431</v>
      </c>
      <c r="RKA90" t="s">
        <v>432</v>
      </c>
      <c r="RKC90" t="s">
        <v>429</v>
      </c>
      <c r="RKD90" t="s">
        <v>143</v>
      </c>
      <c r="RKE90" t="s">
        <v>398</v>
      </c>
      <c r="RKF90">
        <v>1</v>
      </c>
      <c r="RKG90" t="s">
        <v>430</v>
      </c>
      <c r="RKH90" t="s">
        <v>431</v>
      </c>
      <c r="RKI90" t="s">
        <v>432</v>
      </c>
      <c r="RKK90" t="s">
        <v>429</v>
      </c>
      <c r="RKL90" t="s">
        <v>143</v>
      </c>
      <c r="RKM90" t="s">
        <v>398</v>
      </c>
      <c r="RKN90">
        <v>1</v>
      </c>
      <c r="RKO90" t="s">
        <v>430</v>
      </c>
      <c r="RKP90" t="s">
        <v>431</v>
      </c>
      <c r="RKQ90" t="s">
        <v>432</v>
      </c>
      <c r="RKS90" t="s">
        <v>429</v>
      </c>
      <c r="RKT90" t="s">
        <v>143</v>
      </c>
      <c r="RKU90" t="s">
        <v>398</v>
      </c>
      <c r="RKV90">
        <v>1</v>
      </c>
      <c r="RKW90" t="s">
        <v>430</v>
      </c>
      <c r="RKX90" t="s">
        <v>431</v>
      </c>
      <c r="RKY90" t="s">
        <v>432</v>
      </c>
      <c r="RLA90" t="s">
        <v>429</v>
      </c>
      <c r="RLB90" t="s">
        <v>143</v>
      </c>
      <c r="RLC90" t="s">
        <v>398</v>
      </c>
      <c r="RLD90">
        <v>1</v>
      </c>
      <c r="RLE90" t="s">
        <v>430</v>
      </c>
      <c r="RLF90" t="s">
        <v>431</v>
      </c>
      <c r="RLG90" t="s">
        <v>432</v>
      </c>
      <c r="RLI90" t="s">
        <v>429</v>
      </c>
      <c r="RLJ90" t="s">
        <v>143</v>
      </c>
      <c r="RLK90" t="s">
        <v>398</v>
      </c>
      <c r="RLL90">
        <v>1</v>
      </c>
      <c r="RLM90" t="s">
        <v>430</v>
      </c>
      <c r="RLN90" t="s">
        <v>431</v>
      </c>
      <c r="RLO90" t="s">
        <v>432</v>
      </c>
      <c r="RLQ90" t="s">
        <v>429</v>
      </c>
      <c r="RLR90" t="s">
        <v>143</v>
      </c>
      <c r="RLS90" t="s">
        <v>398</v>
      </c>
      <c r="RLT90">
        <v>1</v>
      </c>
      <c r="RLU90" t="s">
        <v>430</v>
      </c>
      <c r="RLV90" t="s">
        <v>431</v>
      </c>
      <c r="RLW90" t="s">
        <v>432</v>
      </c>
      <c r="RLY90" t="s">
        <v>429</v>
      </c>
      <c r="RLZ90" t="s">
        <v>143</v>
      </c>
      <c r="RMA90" t="s">
        <v>398</v>
      </c>
      <c r="RMB90">
        <v>1</v>
      </c>
      <c r="RMC90" t="s">
        <v>430</v>
      </c>
      <c r="RMD90" t="s">
        <v>431</v>
      </c>
      <c r="RME90" t="s">
        <v>432</v>
      </c>
      <c r="RMG90" t="s">
        <v>429</v>
      </c>
      <c r="RMH90" t="s">
        <v>143</v>
      </c>
      <c r="RMI90" t="s">
        <v>398</v>
      </c>
      <c r="RMJ90">
        <v>1</v>
      </c>
      <c r="RMK90" t="s">
        <v>430</v>
      </c>
      <c r="RML90" t="s">
        <v>431</v>
      </c>
      <c r="RMM90" t="s">
        <v>432</v>
      </c>
      <c r="RMO90" t="s">
        <v>429</v>
      </c>
      <c r="RMP90" t="s">
        <v>143</v>
      </c>
      <c r="RMQ90" t="s">
        <v>398</v>
      </c>
      <c r="RMR90">
        <v>1</v>
      </c>
      <c r="RMS90" t="s">
        <v>430</v>
      </c>
      <c r="RMT90" t="s">
        <v>431</v>
      </c>
      <c r="RMU90" t="s">
        <v>432</v>
      </c>
      <c r="RMW90" t="s">
        <v>429</v>
      </c>
      <c r="RMX90" t="s">
        <v>143</v>
      </c>
      <c r="RMY90" t="s">
        <v>398</v>
      </c>
      <c r="RMZ90">
        <v>1</v>
      </c>
      <c r="RNA90" t="s">
        <v>430</v>
      </c>
      <c r="RNB90" t="s">
        <v>431</v>
      </c>
      <c r="RNC90" t="s">
        <v>432</v>
      </c>
      <c r="RNE90" t="s">
        <v>429</v>
      </c>
      <c r="RNF90" t="s">
        <v>143</v>
      </c>
      <c r="RNG90" t="s">
        <v>398</v>
      </c>
      <c r="RNH90">
        <v>1</v>
      </c>
      <c r="RNI90" t="s">
        <v>430</v>
      </c>
      <c r="RNJ90" t="s">
        <v>431</v>
      </c>
      <c r="RNK90" t="s">
        <v>432</v>
      </c>
      <c r="RNM90" t="s">
        <v>429</v>
      </c>
      <c r="RNN90" t="s">
        <v>143</v>
      </c>
      <c r="RNO90" t="s">
        <v>398</v>
      </c>
      <c r="RNP90">
        <v>1</v>
      </c>
      <c r="RNQ90" t="s">
        <v>430</v>
      </c>
      <c r="RNR90" t="s">
        <v>431</v>
      </c>
      <c r="RNS90" t="s">
        <v>432</v>
      </c>
      <c r="RNU90" t="s">
        <v>429</v>
      </c>
      <c r="RNV90" t="s">
        <v>143</v>
      </c>
      <c r="RNW90" t="s">
        <v>398</v>
      </c>
      <c r="RNX90">
        <v>1</v>
      </c>
      <c r="RNY90" t="s">
        <v>430</v>
      </c>
      <c r="RNZ90" t="s">
        <v>431</v>
      </c>
      <c r="ROA90" t="s">
        <v>432</v>
      </c>
      <c r="ROC90" t="s">
        <v>429</v>
      </c>
      <c r="ROD90" t="s">
        <v>143</v>
      </c>
      <c r="ROE90" t="s">
        <v>398</v>
      </c>
      <c r="ROF90">
        <v>1</v>
      </c>
      <c r="ROG90" t="s">
        <v>430</v>
      </c>
      <c r="ROH90" t="s">
        <v>431</v>
      </c>
      <c r="ROI90" t="s">
        <v>432</v>
      </c>
      <c r="ROK90" t="s">
        <v>429</v>
      </c>
      <c r="ROL90" t="s">
        <v>143</v>
      </c>
      <c r="ROM90" t="s">
        <v>398</v>
      </c>
      <c r="RON90">
        <v>1</v>
      </c>
      <c r="ROO90" t="s">
        <v>430</v>
      </c>
      <c r="ROP90" t="s">
        <v>431</v>
      </c>
      <c r="ROQ90" t="s">
        <v>432</v>
      </c>
      <c r="ROS90" t="s">
        <v>429</v>
      </c>
      <c r="ROT90" t="s">
        <v>143</v>
      </c>
      <c r="ROU90" t="s">
        <v>398</v>
      </c>
      <c r="ROV90">
        <v>1</v>
      </c>
      <c r="ROW90" t="s">
        <v>430</v>
      </c>
      <c r="ROX90" t="s">
        <v>431</v>
      </c>
      <c r="ROY90" t="s">
        <v>432</v>
      </c>
      <c r="RPA90" t="s">
        <v>429</v>
      </c>
      <c r="RPB90" t="s">
        <v>143</v>
      </c>
      <c r="RPC90" t="s">
        <v>398</v>
      </c>
      <c r="RPD90">
        <v>1</v>
      </c>
      <c r="RPE90" t="s">
        <v>430</v>
      </c>
      <c r="RPF90" t="s">
        <v>431</v>
      </c>
      <c r="RPG90" t="s">
        <v>432</v>
      </c>
      <c r="RPI90" t="s">
        <v>429</v>
      </c>
      <c r="RPJ90" t="s">
        <v>143</v>
      </c>
      <c r="RPK90" t="s">
        <v>398</v>
      </c>
      <c r="RPL90">
        <v>1</v>
      </c>
      <c r="RPM90" t="s">
        <v>430</v>
      </c>
      <c r="RPN90" t="s">
        <v>431</v>
      </c>
      <c r="RPO90" t="s">
        <v>432</v>
      </c>
      <c r="RPQ90" t="s">
        <v>429</v>
      </c>
      <c r="RPR90" t="s">
        <v>143</v>
      </c>
      <c r="RPS90" t="s">
        <v>398</v>
      </c>
      <c r="RPT90">
        <v>1</v>
      </c>
      <c r="RPU90" t="s">
        <v>430</v>
      </c>
      <c r="RPV90" t="s">
        <v>431</v>
      </c>
      <c r="RPW90" t="s">
        <v>432</v>
      </c>
      <c r="RPY90" t="s">
        <v>429</v>
      </c>
      <c r="RPZ90" t="s">
        <v>143</v>
      </c>
      <c r="RQA90" t="s">
        <v>398</v>
      </c>
      <c r="RQB90">
        <v>1</v>
      </c>
      <c r="RQC90" t="s">
        <v>430</v>
      </c>
      <c r="RQD90" t="s">
        <v>431</v>
      </c>
      <c r="RQE90" t="s">
        <v>432</v>
      </c>
      <c r="RQG90" t="s">
        <v>429</v>
      </c>
      <c r="RQH90" t="s">
        <v>143</v>
      </c>
      <c r="RQI90" t="s">
        <v>398</v>
      </c>
      <c r="RQJ90">
        <v>1</v>
      </c>
      <c r="RQK90" t="s">
        <v>430</v>
      </c>
      <c r="RQL90" t="s">
        <v>431</v>
      </c>
      <c r="RQM90" t="s">
        <v>432</v>
      </c>
      <c r="RQO90" t="s">
        <v>429</v>
      </c>
      <c r="RQP90" t="s">
        <v>143</v>
      </c>
      <c r="RQQ90" t="s">
        <v>398</v>
      </c>
      <c r="RQR90">
        <v>1</v>
      </c>
      <c r="RQS90" t="s">
        <v>430</v>
      </c>
      <c r="RQT90" t="s">
        <v>431</v>
      </c>
      <c r="RQU90" t="s">
        <v>432</v>
      </c>
      <c r="RQW90" t="s">
        <v>429</v>
      </c>
      <c r="RQX90" t="s">
        <v>143</v>
      </c>
      <c r="RQY90" t="s">
        <v>398</v>
      </c>
      <c r="RQZ90">
        <v>1</v>
      </c>
      <c r="RRA90" t="s">
        <v>430</v>
      </c>
      <c r="RRB90" t="s">
        <v>431</v>
      </c>
      <c r="RRC90" t="s">
        <v>432</v>
      </c>
      <c r="RRE90" t="s">
        <v>429</v>
      </c>
      <c r="RRF90" t="s">
        <v>143</v>
      </c>
      <c r="RRG90" t="s">
        <v>398</v>
      </c>
      <c r="RRH90">
        <v>1</v>
      </c>
      <c r="RRI90" t="s">
        <v>430</v>
      </c>
      <c r="RRJ90" t="s">
        <v>431</v>
      </c>
      <c r="RRK90" t="s">
        <v>432</v>
      </c>
      <c r="RRM90" t="s">
        <v>429</v>
      </c>
      <c r="RRN90" t="s">
        <v>143</v>
      </c>
      <c r="RRO90" t="s">
        <v>398</v>
      </c>
      <c r="RRP90">
        <v>1</v>
      </c>
      <c r="RRQ90" t="s">
        <v>430</v>
      </c>
      <c r="RRR90" t="s">
        <v>431</v>
      </c>
      <c r="RRS90" t="s">
        <v>432</v>
      </c>
      <c r="RRU90" t="s">
        <v>429</v>
      </c>
      <c r="RRV90" t="s">
        <v>143</v>
      </c>
      <c r="RRW90" t="s">
        <v>398</v>
      </c>
      <c r="RRX90">
        <v>1</v>
      </c>
      <c r="RRY90" t="s">
        <v>430</v>
      </c>
      <c r="RRZ90" t="s">
        <v>431</v>
      </c>
      <c r="RSA90" t="s">
        <v>432</v>
      </c>
      <c r="RSC90" t="s">
        <v>429</v>
      </c>
      <c r="RSD90" t="s">
        <v>143</v>
      </c>
      <c r="RSE90" t="s">
        <v>398</v>
      </c>
      <c r="RSF90">
        <v>1</v>
      </c>
      <c r="RSG90" t="s">
        <v>430</v>
      </c>
      <c r="RSH90" t="s">
        <v>431</v>
      </c>
      <c r="RSI90" t="s">
        <v>432</v>
      </c>
      <c r="RSK90" t="s">
        <v>429</v>
      </c>
      <c r="RSL90" t="s">
        <v>143</v>
      </c>
      <c r="RSM90" t="s">
        <v>398</v>
      </c>
      <c r="RSN90">
        <v>1</v>
      </c>
      <c r="RSO90" t="s">
        <v>430</v>
      </c>
      <c r="RSP90" t="s">
        <v>431</v>
      </c>
      <c r="RSQ90" t="s">
        <v>432</v>
      </c>
      <c r="RSS90" t="s">
        <v>429</v>
      </c>
      <c r="RST90" t="s">
        <v>143</v>
      </c>
      <c r="RSU90" t="s">
        <v>398</v>
      </c>
      <c r="RSV90">
        <v>1</v>
      </c>
      <c r="RSW90" t="s">
        <v>430</v>
      </c>
      <c r="RSX90" t="s">
        <v>431</v>
      </c>
      <c r="RSY90" t="s">
        <v>432</v>
      </c>
      <c r="RTA90" t="s">
        <v>429</v>
      </c>
      <c r="RTB90" t="s">
        <v>143</v>
      </c>
      <c r="RTC90" t="s">
        <v>398</v>
      </c>
      <c r="RTD90">
        <v>1</v>
      </c>
      <c r="RTE90" t="s">
        <v>430</v>
      </c>
      <c r="RTF90" t="s">
        <v>431</v>
      </c>
      <c r="RTG90" t="s">
        <v>432</v>
      </c>
      <c r="RTI90" t="s">
        <v>429</v>
      </c>
      <c r="RTJ90" t="s">
        <v>143</v>
      </c>
      <c r="RTK90" t="s">
        <v>398</v>
      </c>
      <c r="RTL90">
        <v>1</v>
      </c>
      <c r="RTM90" t="s">
        <v>430</v>
      </c>
      <c r="RTN90" t="s">
        <v>431</v>
      </c>
      <c r="RTO90" t="s">
        <v>432</v>
      </c>
      <c r="RTQ90" t="s">
        <v>429</v>
      </c>
      <c r="RTR90" t="s">
        <v>143</v>
      </c>
      <c r="RTS90" t="s">
        <v>398</v>
      </c>
      <c r="RTT90">
        <v>1</v>
      </c>
      <c r="RTU90" t="s">
        <v>430</v>
      </c>
      <c r="RTV90" t="s">
        <v>431</v>
      </c>
      <c r="RTW90" t="s">
        <v>432</v>
      </c>
      <c r="RTY90" t="s">
        <v>429</v>
      </c>
      <c r="RTZ90" t="s">
        <v>143</v>
      </c>
      <c r="RUA90" t="s">
        <v>398</v>
      </c>
      <c r="RUB90">
        <v>1</v>
      </c>
      <c r="RUC90" t="s">
        <v>430</v>
      </c>
      <c r="RUD90" t="s">
        <v>431</v>
      </c>
      <c r="RUE90" t="s">
        <v>432</v>
      </c>
      <c r="RUG90" t="s">
        <v>429</v>
      </c>
      <c r="RUH90" t="s">
        <v>143</v>
      </c>
      <c r="RUI90" t="s">
        <v>398</v>
      </c>
      <c r="RUJ90">
        <v>1</v>
      </c>
      <c r="RUK90" t="s">
        <v>430</v>
      </c>
      <c r="RUL90" t="s">
        <v>431</v>
      </c>
      <c r="RUM90" t="s">
        <v>432</v>
      </c>
      <c r="RUO90" t="s">
        <v>429</v>
      </c>
      <c r="RUP90" t="s">
        <v>143</v>
      </c>
      <c r="RUQ90" t="s">
        <v>398</v>
      </c>
      <c r="RUR90">
        <v>1</v>
      </c>
      <c r="RUS90" t="s">
        <v>430</v>
      </c>
      <c r="RUT90" t="s">
        <v>431</v>
      </c>
      <c r="RUU90" t="s">
        <v>432</v>
      </c>
      <c r="RUW90" t="s">
        <v>429</v>
      </c>
      <c r="RUX90" t="s">
        <v>143</v>
      </c>
      <c r="RUY90" t="s">
        <v>398</v>
      </c>
      <c r="RUZ90">
        <v>1</v>
      </c>
      <c r="RVA90" t="s">
        <v>430</v>
      </c>
      <c r="RVB90" t="s">
        <v>431</v>
      </c>
      <c r="RVC90" t="s">
        <v>432</v>
      </c>
      <c r="RVE90" t="s">
        <v>429</v>
      </c>
      <c r="RVF90" t="s">
        <v>143</v>
      </c>
      <c r="RVG90" t="s">
        <v>398</v>
      </c>
      <c r="RVH90">
        <v>1</v>
      </c>
      <c r="RVI90" t="s">
        <v>430</v>
      </c>
      <c r="RVJ90" t="s">
        <v>431</v>
      </c>
      <c r="RVK90" t="s">
        <v>432</v>
      </c>
      <c r="RVM90" t="s">
        <v>429</v>
      </c>
      <c r="RVN90" t="s">
        <v>143</v>
      </c>
      <c r="RVO90" t="s">
        <v>398</v>
      </c>
      <c r="RVP90">
        <v>1</v>
      </c>
      <c r="RVQ90" t="s">
        <v>430</v>
      </c>
      <c r="RVR90" t="s">
        <v>431</v>
      </c>
      <c r="RVS90" t="s">
        <v>432</v>
      </c>
      <c r="RVU90" t="s">
        <v>429</v>
      </c>
      <c r="RVV90" t="s">
        <v>143</v>
      </c>
      <c r="RVW90" t="s">
        <v>398</v>
      </c>
      <c r="RVX90">
        <v>1</v>
      </c>
      <c r="RVY90" t="s">
        <v>430</v>
      </c>
      <c r="RVZ90" t="s">
        <v>431</v>
      </c>
      <c r="RWA90" t="s">
        <v>432</v>
      </c>
      <c r="RWC90" t="s">
        <v>429</v>
      </c>
      <c r="RWD90" t="s">
        <v>143</v>
      </c>
      <c r="RWE90" t="s">
        <v>398</v>
      </c>
      <c r="RWF90">
        <v>1</v>
      </c>
      <c r="RWG90" t="s">
        <v>430</v>
      </c>
      <c r="RWH90" t="s">
        <v>431</v>
      </c>
      <c r="RWI90" t="s">
        <v>432</v>
      </c>
      <c r="RWK90" t="s">
        <v>429</v>
      </c>
      <c r="RWL90" t="s">
        <v>143</v>
      </c>
      <c r="RWM90" t="s">
        <v>398</v>
      </c>
      <c r="RWN90">
        <v>1</v>
      </c>
      <c r="RWO90" t="s">
        <v>430</v>
      </c>
      <c r="RWP90" t="s">
        <v>431</v>
      </c>
      <c r="RWQ90" t="s">
        <v>432</v>
      </c>
      <c r="RWS90" t="s">
        <v>429</v>
      </c>
      <c r="RWT90" t="s">
        <v>143</v>
      </c>
      <c r="RWU90" t="s">
        <v>398</v>
      </c>
      <c r="RWV90">
        <v>1</v>
      </c>
      <c r="RWW90" t="s">
        <v>430</v>
      </c>
      <c r="RWX90" t="s">
        <v>431</v>
      </c>
      <c r="RWY90" t="s">
        <v>432</v>
      </c>
      <c r="RXA90" t="s">
        <v>429</v>
      </c>
      <c r="RXB90" t="s">
        <v>143</v>
      </c>
      <c r="RXC90" t="s">
        <v>398</v>
      </c>
      <c r="RXD90">
        <v>1</v>
      </c>
      <c r="RXE90" t="s">
        <v>430</v>
      </c>
      <c r="RXF90" t="s">
        <v>431</v>
      </c>
      <c r="RXG90" t="s">
        <v>432</v>
      </c>
      <c r="RXI90" t="s">
        <v>429</v>
      </c>
      <c r="RXJ90" t="s">
        <v>143</v>
      </c>
      <c r="RXK90" t="s">
        <v>398</v>
      </c>
      <c r="RXL90">
        <v>1</v>
      </c>
      <c r="RXM90" t="s">
        <v>430</v>
      </c>
      <c r="RXN90" t="s">
        <v>431</v>
      </c>
      <c r="RXO90" t="s">
        <v>432</v>
      </c>
      <c r="RXQ90" t="s">
        <v>429</v>
      </c>
      <c r="RXR90" t="s">
        <v>143</v>
      </c>
      <c r="RXS90" t="s">
        <v>398</v>
      </c>
      <c r="RXT90">
        <v>1</v>
      </c>
      <c r="RXU90" t="s">
        <v>430</v>
      </c>
      <c r="RXV90" t="s">
        <v>431</v>
      </c>
      <c r="RXW90" t="s">
        <v>432</v>
      </c>
      <c r="RXY90" t="s">
        <v>429</v>
      </c>
      <c r="RXZ90" t="s">
        <v>143</v>
      </c>
      <c r="RYA90" t="s">
        <v>398</v>
      </c>
      <c r="RYB90">
        <v>1</v>
      </c>
      <c r="RYC90" t="s">
        <v>430</v>
      </c>
      <c r="RYD90" t="s">
        <v>431</v>
      </c>
      <c r="RYE90" t="s">
        <v>432</v>
      </c>
      <c r="RYG90" t="s">
        <v>429</v>
      </c>
      <c r="RYH90" t="s">
        <v>143</v>
      </c>
      <c r="RYI90" t="s">
        <v>398</v>
      </c>
      <c r="RYJ90">
        <v>1</v>
      </c>
      <c r="RYK90" t="s">
        <v>430</v>
      </c>
      <c r="RYL90" t="s">
        <v>431</v>
      </c>
      <c r="RYM90" t="s">
        <v>432</v>
      </c>
      <c r="RYO90" t="s">
        <v>429</v>
      </c>
      <c r="RYP90" t="s">
        <v>143</v>
      </c>
      <c r="RYQ90" t="s">
        <v>398</v>
      </c>
      <c r="RYR90">
        <v>1</v>
      </c>
      <c r="RYS90" t="s">
        <v>430</v>
      </c>
      <c r="RYT90" t="s">
        <v>431</v>
      </c>
      <c r="RYU90" t="s">
        <v>432</v>
      </c>
      <c r="RYW90" t="s">
        <v>429</v>
      </c>
      <c r="RYX90" t="s">
        <v>143</v>
      </c>
      <c r="RYY90" t="s">
        <v>398</v>
      </c>
      <c r="RYZ90">
        <v>1</v>
      </c>
      <c r="RZA90" t="s">
        <v>430</v>
      </c>
      <c r="RZB90" t="s">
        <v>431</v>
      </c>
      <c r="RZC90" t="s">
        <v>432</v>
      </c>
      <c r="RZE90" t="s">
        <v>429</v>
      </c>
      <c r="RZF90" t="s">
        <v>143</v>
      </c>
      <c r="RZG90" t="s">
        <v>398</v>
      </c>
      <c r="RZH90">
        <v>1</v>
      </c>
      <c r="RZI90" t="s">
        <v>430</v>
      </c>
      <c r="RZJ90" t="s">
        <v>431</v>
      </c>
      <c r="RZK90" t="s">
        <v>432</v>
      </c>
      <c r="RZM90" t="s">
        <v>429</v>
      </c>
      <c r="RZN90" t="s">
        <v>143</v>
      </c>
      <c r="RZO90" t="s">
        <v>398</v>
      </c>
      <c r="RZP90">
        <v>1</v>
      </c>
      <c r="RZQ90" t="s">
        <v>430</v>
      </c>
      <c r="RZR90" t="s">
        <v>431</v>
      </c>
      <c r="RZS90" t="s">
        <v>432</v>
      </c>
      <c r="RZU90" t="s">
        <v>429</v>
      </c>
      <c r="RZV90" t="s">
        <v>143</v>
      </c>
      <c r="RZW90" t="s">
        <v>398</v>
      </c>
      <c r="RZX90">
        <v>1</v>
      </c>
      <c r="RZY90" t="s">
        <v>430</v>
      </c>
      <c r="RZZ90" t="s">
        <v>431</v>
      </c>
      <c r="SAA90" t="s">
        <v>432</v>
      </c>
      <c r="SAC90" t="s">
        <v>429</v>
      </c>
      <c r="SAD90" t="s">
        <v>143</v>
      </c>
      <c r="SAE90" t="s">
        <v>398</v>
      </c>
      <c r="SAF90">
        <v>1</v>
      </c>
      <c r="SAG90" t="s">
        <v>430</v>
      </c>
      <c r="SAH90" t="s">
        <v>431</v>
      </c>
      <c r="SAI90" t="s">
        <v>432</v>
      </c>
      <c r="SAK90" t="s">
        <v>429</v>
      </c>
      <c r="SAL90" t="s">
        <v>143</v>
      </c>
      <c r="SAM90" t="s">
        <v>398</v>
      </c>
      <c r="SAN90">
        <v>1</v>
      </c>
      <c r="SAO90" t="s">
        <v>430</v>
      </c>
      <c r="SAP90" t="s">
        <v>431</v>
      </c>
      <c r="SAQ90" t="s">
        <v>432</v>
      </c>
      <c r="SAS90" t="s">
        <v>429</v>
      </c>
      <c r="SAT90" t="s">
        <v>143</v>
      </c>
      <c r="SAU90" t="s">
        <v>398</v>
      </c>
      <c r="SAV90">
        <v>1</v>
      </c>
      <c r="SAW90" t="s">
        <v>430</v>
      </c>
      <c r="SAX90" t="s">
        <v>431</v>
      </c>
      <c r="SAY90" t="s">
        <v>432</v>
      </c>
      <c r="SBA90" t="s">
        <v>429</v>
      </c>
      <c r="SBB90" t="s">
        <v>143</v>
      </c>
      <c r="SBC90" t="s">
        <v>398</v>
      </c>
      <c r="SBD90">
        <v>1</v>
      </c>
      <c r="SBE90" t="s">
        <v>430</v>
      </c>
      <c r="SBF90" t="s">
        <v>431</v>
      </c>
      <c r="SBG90" t="s">
        <v>432</v>
      </c>
      <c r="SBI90" t="s">
        <v>429</v>
      </c>
      <c r="SBJ90" t="s">
        <v>143</v>
      </c>
      <c r="SBK90" t="s">
        <v>398</v>
      </c>
      <c r="SBL90">
        <v>1</v>
      </c>
      <c r="SBM90" t="s">
        <v>430</v>
      </c>
      <c r="SBN90" t="s">
        <v>431</v>
      </c>
      <c r="SBO90" t="s">
        <v>432</v>
      </c>
      <c r="SBQ90" t="s">
        <v>429</v>
      </c>
      <c r="SBR90" t="s">
        <v>143</v>
      </c>
      <c r="SBS90" t="s">
        <v>398</v>
      </c>
      <c r="SBT90">
        <v>1</v>
      </c>
      <c r="SBU90" t="s">
        <v>430</v>
      </c>
      <c r="SBV90" t="s">
        <v>431</v>
      </c>
      <c r="SBW90" t="s">
        <v>432</v>
      </c>
      <c r="SBY90" t="s">
        <v>429</v>
      </c>
      <c r="SBZ90" t="s">
        <v>143</v>
      </c>
      <c r="SCA90" t="s">
        <v>398</v>
      </c>
      <c r="SCB90">
        <v>1</v>
      </c>
      <c r="SCC90" t="s">
        <v>430</v>
      </c>
      <c r="SCD90" t="s">
        <v>431</v>
      </c>
      <c r="SCE90" t="s">
        <v>432</v>
      </c>
      <c r="SCG90" t="s">
        <v>429</v>
      </c>
      <c r="SCH90" t="s">
        <v>143</v>
      </c>
      <c r="SCI90" t="s">
        <v>398</v>
      </c>
      <c r="SCJ90">
        <v>1</v>
      </c>
      <c r="SCK90" t="s">
        <v>430</v>
      </c>
      <c r="SCL90" t="s">
        <v>431</v>
      </c>
      <c r="SCM90" t="s">
        <v>432</v>
      </c>
      <c r="SCO90" t="s">
        <v>429</v>
      </c>
      <c r="SCP90" t="s">
        <v>143</v>
      </c>
      <c r="SCQ90" t="s">
        <v>398</v>
      </c>
      <c r="SCR90">
        <v>1</v>
      </c>
      <c r="SCS90" t="s">
        <v>430</v>
      </c>
      <c r="SCT90" t="s">
        <v>431</v>
      </c>
      <c r="SCU90" t="s">
        <v>432</v>
      </c>
      <c r="SCW90" t="s">
        <v>429</v>
      </c>
      <c r="SCX90" t="s">
        <v>143</v>
      </c>
      <c r="SCY90" t="s">
        <v>398</v>
      </c>
      <c r="SCZ90">
        <v>1</v>
      </c>
      <c r="SDA90" t="s">
        <v>430</v>
      </c>
      <c r="SDB90" t="s">
        <v>431</v>
      </c>
      <c r="SDC90" t="s">
        <v>432</v>
      </c>
      <c r="SDE90" t="s">
        <v>429</v>
      </c>
      <c r="SDF90" t="s">
        <v>143</v>
      </c>
      <c r="SDG90" t="s">
        <v>398</v>
      </c>
      <c r="SDH90">
        <v>1</v>
      </c>
      <c r="SDI90" t="s">
        <v>430</v>
      </c>
      <c r="SDJ90" t="s">
        <v>431</v>
      </c>
      <c r="SDK90" t="s">
        <v>432</v>
      </c>
      <c r="SDM90" t="s">
        <v>429</v>
      </c>
      <c r="SDN90" t="s">
        <v>143</v>
      </c>
      <c r="SDO90" t="s">
        <v>398</v>
      </c>
      <c r="SDP90">
        <v>1</v>
      </c>
      <c r="SDQ90" t="s">
        <v>430</v>
      </c>
      <c r="SDR90" t="s">
        <v>431</v>
      </c>
      <c r="SDS90" t="s">
        <v>432</v>
      </c>
      <c r="SDU90" t="s">
        <v>429</v>
      </c>
      <c r="SDV90" t="s">
        <v>143</v>
      </c>
      <c r="SDW90" t="s">
        <v>398</v>
      </c>
      <c r="SDX90">
        <v>1</v>
      </c>
      <c r="SDY90" t="s">
        <v>430</v>
      </c>
      <c r="SDZ90" t="s">
        <v>431</v>
      </c>
      <c r="SEA90" t="s">
        <v>432</v>
      </c>
      <c r="SEC90" t="s">
        <v>429</v>
      </c>
      <c r="SED90" t="s">
        <v>143</v>
      </c>
      <c r="SEE90" t="s">
        <v>398</v>
      </c>
      <c r="SEF90">
        <v>1</v>
      </c>
      <c r="SEG90" t="s">
        <v>430</v>
      </c>
      <c r="SEH90" t="s">
        <v>431</v>
      </c>
      <c r="SEI90" t="s">
        <v>432</v>
      </c>
      <c r="SEK90" t="s">
        <v>429</v>
      </c>
      <c r="SEL90" t="s">
        <v>143</v>
      </c>
      <c r="SEM90" t="s">
        <v>398</v>
      </c>
      <c r="SEN90">
        <v>1</v>
      </c>
      <c r="SEO90" t="s">
        <v>430</v>
      </c>
      <c r="SEP90" t="s">
        <v>431</v>
      </c>
      <c r="SEQ90" t="s">
        <v>432</v>
      </c>
      <c r="SES90" t="s">
        <v>429</v>
      </c>
      <c r="SET90" t="s">
        <v>143</v>
      </c>
      <c r="SEU90" t="s">
        <v>398</v>
      </c>
      <c r="SEV90">
        <v>1</v>
      </c>
      <c r="SEW90" t="s">
        <v>430</v>
      </c>
      <c r="SEX90" t="s">
        <v>431</v>
      </c>
      <c r="SEY90" t="s">
        <v>432</v>
      </c>
      <c r="SFA90" t="s">
        <v>429</v>
      </c>
      <c r="SFB90" t="s">
        <v>143</v>
      </c>
      <c r="SFC90" t="s">
        <v>398</v>
      </c>
      <c r="SFD90">
        <v>1</v>
      </c>
      <c r="SFE90" t="s">
        <v>430</v>
      </c>
      <c r="SFF90" t="s">
        <v>431</v>
      </c>
      <c r="SFG90" t="s">
        <v>432</v>
      </c>
      <c r="SFI90" t="s">
        <v>429</v>
      </c>
      <c r="SFJ90" t="s">
        <v>143</v>
      </c>
      <c r="SFK90" t="s">
        <v>398</v>
      </c>
      <c r="SFL90">
        <v>1</v>
      </c>
      <c r="SFM90" t="s">
        <v>430</v>
      </c>
      <c r="SFN90" t="s">
        <v>431</v>
      </c>
      <c r="SFO90" t="s">
        <v>432</v>
      </c>
      <c r="SFQ90" t="s">
        <v>429</v>
      </c>
      <c r="SFR90" t="s">
        <v>143</v>
      </c>
      <c r="SFS90" t="s">
        <v>398</v>
      </c>
      <c r="SFT90">
        <v>1</v>
      </c>
      <c r="SFU90" t="s">
        <v>430</v>
      </c>
      <c r="SFV90" t="s">
        <v>431</v>
      </c>
      <c r="SFW90" t="s">
        <v>432</v>
      </c>
      <c r="SFY90" t="s">
        <v>429</v>
      </c>
      <c r="SFZ90" t="s">
        <v>143</v>
      </c>
      <c r="SGA90" t="s">
        <v>398</v>
      </c>
      <c r="SGB90">
        <v>1</v>
      </c>
      <c r="SGC90" t="s">
        <v>430</v>
      </c>
      <c r="SGD90" t="s">
        <v>431</v>
      </c>
      <c r="SGE90" t="s">
        <v>432</v>
      </c>
      <c r="SGG90" t="s">
        <v>429</v>
      </c>
      <c r="SGH90" t="s">
        <v>143</v>
      </c>
      <c r="SGI90" t="s">
        <v>398</v>
      </c>
      <c r="SGJ90">
        <v>1</v>
      </c>
      <c r="SGK90" t="s">
        <v>430</v>
      </c>
      <c r="SGL90" t="s">
        <v>431</v>
      </c>
      <c r="SGM90" t="s">
        <v>432</v>
      </c>
      <c r="SGO90" t="s">
        <v>429</v>
      </c>
      <c r="SGP90" t="s">
        <v>143</v>
      </c>
      <c r="SGQ90" t="s">
        <v>398</v>
      </c>
      <c r="SGR90">
        <v>1</v>
      </c>
      <c r="SGS90" t="s">
        <v>430</v>
      </c>
      <c r="SGT90" t="s">
        <v>431</v>
      </c>
      <c r="SGU90" t="s">
        <v>432</v>
      </c>
      <c r="SGW90" t="s">
        <v>429</v>
      </c>
      <c r="SGX90" t="s">
        <v>143</v>
      </c>
      <c r="SGY90" t="s">
        <v>398</v>
      </c>
      <c r="SGZ90">
        <v>1</v>
      </c>
      <c r="SHA90" t="s">
        <v>430</v>
      </c>
      <c r="SHB90" t="s">
        <v>431</v>
      </c>
      <c r="SHC90" t="s">
        <v>432</v>
      </c>
      <c r="SHE90" t="s">
        <v>429</v>
      </c>
      <c r="SHF90" t="s">
        <v>143</v>
      </c>
      <c r="SHG90" t="s">
        <v>398</v>
      </c>
      <c r="SHH90">
        <v>1</v>
      </c>
      <c r="SHI90" t="s">
        <v>430</v>
      </c>
      <c r="SHJ90" t="s">
        <v>431</v>
      </c>
      <c r="SHK90" t="s">
        <v>432</v>
      </c>
      <c r="SHM90" t="s">
        <v>429</v>
      </c>
      <c r="SHN90" t="s">
        <v>143</v>
      </c>
      <c r="SHO90" t="s">
        <v>398</v>
      </c>
      <c r="SHP90">
        <v>1</v>
      </c>
      <c r="SHQ90" t="s">
        <v>430</v>
      </c>
      <c r="SHR90" t="s">
        <v>431</v>
      </c>
      <c r="SHS90" t="s">
        <v>432</v>
      </c>
      <c r="SHU90" t="s">
        <v>429</v>
      </c>
      <c r="SHV90" t="s">
        <v>143</v>
      </c>
      <c r="SHW90" t="s">
        <v>398</v>
      </c>
      <c r="SHX90">
        <v>1</v>
      </c>
      <c r="SHY90" t="s">
        <v>430</v>
      </c>
      <c r="SHZ90" t="s">
        <v>431</v>
      </c>
      <c r="SIA90" t="s">
        <v>432</v>
      </c>
      <c r="SIC90" t="s">
        <v>429</v>
      </c>
      <c r="SID90" t="s">
        <v>143</v>
      </c>
      <c r="SIE90" t="s">
        <v>398</v>
      </c>
      <c r="SIF90">
        <v>1</v>
      </c>
      <c r="SIG90" t="s">
        <v>430</v>
      </c>
      <c r="SIH90" t="s">
        <v>431</v>
      </c>
      <c r="SII90" t="s">
        <v>432</v>
      </c>
      <c r="SIK90" t="s">
        <v>429</v>
      </c>
      <c r="SIL90" t="s">
        <v>143</v>
      </c>
      <c r="SIM90" t="s">
        <v>398</v>
      </c>
      <c r="SIN90">
        <v>1</v>
      </c>
      <c r="SIO90" t="s">
        <v>430</v>
      </c>
      <c r="SIP90" t="s">
        <v>431</v>
      </c>
      <c r="SIQ90" t="s">
        <v>432</v>
      </c>
      <c r="SIS90" t="s">
        <v>429</v>
      </c>
      <c r="SIT90" t="s">
        <v>143</v>
      </c>
      <c r="SIU90" t="s">
        <v>398</v>
      </c>
      <c r="SIV90">
        <v>1</v>
      </c>
      <c r="SIW90" t="s">
        <v>430</v>
      </c>
      <c r="SIX90" t="s">
        <v>431</v>
      </c>
      <c r="SIY90" t="s">
        <v>432</v>
      </c>
      <c r="SJA90" t="s">
        <v>429</v>
      </c>
      <c r="SJB90" t="s">
        <v>143</v>
      </c>
      <c r="SJC90" t="s">
        <v>398</v>
      </c>
      <c r="SJD90">
        <v>1</v>
      </c>
      <c r="SJE90" t="s">
        <v>430</v>
      </c>
      <c r="SJF90" t="s">
        <v>431</v>
      </c>
      <c r="SJG90" t="s">
        <v>432</v>
      </c>
      <c r="SJI90" t="s">
        <v>429</v>
      </c>
      <c r="SJJ90" t="s">
        <v>143</v>
      </c>
      <c r="SJK90" t="s">
        <v>398</v>
      </c>
      <c r="SJL90">
        <v>1</v>
      </c>
      <c r="SJM90" t="s">
        <v>430</v>
      </c>
      <c r="SJN90" t="s">
        <v>431</v>
      </c>
      <c r="SJO90" t="s">
        <v>432</v>
      </c>
      <c r="SJQ90" t="s">
        <v>429</v>
      </c>
      <c r="SJR90" t="s">
        <v>143</v>
      </c>
      <c r="SJS90" t="s">
        <v>398</v>
      </c>
      <c r="SJT90">
        <v>1</v>
      </c>
      <c r="SJU90" t="s">
        <v>430</v>
      </c>
      <c r="SJV90" t="s">
        <v>431</v>
      </c>
      <c r="SJW90" t="s">
        <v>432</v>
      </c>
      <c r="SJY90" t="s">
        <v>429</v>
      </c>
      <c r="SJZ90" t="s">
        <v>143</v>
      </c>
      <c r="SKA90" t="s">
        <v>398</v>
      </c>
      <c r="SKB90">
        <v>1</v>
      </c>
      <c r="SKC90" t="s">
        <v>430</v>
      </c>
      <c r="SKD90" t="s">
        <v>431</v>
      </c>
      <c r="SKE90" t="s">
        <v>432</v>
      </c>
      <c r="SKG90" t="s">
        <v>429</v>
      </c>
      <c r="SKH90" t="s">
        <v>143</v>
      </c>
      <c r="SKI90" t="s">
        <v>398</v>
      </c>
      <c r="SKJ90">
        <v>1</v>
      </c>
      <c r="SKK90" t="s">
        <v>430</v>
      </c>
      <c r="SKL90" t="s">
        <v>431</v>
      </c>
      <c r="SKM90" t="s">
        <v>432</v>
      </c>
      <c r="SKO90" t="s">
        <v>429</v>
      </c>
      <c r="SKP90" t="s">
        <v>143</v>
      </c>
      <c r="SKQ90" t="s">
        <v>398</v>
      </c>
      <c r="SKR90">
        <v>1</v>
      </c>
      <c r="SKS90" t="s">
        <v>430</v>
      </c>
      <c r="SKT90" t="s">
        <v>431</v>
      </c>
      <c r="SKU90" t="s">
        <v>432</v>
      </c>
      <c r="SKW90" t="s">
        <v>429</v>
      </c>
      <c r="SKX90" t="s">
        <v>143</v>
      </c>
      <c r="SKY90" t="s">
        <v>398</v>
      </c>
      <c r="SKZ90">
        <v>1</v>
      </c>
      <c r="SLA90" t="s">
        <v>430</v>
      </c>
      <c r="SLB90" t="s">
        <v>431</v>
      </c>
      <c r="SLC90" t="s">
        <v>432</v>
      </c>
      <c r="SLE90" t="s">
        <v>429</v>
      </c>
      <c r="SLF90" t="s">
        <v>143</v>
      </c>
      <c r="SLG90" t="s">
        <v>398</v>
      </c>
      <c r="SLH90">
        <v>1</v>
      </c>
      <c r="SLI90" t="s">
        <v>430</v>
      </c>
      <c r="SLJ90" t="s">
        <v>431</v>
      </c>
      <c r="SLK90" t="s">
        <v>432</v>
      </c>
      <c r="SLM90" t="s">
        <v>429</v>
      </c>
      <c r="SLN90" t="s">
        <v>143</v>
      </c>
      <c r="SLO90" t="s">
        <v>398</v>
      </c>
      <c r="SLP90">
        <v>1</v>
      </c>
      <c r="SLQ90" t="s">
        <v>430</v>
      </c>
      <c r="SLR90" t="s">
        <v>431</v>
      </c>
      <c r="SLS90" t="s">
        <v>432</v>
      </c>
      <c r="SLU90" t="s">
        <v>429</v>
      </c>
      <c r="SLV90" t="s">
        <v>143</v>
      </c>
      <c r="SLW90" t="s">
        <v>398</v>
      </c>
      <c r="SLX90">
        <v>1</v>
      </c>
      <c r="SLY90" t="s">
        <v>430</v>
      </c>
      <c r="SLZ90" t="s">
        <v>431</v>
      </c>
      <c r="SMA90" t="s">
        <v>432</v>
      </c>
      <c r="SMC90" t="s">
        <v>429</v>
      </c>
      <c r="SMD90" t="s">
        <v>143</v>
      </c>
      <c r="SME90" t="s">
        <v>398</v>
      </c>
      <c r="SMF90">
        <v>1</v>
      </c>
      <c r="SMG90" t="s">
        <v>430</v>
      </c>
      <c r="SMH90" t="s">
        <v>431</v>
      </c>
      <c r="SMI90" t="s">
        <v>432</v>
      </c>
      <c r="SMK90" t="s">
        <v>429</v>
      </c>
      <c r="SML90" t="s">
        <v>143</v>
      </c>
      <c r="SMM90" t="s">
        <v>398</v>
      </c>
      <c r="SMN90">
        <v>1</v>
      </c>
      <c r="SMO90" t="s">
        <v>430</v>
      </c>
      <c r="SMP90" t="s">
        <v>431</v>
      </c>
      <c r="SMQ90" t="s">
        <v>432</v>
      </c>
      <c r="SMS90" t="s">
        <v>429</v>
      </c>
      <c r="SMT90" t="s">
        <v>143</v>
      </c>
      <c r="SMU90" t="s">
        <v>398</v>
      </c>
      <c r="SMV90">
        <v>1</v>
      </c>
      <c r="SMW90" t="s">
        <v>430</v>
      </c>
      <c r="SMX90" t="s">
        <v>431</v>
      </c>
      <c r="SMY90" t="s">
        <v>432</v>
      </c>
      <c r="SNA90" t="s">
        <v>429</v>
      </c>
      <c r="SNB90" t="s">
        <v>143</v>
      </c>
      <c r="SNC90" t="s">
        <v>398</v>
      </c>
      <c r="SND90">
        <v>1</v>
      </c>
      <c r="SNE90" t="s">
        <v>430</v>
      </c>
      <c r="SNF90" t="s">
        <v>431</v>
      </c>
      <c r="SNG90" t="s">
        <v>432</v>
      </c>
      <c r="SNI90" t="s">
        <v>429</v>
      </c>
      <c r="SNJ90" t="s">
        <v>143</v>
      </c>
      <c r="SNK90" t="s">
        <v>398</v>
      </c>
      <c r="SNL90">
        <v>1</v>
      </c>
      <c r="SNM90" t="s">
        <v>430</v>
      </c>
      <c r="SNN90" t="s">
        <v>431</v>
      </c>
      <c r="SNO90" t="s">
        <v>432</v>
      </c>
      <c r="SNQ90" t="s">
        <v>429</v>
      </c>
      <c r="SNR90" t="s">
        <v>143</v>
      </c>
      <c r="SNS90" t="s">
        <v>398</v>
      </c>
      <c r="SNT90">
        <v>1</v>
      </c>
      <c r="SNU90" t="s">
        <v>430</v>
      </c>
      <c r="SNV90" t="s">
        <v>431</v>
      </c>
      <c r="SNW90" t="s">
        <v>432</v>
      </c>
      <c r="SNY90" t="s">
        <v>429</v>
      </c>
      <c r="SNZ90" t="s">
        <v>143</v>
      </c>
      <c r="SOA90" t="s">
        <v>398</v>
      </c>
      <c r="SOB90">
        <v>1</v>
      </c>
      <c r="SOC90" t="s">
        <v>430</v>
      </c>
      <c r="SOD90" t="s">
        <v>431</v>
      </c>
      <c r="SOE90" t="s">
        <v>432</v>
      </c>
      <c r="SOG90" t="s">
        <v>429</v>
      </c>
      <c r="SOH90" t="s">
        <v>143</v>
      </c>
      <c r="SOI90" t="s">
        <v>398</v>
      </c>
      <c r="SOJ90">
        <v>1</v>
      </c>
      <c r="SOK90" t="s">
        <v>430</v>
      </c>
      <c r="SOL90" t="s">
        <v>431</v>
      </c>
      <c r="SOM90" t="s">
        <v>432</v>
      </c>
      <c r="SOO90" t="s">
        <v>429</v>
      </c>
      <c r="SOP90" t="s">
        <v>143</v>
      </c>
      <c r="SOQ90" t="s">
        <v>398</v>
      </c>
      <c r="SOR90">
        <v>1</v>
      </c>
      <c r="SOS90" t="s">
        <v>430</v>
      </c>
      <c r="SOT90" t="s">
        <v>431</v>
      </c>
      <c r="SOU90" t="s">
        <v>432</v>
      </c>
      <c r="SOW90" t="s">
        <v>429</v>
      </c>
      <c r="SOX90" t="s">
        <v>143</v>
      </c>
      <c r="SOY90" t="s">
        <v>398</v>
      </c>
      <c r="SOZ90">
        <v>1</v>
      </c>
      <c r="SPA90" t="s">
        <v>430</v>
      </c>
      <c r="SPB90" t="s">
        <v>431</v>
      </c>
      <c r="SPC90" t="s">
        <v>432</v>
      </c>
      <c r="SPE90" t="s">
        <v>429</v>
      </c>
      <c r="SPF90" t="s">
        <v>143</v>
      </c>
      <c r="SPG90" t="s">
        <v>398</v>
      </c>
      <c r="SPH90">
        <v>1</v>
      </c>
      <c r="SPI90" t="s">
        <v>430</v>
      </c>
      <c r="SPJ90" t="s">
        <v>431</v>
      </c>
      <c r="SPK90" t="s">
        <v>432</v>
      </c>
      <c r="SPM90" t="s">
        <v>429</v>
      </c>
      <c r="SPN90" t="s">
        <v>143</v>
      </c>
      <c r="SPO90" t="s">
        <v>398</v>
      </c>
      <c r="SPP90">
        <v>1</v>
      </c>
      <c r="SPQ90" t="s">
        <v>430</v>
      </c>
      <c r="SPR90" t="s">
        <v>431</v>
      </c>
      <c r="SPS90" t="s">
        <v>432</v>
      </c>
      <c r="SPU90" t="s">
        <v>429</v>
      </c>
      <c r="SPV90" t="s">
        <v>143</v>
      </c>
      <c r="SPW90" t="s">
        <v>398</v>
      </c>
      <c r="SPX90">
        <v>1</v>
      </c>
      <c r="SPY90" t="s">
        <v>430</v>
      </c>
      <c r="SPZ90" t="s">
        <v>431</v>
      </c>
      <c r="SQA90" t="s">
        <v>432</v>
      </c>
      <c r="SQC90" t="s">
        <v>429</v>
      </c>
      <c r="SQD90" t="s">
        <v>143</v>
      </c>
      <c r="SQE90" t="s">
        <v>398</v>
      </c>
      <c r="SQF90">
        <v>1</v>
      </c>
      <c r="SQG90" t="s">
        <v>430</v>
      </c>
      <c r="SQH90" t="s">
        <v>431</v>
      </c>
      <c r="SQI90" t="s">
        <v>432</v>
      </c>
      <c r="SQK90" t="s">
        <v>429</v>
      </c>
      <c r="SQL90" t="s">
        <v>143</v>
      </c>
      <c r="SQM90" t="s">
        <v>398</v>
      </c>
      <c r="SQN90">
        <v>1</v>
      </c>
      <c r="SQO90" t="s">
        <v>430</v>
      </c>
      <c r="SQP90" t="s">
        <v>431</v>
      </c>
      <c r="SQQ90" t="s">
        <v>432</v>
      </c>
      <c r="SQS90" t="s">
        <v>429</v>
      </c>
      <c r="SQT90" t="s">
        <v>143</v>
      </c>
      <c r="SQU90" t="s">
        <v>398</v>
      </c>
      <c r="SQV90">
        <v>1</v>
      </c>
      <c r="SQW90" t="s">
        <v>430</v>
      </c>
      <c r="SQX90" t="s">
        <v>431</v>
      </c>
      <c r="SQY90" t="s">
        <v>432</v>
      </c>
      <c r="SRA90" t="s">
        <v>429</v>
      </c>
      <c r="SRB90" t="s">
        <v>143</v>
      </c>
      <c r="SRC90" t="s">
        <v>398</v>
      </c>
      <c r="SRD90">
        <v>1</v>
      </c>
      <c r="SRE90" t="s">
        <v>430</v>
      </c>
      <c r="SRF90" t="s">
        <v>431</v>
      </c>
      <c r="SRG90" t="s">
        <v>432</v>
      </c>
      <c r="SRI90" t="s">
        <v>429</v>
      </c>
      <c r="SRJ90" t="s">
        <v>143</v>
      </c>
      <c r="SRK90" t="s">
        <v>398</v>
      </c>
      <c r="SRL90">
        <v>1</v>
      </c>
      <c r="SRM90" t="s">
        <v>430</v>
      </c>
      <c r="SRN90" t="s">
        <v>431</v>
      </c>
      <c r="SRO90" t="s">
        <v>432</v>
      </c>
      <c r="SRQ90" t="s">
        <v>429</v>
      </c>
      <c r="SRR90" t="s">
        <v>143</v>
      </c>
      <c r="SRS90" t="s">
        <v>398</v>
      </c>
      <c r="SRT90">
        <v>1</v>
      </c>
      <c r="SRU90" t="s">
        <v>430</v>
      </c>
      <c r="SRV90" t="s">
        <v>431</v>
      </c>
      <c r="SRW90" t="s">
        <v>432</v>
      </c>
      <c r="SRY90" t="s">
        <v>429</v>
      </c>
      <c r="SRZ90" t="s">
        <v>143</v>
      </c>
      <c r="SSA90" t="s">
        <v>398</v>
      </c>
      <c r="SSB90">
        <v>1</v>
      </c>
      <c r="SSC90" t="s">
        <v>430</v>
      </c>
      <c r="SSD90" t="s">
        <v>431</v>
      </c>
      <c r="SSE90" t="s">
        <v>432</v>
      </c>
      <c r="SSG90" t="s">
        <v>429</v>
      </c>
      <c r="SSH90" t="s">
        <v>143</v>
      </c>
      <c r="SSI90" t="s">
        <v>398</v>
      </c>
      <c r="SSJ90">
        <v>1</v>
      </c>
      <c r="SSK90" t="s">
        <v>430</v>
      </c>
      <c r="SSL90" t="s">
        <v>431</v>
      </c>
      <c r="SSM90" t="s">
        <v>432</v>
      </c>
      <c r="SSO90" t="s">
        <v>429</v>
      </c>
      <c r="SSP90" t="s">
        <v>143</v>
      </c>
      <c r="SSQ90" t="s">
        <v>398</v>
      </c>
      <c r="SSR90">
        <v>1</v>
      </c>
      <c r="SSS90" t="s">
        <v>430</v>
      </c>
      <c r="SST90" t="s">
        <v>431</v>
      </c>
      <c r="SSU90" t="s">
        <v>432</v>
      </c>
      <c r="SSW90" t="s">
        <v>429</v>
      </c>
      <c r="SSX90" t="s">
        <v>143</v>
      </c>
      <c r="SSY90" t="s">
        <v>398</v>
      </c>
      <c r="SSZ90">
        <v>1</v>
      </c>
      <c r="STA90" t="s">
        <v>430</v>
      </c>
      <c r="STB90" t="s">
        <v>431</v>
      </c>
      <c r="STC90" t="s">
        <v>432</v>
      </c>
      <c r="STE90" t="s">
        <v>429</v>
      </c>
      <c r="STF90" t="s">
        <v>143</v>
      </c>
      <c r="STG90" t="s">
        <v>398</v>
      </c>
      <c r="STH90">
        <v>1</v>
      </c>
      <c r="STI90" t="s">
        <v>430</v>
      </c>
      <c r="STJ90" t="s">
        <v>431</v>
      </c>
      <c r="STK90" t="s">
        <v>432</v>
      </c>
      <c r="STM90" t="s">
        <v>429</v>
      </c>
      <c r="STN90" t="s">
        <v>143</v>
      </c>
      <c r="STO90" t="s">
        <v>398</v>
      </c>
      <c r="STP90">
        <v>1</v>
      </c>
      <c r="STQ90" t="s">
        <v>430</v>
      </c>
      <c r="STR90" t="s">
        <v>431</v>
      </c>
      <c r="STS90" t="s">
        <v>432</v>
      </c>
      <c r="STU90" t="s">
        <v>429</v>
      </c>
      <c r="STV90" t="s">
        <v>143</v>
      </c>
      <c r="STW90" t="s">
        <v>398</v>
      </c>
      <c r="STX90">
        <v>1</v>
      </c>
      <c r="STY90" t="s">
        <v>430</v>
      </c>
      <c r="STZ90" t="s">
        <v>431</v>
      </c>
      <c r="SUA90" t="s">
        <v>432</v>
      </c>
      <c r="SUC90" t="s">
        <v>429</v>
      </c>
      <c r="SUD90" t="s">
        <v>143</v>
      </c>
      <c r="SUE90" t="s">
        <v>398</v>
      </c>
      <c r="SUF90">
        <v>1</v>
      </c>
      <c r="SUG90" t="s">
        <v>430</v>
      </c>
      <c r="SUH90" t="s">
        <v>431</v>
      </c>
      <c r="SUI90" t="s">
        <v>432</v>
      </c>
      <c r="SUK90" t="s">
        <v>429</v>
      </c>
      <c r="SUL90" t="s">
        <v>143</v>
      </c>
      <c r="SUM90" t="s">
        <v>398</v>
      </c>
      <c r="SUN90">
        <v>1</v>
      </c>
      <c r="SUO90" t="s">
        <v>430</v>
      </c>
      <c r="SUP90" t="s">
        <v>431</v>
      </c>
      <c r="SUQ90" t="s">
        <v>432</v>
      </c>
      <c r="SUS90" t="s">
        <v>429</v>
      </c>
      <c r="SUT90" t="s">
        <v>143</v>
      </c>
      <c r="SUU90" t="s">
        <v>398</v>
      </c>
      <c r="SUV90">
        <v>1</v>
      </c>
      <c r="SUW90" t="s">
        <v>430</v>
      </c>
      <c r="SUX90" t="s">
        <v>431</v>
      </c>
      <c r="SUY90" t="s">
        <v>432</v>
      </c>
      <c r="SVA90" t="s">
        <v>429</v>
      </c>
      <c r="SVB90" t="s">
        <v>143</v>
      </c>
      <c r="SVC90" t="s">
        <v>398</v>
      </c>
      <c r="SVD90">
        <v>1</v>
      </c>
      <c r="SVE90" t="s">
        <v>430</v>
      </c>
      <c r="SVF90" t="s">
        <v>431</v>
      </c>
      <c r="SVG90" t="s">
        <v>432</v>
      </c>
      <c r="SVI90" t="s">
        <v>429</v>
      </c>
      <c r="SVJ90" t="s">
        <v>143</v>
      </c>
      <c r="SVK90" t="s">
        <v>398</v>
      </c>
      <c r="SVL90">
        <v>1</v>
      </c>
      <c r="SVM90" t="s">
        <v>430</v>
      </c>
      <c r="SVN90" t="s">
        <v>431</v>
      </c>
      <c r="SVO90" t="s">
        <v>432</v>
      </c>
      <c r="SVQ90" t="s">
        <v>429</v>
      </c>
      <c r="SVR90" t="s">
        <v>143</v>
      </c>
      <c r="SVS90" t="s">
        <v>398</v>
      </c>
      <c r="SVT90">
        <v>1</v>
      </c>
      <c r="SVU90" t="s">
        <v>430</v>
      </c>
      <c r="SVV90" t="s">
        <v>431</v>
      </c>
      <c r="SVW90" t="s">
        <v>432</v>
      </c>
      <c r="SVY90" t="s">
        <v>429</v>
      </c>
      <c r="SVZ90" t="s">
        <v>143</v>
      </c>
      <c r="SWA90" t="s">
        <v>398</v>
      </c>
      <c r="SWB90">
        <v>1</v>
      </c>
      <c r="SWC90" t="s">
        <v>430</v>
      </c>
      <c r="SWD90" t="s">
        <v>431</v>
      </c>
      <c r="SWE90" t="s">
        <v>432</v>
      </c>
      <c r="SWG90" t="s">
        <v>429</v>
      </c>
      <c r="SWH90" t="s">
        <v>143</v>
      </c>
      <c r="SWI90" t="s">
        <v>398</v>
      </c>
      <c r="SWJ90">
        <v>1</v>
      </c>
      <c r="SWK90" t="s">
        <v>430</v>
      </c>
      <c r="SWL90" t="s">
        <v>431</v>
      </c>
      <c r="SWM90" t="s">
        <v>432</v>
      </c>
      <c r="SWO90" t="s">
        <v>429</v>
      </c>
      <c r="SWP90" t="s">
        <v>143</v>
      </c>
      <c r="SWQ90" t="s">
        <v>398</v>
      </c>
      <c r="SWR90">
        <v>1</v>
      </c>
      <c r="SWS90" t="s">
        <v>430</v>
      </c>
      <c r="SWT90" t="s">
        <v>431</v>
      </c>
      <c r="SWU90" t="s">
        <v>432</v>
      </c>
      <c r="SWW90" t="s">
        <v>429</v>
      </c>
      <c r="SWX90" t="s">
        <v>143</v>
      </c>
      <c r="SWY90" t="s">
        <v>398</v>
      </c>
      <c r="SWZ90">
        <v>1</v>
      </c>
      <c r="SXA90" t="s">
        <v>430</v>
      </c>
      <c r="SXB90" t="s">
        <v>431</v>
      </c>
      <c r="SXC90" t="s">
        <v>432</v>
      </c>
      <c r="SXE90" t="s">
        <v>429</v>
      </c>
      <c r="SXF90" t="s">
        <v>143</v>
      </c>
      <c r="SXG90" t="s">
        <v>398</v>
      </c>
      <c r="SXH90">
        <v>1</v>
      </c>
      <c r="SXI90" t="s">
        <v>430</v>
      </c>
      <c r="SXJ90" t="s">
        <v>431</v>
      </c>
      <c r="SXK90" t="s">
        <v>432</v>
      </c>
      <c r="SXM90" t="s">
        <v>429</v>
      </c>
      <c r="SXN90" t="s">
        <v>143</v>
      </c>
      <c r="SXO90" t="s">
        <v>398</v>
      </c>
      <c r="SXP90">
        <v>1</v>
      </c>
      <c r="SXQ90" t="s">
        <v>430</v>
      </c>
      <c r="SXR90" t="s">
        <v>431</v>
      </c>
      <c r="SXS90" t="s">
        <v>432</v>
      </c>
      <c r="SXU90" t="s">
        <v>429</v>
      </c>
      <c r="SXV90" t="s">
        <v>143</v>
      </c>
      <c r="SXW90" t="s">
        <v>398</v>
      </c>
      <c r="SXX90">
        <v>1</v>
      </c>
      <c r="SXY90" t="s">
        <v>430</v>
      </c>
      <c r="SXZ90" t="s">
        <v>431</v>
      </c>
      <c r="SYA90" t="s">
        <v>432</v>
      </c>
      <c r="SYC90" t="s">
        <v>429</v>
      </c>
      <c r="SYD90" t="s">
        <v>143</v>
      </c>
      <c r="SYE90" t="s">
        <v>398</v>
      </c>
      <c r="SYF90">
        <v>1</v>
      </c>
      <c r="SYG90" t="s">
        <v>430</v>
      </c>
      <c r="SYH90" t="s">
        <v>431</v>
      </c>
      <c r="SYI90" t="s">
        <v>432</v>
      </c>
      <c r="SYK90" t="s">
        <v>429</v>
      </c>
      <c r="SYL90" t="s">
        <v>143</v>
      </c>
      <c r="SYM90" t="s">
        <v>398</v>
      </c>
      <c r="SYN90">
        <v>1</v>
      </c>
      <c r="SYO90" t="s">
        <v>430</v>
      </c>
      <c r="SYP90" t="s">
        <v>431</v>
      </c>
      <c r="SYQ90" t="s">
        <v>432</v>
      </c>
      <c r="SYS90" t="s">
        <v>429</v>
      </c>
      <c r="SYT90" t="s">
        <v>143</v>
      </c>
      <c r="SYU90" t="s">
        <v>398</v>
      </c>
      <c r="SYV90">
        <v>1</v>
      </c>
      <c r="SYW90" t="s">
        <v>430</v>
      </c>
      <c r="SYX90" t="s">
        <v>431</v>
      </c>
      <c r="SYY90" t="s">
        <v>432</v>
      </c>
      <c r="SZA90" t="s">
        <v>429</v>
      </c>
      <c r="SZB90" t="s">
        <v>143</v>
      </c>
      <c r="SZC90" t="s">
        <v>398</v>
      </c>
      <c r="SZD90">
        <v>1</v>
      </c>
      <c r="SZE90" t="s">
        <v>430</v>
      </c>
      <c r="SZF90" t="s">
        <v>431</v>
      </c>
      <c r="SZG90" t="s">
        <v>432</v>
      </c>
      <c r="SZI90" t="s">
        <v>429</v>
      </c>
      <c r="SZJ90" t="s">
        <v>143</v>
      </c>
      <c r="SZK90" t="s">
        <v>398</v>
      </c>
      <c r="SZL90">
        <v>1</v>
      </c>
      <c r="SZM90" t="s">
        <v>430</v>
      </c>
      <c r="SZN90" t="s">
        <v>431</v>
      </c>
      <c r="SZO90" t="s">
        <v>432</v>
      </c>
      <c r="SZQ90" t="s">
        <v>429</v>
      </c>
      <c r="SZR90" t="s">
        <v>143</v>
      </c>
      <c r="SZS90" t="s">
        <v>398</v>
      </c>
      <c r="SZT90">
        <v>1</v>
      </c>
      <c r="SZU90" t="s">
        <v>430</v>
      </c>
      <c r="SZV90" t="s">
        <v>431</v>
      </c>
      <c r="SZW90" t="s">
        <v>432</v>
      </c>
      <c r="SZY90" t="s">
        <v>429</v>
      </c>
      <c r="SZZ90" t="s">
        <v>143</v>
      </c>
      <c r="TAA90" t="s">
        <v>398</v>
      </c>
      <c r="TAB90">
        <v>1</v>
      </c>
      <c r="TAC90" t="s">
        <v>430</v>
      </c>
      <c r="TAD90" t="s">
        <v>431</v>
      </c>
      <c r="TAE90" t="s">
        <v>432</v>
      </c>
      <c r="TAG90" t="s">
        <v>429</v>
      </c>
      <c r="TAH90" t="s">
        <v>143</v>
      </c>
      <c r="TAI90" t="s">
        <v>398</v>
      </c>
      <c r="TAJ90">
        <v>1</v>
      </c>
      <c r="TAK90" t="s">
        <v>430</v>
      </c>
      <c r="TAL90" t="s">
        <v>431</v>
      </c>
      <c r="TAM90" t="s">
        <v>432</v>
      </c>
      <c r="TAO90" t="s">
        <v>429</v>
      </c>
      <c r="TAP90" t="s">
        <v>143</v>
      </c>
      <c r="TAQ90" t="s">
        <v>398</v>
      </c>
      <c r="TAR90">
        <v>1</v>
      </c>
      <c r="TAS90" t="s">
        <v>430</v>
      </c>
      <c r="TAT90" t="s">
        <v>431</v>
      </c>
      <c r="TAU90" t="s">
        <v>432</v>
      </c>
      <c r="TAW90" t="s">
        <v>429</v>
      </c>
      <c r="TAX90" t="s">
        <v>143</v>
      </c>
      <c r="TAY90" t="s">
        <v>398</v>
      </c>
      <c r="TAZ90">
        <v>1</v>
      </c>
      <c r="TBA90" t="s">
        <v>430</v>
      </c>
      <c r="TBB90" t="s">
        <v>431</v>
      </c>
      <c r="TBC90" t="s">
        <v>432</v>
      </c>
      <c r="TBE90" t="s">
        <v>429</v>
      </c>
      <c r="TBF90" t="s">
        <v>143</v>
      </c>
      <c r="TBG90" t="s">
        <v>398</v>
      </c>
      <c r="TBH90">
        <v>1</v>
      </c>
      <c r="TBI90" t="s">
        <v>430</v>
      </c>
      <c r="TBJ90" t="s">
        <v>431</v>
      </c>
      <c r="TBK90" t="s">
        <v>432</v>
      </c>
      <c r="TBM90" t="s">
        <v>429</v>
      </c>
      <c r="TBN90" t="s">
        <v>143</v>
      </c>
      <c r="TBO90" t="s">
        <v>398</v>
      </c>
      <c r="TBP90">
        <v>1</v>
      </c>
      <c r="TBQ90" t="s">
        <v>430</v>
      </c>
      <c r="TBR90" t="s">
        <v>431</v>
      </c>
      <c r="TBS90" t="s">
        <v>432</v>
      </c>
      <c r="TBU90" t="s">
        <v>429</v>
      </c>
      <c r="TBV90" t="s">
        <v>143</v>
      </c>
      <c r="TBW90" t="s">
        <v>398</v>
      </c>
      <c r="TBX90">
        <v>1</v>
      </c>
      <c r="TBY90" t="s">
        <v>430</v>
      </c>
      <c r="TBZ90" t="s">
        <v>431</v>
      </c>
      <c r="TCA90" t="s">
        <v>432</v>
      </c>
      <c r="TCC90" t="s">
        <v>429</v>
      </c>
      <c r="TCD90" t="s">
        <v>143</v>
      </c>
      <c r="TCE90" t="s">
        <v>398</v>
      </c>
      <c r="TCF90">
        <v>1</v>
      </c>
      <c r="TCG90" t="s">
        <v>430</v>
      </c>
      <c r="TCH90" t="s">
        <v>431</v>
      </c>
      <c r="TCI90" t="s">
        <v>432</v>
      </c>
      <c r="TCK90" t="s">
        <v>429</v>
      </c>
      <c r="TCL90" t="s">
        <v>143</v>
      </c>
      <c r="TCM90" t="s">
        <v>398</v>
      </c>
      <c r="TCN90">
        <v>1</v>
      </c>
      <c r="TCO90" t="s">
        <v>430</v>
      </c>
      <c r="TCP90" t="s">
        <v>431</v>
      </c>
      <c r="TCQ90" t="s">
        <v>432</v>
      </c>
      <c r="TCS90" t="s">
        <v>429</v>
      </c>
      <c r="TCT90" t="s">
        <v>143</v>
      </c>
      <c r="TCU90" t="s">
        <v>398</v>
      </c>
      <c r="TCV90">
        <v>1</v>
      </c>
      <c r="TCW90" t="s">
        <v>430</v>
      </c>
      <c r="TCX90" t="s">
        <v>431</v>
      </c>
      <c r="TCY90" t="s">
        <v>432</v>
      </c>
      <c r="TDA90" t="s">
        <v>429</v>
      </c>
      <c r="TDB90" t="s">
        <v>143</v>
      </c>
      <c r="TDC90" t="s">
        <v>398</v>
      </c>
      <c r="TDD90">
        <v>1</v>
      </c>
      <c r="TDE90" t="s">
        <v>430</v>
      </c>
      <c r="TDF90" t="s">
        <v>431</v>
      </c>
      <c r="TDG90" t="s">
        <v>432</v>
      </c>
      <c r="TDI90" t="s">
        <v>429</v>
      </c>
      <c r="TDJ90" t="s">
        <v>143</v>
      </c>
      <c r="TDK90" t="s">
        <v>398</v>
      </c>
      <c r="TDL90">
        <v>1</v>
      </c>
      <c r="TDM90" t="s">
        <v>430</v>
      </c>
      <c r="TDN90" t="s">
        <v>431</v>
      </c>
      <c r="TDO90" t="s">
        <v>432</v>
      </c>
      <c r="TDQ90" t="s">
        <v>429</v>
      </c>
      <c r="TDR90" t="s">
        <v>143</v>
      </c>
      <c r="TDS90" t="s">
        <v>398</v>
      </c>
      <c r="TDT90">
        <v>1</v>
      </c>
      <c r="TDU90" t="s">
        <v>430</v>
      </c>
      <c r="TDV90" t="s">
        <v>431</v>
      </c>
      <c r="TDW90" t="s">
        <v>432</v>
      </c>
      <c r="TDY90" t="s">
        <v>429</v>
      </c>
      <c r="TDZ90" t="s">
        <v>143</v>
      </c>
      <c r="TEA90" t="s">
        <v>398</v>
      </c>
      <c r="TEB90">
        <v>1</v>
      </c>
      <c r="TEC90" t="s">
        <v>430</v>
      </c>
      <c r="TED90" t="s">
        <v>431</v>
      </c>
      <c r="TEE90" t="s">
        <v>432</v>
      </c>
      <c r="TEG90" t="s">
        <v>429</v>
      </c>
      <c r="TEH90" t="s">
        <v>143</v>
      </c>
      <c r="TEI90" t="s">
        <v>398</v>
      </c>
      <c r="TEJ90">
        <v>1</v>
      </c>
      <c r="TEK90" t="s">
        <v>430</v>
      </c>
      <c r="TEL90" t="s">
        <v>431</v>
      </c>
      <c r="TEM90" t="s">
        <v>432</v>
      </c>
      <c r="TEO90" t="s">
        <v>429</v>
      </c>
      <c r="TEP90" t="s">
        <v>143</v>
      </c>
      <c r="TEQ90" t="s">
        <v>398</v>
      </c>
      <c r="TER90">
        <v>1</v>
      </c>
      <c r="TES90" t="s">
        <v>430</v>
      </c>
      <c r="TET90" t="s">
        <v>431</v>
      </c>
      <c r="TEU90" t="s">
        <v>432</v>
      </c>
      <c r="TEW90" t="s">
        <v>429</v>
      </c>
      <c r="TEX90" t="s">
        <v>143</v>
      </c>
      <c r="TEY90" t="s">
        <v>398</v>
      </c>
      <c r="TEZ90">
        <v>1</v>
      </c>
      <c r="TFA90" t="s">
        <v>430</v>
      </c>
      <c r="TFB90" t="s">
        <v>431</v>
      </c>
      <c r="TFC90" t="s">
        <v>432</v>
      </c>
      <c r="TFE90" t="s">
        <v>429</v>
      </c>
      <c r="TFF90" t="s">
        <v>143</v>
      </c>
      <c r="TFG90" t="s">
        <v>398</v>
      </c>
      <c r="TFH90">
        <v>1</v>
      </c>
      <c r="TFI90" t="s">
        <v>430</v>
      </c>
      <c r="TFJ90" t="s">
        <v>431</v>
      </c>
      <c r="TFK90" t="s">
        <v>432</v>
      </c>
      <c r="TFM90" t="s">
        <v>429</v>
      </c>
      <c r="TFN90" t="s">
        <v>143</v>
      </c>
      <c r="TFO90" t="s">
        <v>398</v>
      </c>
      <c r="TFP90">
        <v>1</v>
      </c>
      <c r="TFQ90" t="s">
        <v>430</v>
      </c>
      <c r="TFR90" t="s">
        <v>431</v>
      </c>
      <c r="TFS90" t="s">
        <v>432</v>
      </c>
      <c r="TFU90" t="s">
        <v>429</v>
      </c>
      <c r="TFV90" t="s">
        <v>143</v>
      </c>
      <c r="TFW90" t="s">
        <v>398</v>
      </c>
      <c r="TFX90">
        <v>1</v>
      </c>
      <c r="TFY90" t="s">
        <v>430</v>
      </c>
      <c r="TFZ90" t="s">
        <v>431</v>
      </c>
      <c r="TGA90" t="s">
        <v>432</v>
      </c>
      <c r="TGC90" t="s">
        <v>429</v>
      </c>
      <c r="TGD90" t="s">
        <v>143</v>
      </c>
      <c r="TGE90" t="s">
        <v>398</v>
      </c>
      <c r="TGF90">
        <v>1</v>
      </c>
      <c r="TGG90" t="s">
        <v>430</v>
      </c>
      <c r="TGH90" t="s">
        <v>431</v>
      </c>
      <c r="TGI90" t="s">
        <v>432</v>
      </c>
      <c r="TGK90" t="s">
        <v>429</v>
      </c>
      <c r="TGL90" t="s">
        <v>143</v>
      </c>
      <c r="TGM90" t="s">
        <v>398</v>
      </c>
      <c r="TGN90">
        <v>1</v>
      </c>
      <c r="TGO90" t="s">
        <v>430</v>
      </c>
      <c r="TGP90" t="s">
        <v>431</v>
      </c>
      <c r="TGQ90" t="s">
        <v>432</v>
      </c>
      <c r="TGS90" t="s">
        <v>429</v>
      </c>
      <c r="TGT90" t="s">
        <v>143</v>
      </c>
      <c r="TGU90" t="s">
        <v>398</v>
      </c>
      <c r="TGV90">
        <v>1</v>
      </c>
      <c r="TGW90" t="s">
        <v>430</v>
      </c>
      <c r="TGX90" t="s">
        <v>431</v>
      </c>
      <c r="TGY90" t="s">
        <v>432</v>
      </c>
      <c r="THA90" t="s">
        <v>429</v>
      </c>
      <c r="THB90" t="s">
        <v>143</v>
      </c>
      <c r="THC90" t="s">
        <v>398</v>
      </c>
      <c r="THD90">
        <v>1</v>
      </c>
      <c r="THE90" t="s">
        <v>430</v>
      </c>
      <c r="THF90" t="s">
        <v>431</v>
      </c>
      <c r="THG90" t="s">
        <v>432</v>
      </c>
      <c r="THI90" t="s">
        <v>429</v>
      </c>
      <c r="THJ90" t="s">
        <v>143</v>
      </c>
      <c r="THK90" t="s">
        <v>398</v>
      </c>
      <c r="THL90">
        <v>1</v>
      </c>
      <c r="THM90" t="s">
        <v>430</v>
      </c>
      <c r="THN90" t="s">
        <v>431</v>
      </c>
      <c r="THO90" t="s">
        <v>432</v>
      </c>
      <c r="THQ90" t="s">
        <v>429</v>
      </c>
      <c r="THR90" t="s">
        <v>143</v>
      </c>
      <c r="THS90" t="s">
        <v>398</v>
      </c>
      <c r="THT90">
        <v>1</v>
      </c>
      <c r="THU90" t="s">
        <v>430</v>
      </c>
      <c r="THV90" t="s">
        <v>431</v>
      </c>
      <c r="THW90" t="s">
        <v>432</v>
      </c>
      <c r="THY90" t="s">
        <v>429</v>
      </c>
      <c r="THZ90" t="s">
        <v>143</v>
      </c>
      <c r="TIA90" t="s">
        <v>398</v>
      </c>
      <c r="TIB90">
        <v>1</v>
      </c>
      <c r="TIC90" t="s">
        <v>430</v>
      </c>
      <c r="TID90" t="s">
        <v>431</v>
      </c>
      <c r="TIE90" t="s">
        <v>432</v>
      </c>
      <c r="TIG90" t="s">
        <v>429</v>
      </c>
      <c r="TIH90" t="s">
        <v>143</v>
      </c>
      <c r="TII90" t="s">
        <v>398</v>
      </c>
      <c r="TIJ90">
        <v>1</v>
      </c>
      <c r="TIK90" t="s">
        <v>430</v>
      </c>
      <c r="TIL90" t="s">
        <v>431</v>
      </c>
      <c r="TIM90" t="s">
        <v>432</v>
      </c>
      <c r="TIO90" t="s">
        <v>429</v>
      </c>
      <c r="TIP90" t="s">
        <v>143</v>
      </c>
      <c r="TIQ90" t="s">
        <v>398</v>
      </c>
      <c r="TIR90">
        <v>1</v>
      </c>
      <c r="TIS90" t="s">
        <v>430</v>
      </c>
      <c r="TIT90" t="s">
        <v>431</v>
      </c>
      <c r="TIU90" t="s">
        <v>432</v>
      </c>
      <c r="TIW90" t="s">
        <v>429</v>
      </c>
      <c r="TIX90" t="s">
        <v>143</v>
      </c>
      <c r="TIY90" t="s">
        <v>398</v>
      </c>
      <c r="TIZ90">
        <v>1</v>
      </c>
      <c r="TJA90" t="s">
        <v>430</v>
      </c>
      <c r="TJB90" t="s">
        <v>431</v>
      </c>
      <c r="TJC90" t="s">
        <v>432</v>
      </c>
      <c r="TJE90" t="s">
        <v>429</v>
      </c>
      <c r="TJF90" t="s">
        <v>143</v>
      </c>
      <c r="TJG90" t="s">
        <v>398</v>
      </c>
      <c r="TJH90">
        <v>1</v>
      </c>
      <c r="TJI90" t="s">
        <v>430</v>
      </c>
      <c r="TJJ90" t="s">
        <v>431</v>
      </c>
      <c r="TJK90" t="s">
        <v>432</v>
      </c>
      <c r="TJM90" t="s">
        <v>429</v>
      </c>
      <c r="TJN90" t="s">
        <v>143</v>
      </c>
      <c r="TJO90" t="s">
        <v>398</v>
      </c>
      <c r="TJP90">
        <v>1</v>
      </c>
      <c r="TJQ90" t="s">
        <v>430</v>
      </c>
      <c r="TJR90" t="s">
        <v>431</v>
      </c>
      <c r="TJS90" t="s">
        <v>432</v>
      </c>
      <c r="TJU90" t="s">
        <v>429</v>
      </c>
      <c r="TJV90" t="s">
        <v>143</v>
      </c>
      <c r="TJW90" t="s">
        <v>398</v>
      </c>
      <c r="TJX90">
        <v>1</v>
      </c>
      <c r="TJY90" t="s">
        <v>430</v>
      </c>
      <c r="TJZ90" t="s">
        <v>431</v>
      </c>
      <c r="TKA90" t="s">
        <v>432</v>
      </c>
      <c r="TKC90" t="s">
        <v>429</v>
      </c>
      <c r="TKD90" t="s">
        <v>143</v>
      </c>
      <c r="TKE90" t="s">
        <v>398</v>
      </c>
      <c r="TKF90">
        <v>1</v>
      </c>
      <c r="TKG90" t="s">
        <v>430</v>
      </c>
      <c r="TKH90" t="s">
        <v>431</v>
      </c>
      <c r="TKI90" t="s">
        <v>432</v>
      </c>
      <c r="TKK90" t="s">
        <v>429</v>
      </c>
      <c r="TKL90" t="s">
        <v>143</v>
      </c>
      <c r="TKM90" t="s">
        <v>398</v>
      </c>
      <c r="TKN90">
        <v>1</v>
      </c>
      <c r="TKO90" t="s">
        <v>430</v>
      </c>
      <c r="TKP90" t="s">
        <v>431</v>
      </c>
      <c r="TKQ90" t="s">
        <v>432</v>
      </c>
      <c r="TKS90" t="s">
        <v>429</v>
      </c>
      <c r="TKT90" t="s">
        <v>143</v>
      </c>
      <c r="TKU90" t="s">
        <v>398</v>
      </c>
      <c r="TKV90">
        <v>1</v>
      </c>
      <c r="TKW90" t="s">
        <v>430</v>
      </c>
      <c r="TKX90" t="s">
        <v>431</v>
      </c>
      <c r="TKY90" t="s">
        <v>432</v>
      </c>
      <c r="TLA90" t="s">
        <v>429</v>
      </c>
      <c r="TLB90" t="s">
        <v>143</v>
      </c>
      <c r="TLC90" t="s">
        <v>398</v>
      </c>
      <c r="TLD90">
        <v>1</v>
      </c>
      <c r="TLE90" t="s">
        <v>430</v>
      </c>
      <c r="TLF90" t="s">
        <v>431</v>
      </c>
      <c r="TLG90" t="s">
        <v>432</v>
      </c>
      <c r="TLI90" t="s">
        <v>429</v>
      </c>
      <c r="TLJ90" t="s">
        <v>143</v>
      </c>
      <c r="TLK90" t="s">
        <v>398</v>
      </c>
      <c r="TLL90">
        <v>1</v>
      </c>
      <c r="TLM90" t="s">
        <v>430</v>
      </c>
      <c r="TLN90" t="s">
        <v>431</v>
      </c>
      <c r="TLO90" t="s">
        <v>432</v>
      </c>
      <c r="TLQ90" t="s">
        <v>429</v>
      </c>
      <c r="TLR90" t="s">
        <v>143</v>
      </c>
      <c r="TLS90" t="s">
        <v>398</v>
      </c>
      <c r="TLT90">
        <v>1</v>
      </c>
      <c r="TLU90" t="s">
        <v>430</v>
      </c>
      <c r="TLV90" t="s">
        <v>431</v>
      </c>
      <c r="TLW90" t="s">
        <v>432</v>
      </c>
      <c r="TLY90" t="s">
        <v>429</v>
      </c>
      <c r="TLZ90" t="s">
        <v>143</v>
      </c>
      <c r="TMA90" t="s">
        <v>398</v>
      </c>
      <c r="TMB90">
        <v>1</v>
      </c>
      <c r="TMC90" t="s">
        <v>430</v>
      </c>
      <c r="TMD90" t="s">
        <v>431</v>
      </c>
      <c r="TME90" t="s">
        <v>432</v>
      </c>
      <c r="TMG90" t="s">
        <v>429</v>
      </c>
      <c r="TMH90" t="s">
        <v>143</v>
      </c>
      <c r="TMI90" t="s">
        <v>398</v>
      </c>
      <c r="TMJ90">
        <v>1</v>
      </c>
      <c r="TMK90" t="s">
        <v>430</v>
      </c>
      <c r="TML90" t="s">
        <v>431</v>
      </c>
      <c r="TMM90" t="s">
        <v>432</v>
      </c>
      <c r="TMO90" t="s">
        <v>429</v>
      </c>
      <c r="TMP90" t="s">
        <v>143</v>
      </c>
      <c r="TMQ90" t="s">
        <v>398</v>
      </c>
      <c r="TMR90">
        <v>1</v>
      </c>
      <c r="TMS90" t="s">
        <v>430</v>
      </c>
      <c r="TMT90" t="s">
        <v>431</v>
      </c>
      <c r="TMU90" t="s">
        <v>432</v>
      </c>
      <c r="TMW90" t="s">
        <v>429</v>
      </c>
      <c r="TMX90" t="s">
        <v>143</v>
      </c>
      <c r="TMY90" t="s">
        <v>398</v>
      </c>
      <c r="TMZ90">
        <v>1</v>
      </c>
      <c r="TNA90" t="s">
        <v>430</v>
      </c>
      <c r="TNB90" t="s">
        <v>431</v>
      </c>
      <c r="TNC90" t="s">
        <v>432</v>
      </c>
      <c r="TNE90" t="s">
        <v>429</v>
      </c>
      <c r="TNF90" t="s">
        <v>143</v>
      </c>
      <c r="TNG90" t="s">
        <v>398</v>
      </c>
      <c r="TNH90">
        <v>1</v>
      </c>
      <c r="TNI90" t="s">
        <v>430</v>
      </c>
      <c r="TNJ90" t="s">
        <v>431</v>
      </c>
      <c r="TNK90" t="s">
        <v>432</v>
      </c>
      <c r="TNM90" t="s">
        <v>429</v>
      </c>
      <c r="TNN90" t="s">
        <v>143</v>
      </c>
      <c r="TNO90" t="s">
        <v>398</v>
      </c>
      <c r="TNP90">
        <v>1</v>
      </c>
      <c r="TNQ90" t="s">
        <v>430</v>
      </c>
      <c r="TNR90" t="s">
        <v>431</v>
      </c>
      <c r="TNS90" t="s">
        <v>432</v>
      </c>
      <c r="TNU90" t="s">
        <v>429</v>
      </c>
      <c r="TNV90" t="s">
        <v>143</v>
      </c>
      <c r="TNW90" t="s">
        <v>398</v>
      </c>
      <c r="TNX90">
        <v>1</v>
      </c>
      <c r="TNY90" t="s">
        <v>430</v>
      </c>
      <c r="TNZ90" t="s">
        <v>431</v>
      </c>
      <c r="TOA90" t="s">
        <v>432</v>
      </c>
      <c r="TOC90" t="s">
        <v>429</v>
      </c>
      <c r="TOD90" t="s">
        <v>143</v>
      </c>
      <c r="TOE90" t="s">
        <v>398</v>
      </c>
      <c r="TOF90">
        <v>1</v>
      </c>
      <c r="TOG90" t="s">
        <v>430</v>
      </c>
      <c r="TOH90" t="s">
        <v>431</v>
      </c>
      <c r="TOI90" t="s">
        <v>432</v>
      </c>
      <c r="TOK90" t="s">
        <v>429</v>
      </c>
      <c r="TOL90" t="s">
        <v>143</v>
      </c>
      <c r="TOM90" t="s">
        <v>398</v>
      </c>
      <c r="TON90">
        <v>1</v>
      </c>
      <c r="TOO90" t="s">
        <v>430</v>
      </c>
      <c r="TOP90" t="s">
        <v>431</v>
      </c>
      <c r="TOQ90" t="s">
        <v>432</v>
      </c>
      <c r="TOS90" t="s">
        <v>429</v>
      </c>
      <c r="TOT90" t="s">
        <v>143</v>
      </c>
      <c r="TOU90" t="s">
        <v>398</v>
      </c>
      <c r="TOV90">
        <v>1</v>
      </c>
      <c r="TOW90" t="s">
        <v>430</v>
      </c>
      <c r="TOX90" t="s">
        <v>431</v>
      </c>
      <c r="TOY90" t="s">
        <v>432</v>
      </c>
      <c r="TPA90" t="s">
        <v>429</v>
      </c>
      <c r="TPB90" t="s">
        <v>143</v>
      </c>
      <c r="TPC90" t="s">
        <v>398</v>
      </c>
      <c r="TPD90">
        <v>1</v>
      </c>
      <c r="TPE90" t="s">
        <v>430</v>
      </c>
      <c r="TPF90" t="s">
        <v>431</v>
      </c>
      <c r="TPG90" t="s">
        <v>432</v>
      </c>
      <c r="TPI90" t="s">
        <v>429</v>
      </c>
      <c r="TPJ90" t="s">
        <v>143</v>
      </c>
      <c r="TPK90" t="s">
        <v>398</v>
      </c>
      <c r="TPL90">
        <v>1</v>
      </c>
      <c r="TPM90" t="s">
        <v>430</v>
      </c>
      <c r="TPN90" t="s">
        <v>431</v>
      </c>
      <c r="TPO90" t="s">
        <v>432</v>
      </c>
      <c r="TPQ90" t="s">
        <v>429</v>
      </c>
      <c r="TPR90" t="s">
        <v>143</v>
      </c>
      <c r="TPS90" t="s">
        <v>398</v>
      </c>
      <c r="TPT90">
        <v>1</v>
      </c>
      <c r="TPU90" t="s">
        <v>430</v>
      </c>
      <c r="TPV90" t="s">
        <v>431</v>
      </c>
      <c r="TPW90" t="s">
        <v>432</v>
      </c>
      <c r="TPY90" t="s">
        <v>429</v>
      </c>
      <c r="TPZ90" t="s">
        <v>143</v>
      </c>
      <c r="TQA90" t="s">
        <v>398</v>
      </c>
      <c r="TQB90">
        <v>1</v>
      </c>
      <c r="TQC90" t="s">
        <v>430</v>
      </c>
      <c r="TQD90" t="s">
        <v>431</v>
      </c>
      <c r="TQE90" t="s">
        <v>432</v>
      </c>
      <c r="TQG90" t="s">
        <v>429</v>
      </c>
      <c r="TQH90" t="s">
        <v>143</v>
      </c>
      <c r="TQI90" t="s">
        <v>398</v>
      </c>
      <c r="TQJ90">
        <v>1</v>
      </c>
      <c r="TQK90" t="s">
        <v>430</v>
      </c>
      <c r="TQL90" t="s">
        <v>431</v>
      </c>
      <c r="TQM90" t="s">
        <v>432</v>
      </c>
      <c r="TQO90" t="s">
        <v>429</v>
      </c>
      <c r="TQP90" t="s">
        <v>143</v>
      </c>
      <c r="TQQ90" t="s">
        <v>398</v>
      </c>
      <c r="TQR90">
        <v>1</v>
      </c>
      <c r="TQS90" t="s">
        <v>430</v>
      </c>
      <c r="TQT90" t="s">
        <v>431</v>
      </c>
      <c r="TQU90" t="s">
        <v>432</v>
      </c>
      <c r="TQW90" t="s">
        <v>429</v>
      </c>
      <c r="TQX90" t="s">
        <v>143</v>
      </c>
      <c r="TQY90" t="s">
        <v>398</v>
      </c>
      <c r="TQZ90">
        <v>1</v>
      </c>
      <c r="TRA90" t="s">
        <v>430</v>
      </c>
      <c r="TRB90" t="s">
        <v>431</v>
      </c>
      <c r="TRC90" t="s">
        <v>432</v>
      </c>
      <c r="TRE90" t="s">
        <v>429</v>
      </c>
      <c r="TRF90" t="s">
        <v>143</v>
      </c>
      <c r="TRG90" t="s">
        <v>398</v>
      </c>
      <c r="TRH90">
        <v>1</v>
      </c>
      <c r="TRI90" t="s">
        <v>430</v>
      </c>
      <c r="TRJ90" t="s">
        <v>431</v>
      </c>
      <c r="TRK90" t="s">
        <v>432</v>
      </c>
      <c r="TRM90" t="s">
        <v>429</v>
      </c>
      <c r="TRN90" t="s">
        <v>143</v>
      </c>
      <c r="TRO90" t="s">
        <v>398</v>
      </c>
      <c r="TRP90">
        <v>1</v>
      </c>
      <c r="TRQ90" t="s">
        <v>430</v>
      </c>
      <c r="TRR90" t="s">
        <v>431</v>
      </c>
      <c r="TRS90" t="s">
        <v>432</v>
      </c>
      <c r="TRU90" t="s">
        <v>429</v>
      </c>
      <c r="TRV90" t="s">
        <v>143</v>
      </c>
      <c r="TRW90" t="s">
        <v>398</v>
      </c>
      <c r="TRX90">
        <v>1</v>
      </c>
      <c r="TRY90" t="s">
        <v>430</v>
      </c>
      <c r="TRZ90" t="s">
        <v>431</v>
      </c>
      <c r="TSA90" t="s">
        <v>432</v>
      </c>
      <c r="TSC90" t="s">
        <v>429</v>
      </c>
      <c r="TSD90" t="s">
        <v>143</v>
      </c>
      <c r="TSE90" t="s">
        <v>398</v>
      </c>
      <c r="TSF90">
        <v>1</v>
      </c>
      <c r="TSG90" t="s">
        <v>430</v>
      </c>
      <c r="TSH90" t="s">
        <v>431</v>
      </c>
      <c r="TSI90" t="s">
        <v>432</v>
      </c>
      <c r="TSK90" t="s">
        <v>429</v>
      </c>
      <c r="TSL90" t="s">
        <v>143</v>
      </c>
      <c r="TSM90" t="s">
        <v>398</v>
      </c>
      <c r="TSN90">
        <v>1</v>
      </c>
      <c r="TSO90" t="s">
        <v>430</v>
      </c>
      <c r="TSP90" t="s">
        <v>431</v>
      </c>
      <c r="TSQ90" t="s">
        <v>432</v>
      </c>
      <c r="TSS90" t="s">
        <v>429</v>
      </c>
      <c r="TST90" t="s">
        <v>143</v>
      </c>
      <c r="TSU90" t="s">
        <v>398</v>
      </c>
      <c r="TSV90">
        <v>1</v>
      </c>
      <c r="TSW90" t="s">
        <v>430</v>
      </c>
      <c r="TSX90" t="s">
        <v>431</v>
      </c>
      <c r="TSY90" t="s">
        <v>432</v>
      </c>
      <c r="TTA90" t="s">
        <v>429</v>
      </c>
      <c r="TTB90" t="s">
        <v>143</v>
      </c>
      <c r="TTC90" t="s">
        <v>398</v>
      </c>
      <c r="TTD90">
        <v>1</v>
      </c>
      <c r="TTE90" t="s">
        <v>430</v>
      </c>
      <c r="TTF90" t="s">
        <v>431</v>
      </c>
      <c r="TTG90" t="s">
        <v>432</v>
      </c>
      <c r="TTI90" t="s">
        <v>429</v>
      </c>
      <c r="TTJ90" t="s">
        <v>143</v>
      </c>
      <c r="TTK90" t="s">
        <v>398</v>
      </c>
      <c r="TTL90">
        <v>1</v>
      </c>
      <c r="TTM90" t="s">
        <v>430</v>
      </c>
      <c r="TTN90" t="s">
        <v>431</v>
      </c>
      <c r="TTO90" t="s">
        <v>432</v>
      </c>
      <c r="TTQ90" t="s">
        <v>429</v>
      </c>
      <c r="TTR90" t="s">
        <v>143</v>
      </c>
      <c r="TTS90" t="s">
        <v>398</v>
      </c>
      <c r="TTT90">
        <v>1</v>
      </c>
      <c r="TTU90" t="s">
        <v>430</v>
      </c>
      <c r="TTV90" t="s">
        <v>431</v>
      </c>
      <c r="TTW90" t="s">
        <v>432</v>
      </c>
      <c r="TTY90" t="s">
        <v>429</v>
      </c>
      <c r="TTZ90" t="s">
        <v>143</v>
      </c>
      <c r="TUA90" t="s">
        <v>398</v>
      </c>
      <c r="TUB90">
        <v>1</v>
      </c>
      <c r="TUC90" t="s">
        <v>430</v>
      </c>
      <c r="TUD90" t="s">
        <v>431</v>
      </c>
      <c r="TUE90" t="s">
        <v>432</v>
      </c>
      <c r="TUG90" t="s">
        <v>429</v>
      </c>
      <c r="TUH90" t="s">
        <v>143</v>
      </c>
      <c r="TUI90" t="s">
        <v>398</v>
      </c>
      <c r="TUJ90">
        <v>1</v>
      </c>
      <c r="TUK90" t="s">
        <v>430</v>
      </c>
      <c r="TUL90" t="s">
        <v>431</v>
      </c>
      <c r="TUM90" t="s">
        <v>432</v>
      </c>
      <c r="TUO90" t="s">
        <v>429</v>
      </c>
      <c r="TUP90" t="s">
        <v>143</v>
      </c>
      <c r="TUQ90" t="s">
        <v>398</v>
      </c>
      <c r="TUR90">
        <v>1</v>
      </c>
      <c r="TUS90" t="s">
        <v>430</v>
      </c>
      <c r="TUT90" t="s">
        <v>431</v>
      </c>
      <c r="TUU90" t="s">
        <v>432</v>
      </c>
      <c r="TUW90" t="s">
        <v>429</v>
      </c>
      <c r="TUX90" t="s">
        <v>143</v>
      </c>
      <c r="TUY90" t="s">
        <v>398</v>
      </c>
      <c r="TUZ90">
        <v>1</v>
      </c>
      <c r="TVA90" t="s">
        <v>430</v>
      </c>
      <c r="TVB90" t="s">
        <v>431</v>
      </c>
      <c r="TVC90" t="s">
        <v>432</v>
      </c>
      <c r="TVE90" t="s">
        <v>429</v>
      </c>
      <c r="TVF90" t="s">
        <v>143</v>
      </c>
      <c r="TVG90" t="s">
        <v>398</v>
      </c>
      <c r="TVH90">
        <v>1</v>
      </c>
      <c r="TVI90" t="s">
        <v>430</v>
      </c>
      <c r="TVJ90" t="s">
        <v>431</v>
      </c>
      <c r="TVK90" t="s">
        <v>432</v>
      </c>
      <c r="TVM90" t="s">
        <v>429</v>
      </c>
      <c r="TVN90" t="s">
        <v>143</v>
      </c>
      <c r="TVO90" t="s">
        <v>398</v>
      </c>
      <c r="TVP90">
        <v>1</v>
      </c>
      <c r="TVQ90" t="s">
        <v>430</v>
      </c>
      <c r="TVR90" t="s">
        <v>431</v>
      </c>
      <c r="TVS90" t="s">
        <v>432</v>
      </c>
      <c r="TVU90" t="s">
        <v>429</v>
      </c>
      <c r="TVV90" t="s">
        <v>143</v>
      </c>
      <c r="TVW90" t="s">
        <v>398</v>
      </c>
      <c r="TVX90">
        <v>1</v>
      </c>
      <c r="TVY90" t="s">
        <v>430</v>
      </c>
      <c r="TVZ90" t="s">
        <v>431</v>
      </c>
      <c r="TWA90" t="s">
        <v>432</v>
      </c>
      <c r="TWC90" t="s">
        <v>429</v>
      </c>
      <c r="TWD90" t="s">
        <v>143</v>
      </c>
      <c r="TWE90" t="s">
        <v>398</v>
      </c>
      <c r="TWF90">
        <v>1</v>
      </c>
      <c r="TWG90" t="s">
        <v>430</v>
      </c>
      <c r="TWH90" t="s">
        <v>431</v>
      </c>
      <c r="TWI90" t="s">
        <v>432</v>
      </c>
      <c r="TWK90" t="s">
        <v>429</v>
      </c>
      <c r="TWL90" t="s">
        <v>143</v>
      </c>
      <c r="TWM90" t="s">
        <v>398</v>
      </c>
      <c r="TWN90">
        <v>1</v>
      </c>
      <c r="TWO90" t="s">
        <v>430</v>
      </c>
      <c r="TWP90" t="s">
        <v>431</v>
      </c>
      <c r="TWQ90" t="s">
        <v>432</v>
      </c>
      <c r="TWS90" t="s">
        <v>429</v>
      </c>
      <c r="TWT90" t="s">
        <v>143</v>
      </c>
      <c r="TWU90" t="s">
        <v>398</v>
      </c>
      <c r="TWV90">
        <v>1</v>
      </c>
      <c r="TWW90" t="s">
        <v>430</v>
      </c>
      <c r="TWX90" t="s">
        <v>431</v>
      </c>
      <c r="TWY90" t="s">
        <v>432</v>
      </c>
      <c r="TXA90" t="s">
        <v>429</v>
      </c>
      <c r="TXB90" t="s">
        <v>143</v>
      </c>
      <c r="TXC90" t="s">
        <v>398</v>
      </c>
      <c r="TXD90">
        <v>1</v>
      </c>
      <c r="TXE90" t="s">
        <v>430</v>
      </c>
      <c r="TXF90" t="s">
        <v>431</v>
      </c>
      <c r="TXG90" t="s">
        <v>432</v>
      </c>
      <c r="TXI90" t="s">
        <v>429</v>
      </c>
      <c r="TXJ90" t="s">
        <v>143</v>
      </c>
      <c r="TXK90" t="s">
        <v>398</v>
      </c>
      <c r="TXL90">
        <v>1</v>
      </c>
      <c r="TXM90" t="s">
        <v>430</v>
      </c>
      <c r="TXN90" t="s">
        <v>431</v>
      </c>
      <c r="TXO90" t="s">
        <v>432</v>
      </c>
      <c r="TXQ90" t="s">
        <v>429</v>
      </c>
      <c r="TXR90" t="s">
        <v>143</v>
      </c>
      <c r="TXS90" t="s">
        <v>398</v>
      </c>
      <c r="TXT90">
        <v>1</v>
      </c>
      <c r="TXU90" t="s">
        <v>430</v>
      </c>
      <c r="TXV90" t="s">
        <v>431</v>
      </c>
      <c r="TXW90" t="s">
        <v>432</v>
      </c>
      <c r="TXY90" t="s">
        <v>429</v>
      </c>
      <c r="TXZ90" t="s">
        <v>143</v>
      </c>
      <c r="TYA90" t="s">
        <v>398</v>
      </c>
      <c r="TYB90">
        <v>1</v>
      </c>
      <c r="TYC90" t="s">
        <v>430</v>
      </c>
      <c r="TYD90" t="s">
        <v>431</v>
      </c>
      <c r="TYE90" t="s">
        <v>432</v>
      </c>
      <c r="TYG90" t="s">
        <v>429</v>
      </c>
      <c r="TYH90" t="s">
        <v>143</v>
      </c>
      <c r="TYI90" t="s">
        <v>398</v>
      </c>
      <c r="TYJ90">
        <v>1</v>
      </c>
      <c r="TYK90" t="s">
        <v>430</v>
      </c>
      <c r="TYL90" t="s">
        <v>431</v>
      </c>
      <c r="TYM90" t="s">
        <v>432</v>
      </c>
      <c r="TYO90" t="s">
        <v>429</v>
      </c>
      <c r="TYP90" t="s">
        <v>143</v>
      </c>
      <c r="TYQ90" t="s">
        <v>398</v>
      </c>
      <c r="TYR90">
        <v>1</v>
      </c>
      <c r="TYS90" t="s">
        <v>430</v>
      </c>
      <c r="TYT90" t="s">
        <v>431</v>
      </c>
      <c r="TYU90" t="s">
        <v>432</v>
      </c>
      <c r="TYW90" t="s">
        <v>429</v>
      </c>
      <c r="TYX90" t="s">
        <v>143</v>
      </c>
      <c r="TYY90" t="s">
        <v>398</v>
      </c>
      <c r="TYZ90">
        <v>1</v>
      </c>
      <c r="TZA90" t="s">
        <v>430</v>
      </c>
      <c r="TZB90" t="s">
        <v>431</v>
      </c>
      <c r="TZC90" t="s">
        <v>432</v>
      </c>
      <c r="TZE90" t="s">
        <v>429</v>
      </c>
      <c r="TZF90" t="s">
        <v>143</v>
      </c>
      <c r="TZG90" t="s">
        <v>398</v>
      </c>
      <c r="TZH90">
        <v>1</v>
      </c>
      <c r="TZI90" t="s">
        <v>430</v>
      </c>
      <c r="TZJ90" t="s">
        <v>431</v>
      </c>
      <c r="TZK90" t="s">
        <v>432</v>
      </c>
      <c r="TZM90" t="s">
        <v>429</v>
      </c>
      <c r="TZN90" t="s">
        <v>143</v>
      </c>
      <c r="TZO90" t="s">
        <v>398</v>
      </c>
      <c r="TZP90">
        <v>1</v>
      </c>
      <c r="TZQ90" t="s">
        <v>430</v>
      </c>
      <c r="TZR90" t="s">
        <v>431</v>
      </c>
      <c r="TZS90" t="s">
        <v>432</v>
      </c>
      <c r="TZU90" t="s">
        <v>429</v>
      </c>
      <c r="TZV90" t="s">
        <v>143</v>
      </c>
      <c r="TZW90" t="s">
        <v>398</v>
      </c>
      <c r="TZX90">
        <v>1</v>
      </c>
      <c r="TZY90" t="s">
        <v>430</v>
      </c>
      <c r="TZZ90" t="s">
        <v>431</v>
      </c>
      <c r="UAA90" t="s">
        <v>432</v>
      </c>
      <c r="UAC90" t="s">
        <v>429</v>
      </c>
      <c r="UAD90" t="s">
        <v>143</v>
      </c>
      <c r="UAE90" t="s">
        <v>398</v>
      </c>
      <c r="UAF90">
        <v>1</v>
      </c>
      <c r="UAG90" t="s">
        <v>430</v>
      </c>
      <c r="UAH90" t="s">
        <v>431</v>
      </c>
      <c r="UAI90" t="s">
        <v>432</v>
      </c>
      <c r="UAK90" t="s">
        <v>429</v>
      </c>
      <c r="UAL90" t="s">
        <v>143</v>
      </c>
      <c r="UAM90" t="s">
        <v>398</v>
      </c>
      <c r="UAN90">
        <v>1</v>
      </c>
      <c r="UAO90" t="s">
        <v>430</v>
      </c>
      <c r="UAP90" t="s">
        <v>431</v>
      </c>
      <c r="UAQ90" t="s">
        <v>432</v>
      </c>
      <c r="UAS90" t="s">
        <v>429</v>
      </c>
      <c r="UAT90" t="s">
        <v>143</v>
      </c>
      <c r="UAU90" t="s">
        <v>398</v>
      </c>
      <c r="UAV90">
        <v>1</v>
      </c>
      <c r="UAW90" t="s">
        <v>430</v>
      </c>
      <c r="UAX90" t="s">
        <v>431</v>
      </c>
      <c r="UAY90" t="s">
        <v>432</v>
      </c>
      <c r="UBA90" t="s">
        <v>429</v>
      </c>
      <c r="UBB90" t="s">
        <v>143</v>
      </c>
      <c r="UBC90" t="s">
        <v>398</v>
      </c>
      <c r="UBD90">
        <v>1</v>
      </c>
      <c r="UBE90" t="s">
        <v>430</v>
      </c>
      <c r="UBF90" t="s">
        <v>431</v>
      </c>
      <c r="UBG90" t="s">
        <v>432</v>
      </c>
      <c r="UBI90" t="s">
        <v>429</v>
      </c>
      <c r="UBJ90" t="s">
        <v>143</v>
      </c>
      <c r="UBK90" t="s">
        <v>398</v>
      </c>
      <c r="UBL90">
        <v>1</v>
      </c>
      <c r="UBM90" t="s">
        <v>430</v>
      </c>
      <c r="UBN90" t="s">
        <v>431</v>
      </c>
      <c r="UBO90" t="s">
        <v>432</v>
      </c>
      <c r="UBQ90" t="s">
        <v>429</v>
      </c>
      <c r="UBR90" t="s">
        <v>143</v>
      </c>
      <c r="UBS90" t="s">
        <v>398</v>
      </c>
      <c r="UBT90">
        <v>1</v>
      </c>
      <c r="UBU90" t="s">
        <v>430</v>
      </c>
      <c r="UBV90" t="s">
        <v>431</v>
      </c>
      <c r="UBW90" t="s">
        <v>432</v>
      </c>
      <c r="UBY90" t="s">
        <v>429</v>
      </c>
      <c r="UBZ90" t="s">
        <v>143</v>
      </c>
      <c r="UCA90" t="s">
        <v>398</v>
      </c>
      <c r="UCB90">
        <v>1</v>
      </c>
      <c r="UCC90" t="s">
        <v>430</v>
      </c>
      <c r="UCD90" t="s">
        <v>431</v>
      </c>
      <c r="UCE90" t="s">
        <v>432</v>
      </c>
      <c r="UCG90" t="s">
        <v>429</v>
      </c>
      <c r="UCH90" t="s">
        <v>143</v>
      </c>
      <c r="UCI90" t="s">
        <v>398</v>
      </c>
      <c r="UCJ90">
        <v>1</v>
      </c>
      <c r="UCK90" t="s">
        <v>430</v>
      </c>
      <c r="UCL90" t="s">
        <v>431</v>
      </c>
      <c r="UCM90" t="s">
        <v>432</v>
      </c>
      <c r="UCO90" t="s">
        <v>429</v>
      </c>
      <c r="UCP90" t="s">
        <v>143</v>
      </c>
      <c r="UCQ90" t="s">
        <v>398</v>
      </c>
      <c r="UCR90">
        <v>1</v>
      </c>
      <c r="UCS90" t="s">
        <v>430</v>
      </c>
      <c r="UCT90" t="s">
        <v>431</v>
      </c>
      <c r="UCU90" t="s">
        <v>432</v>
      </c>
      <c r="UCW90" t="s">
        <v>429</v>
      </c>
      <c r="UCX90" t="s">
        <v>143</v>
      </c>
      <c r="UCY90" t="s">
        <v>398</v>
      </c>
      <c r="UCZ90">
        <v>1</v>
      </c>
      <c r="UDA90" t="s">
        <v>430</v>
      </c>
      <c r="UDB90" t="s">
        <v>431</v>
      </c>
      <c r="UDC90" t="s">
        <v>432</v>
      </c>
      <c r="UDE90" t="s">
        <v>429</v>
      </c>
      <c r="UDF90" t="s">
        <v>143</v>
      </c>
      <c r="UDG90" t="s">
        <v>398</v>
      </c>
      <c r="UDH90">
        <v>1</v>
      </c>
      <c r="UDI90" t="s">
        <v>430</v>
      </c>
      <c r="UDJ90" t="s">
        <v>431</v>
      </c>
      <c r="UDK90" t="s">
        <v>432</v>
      </c>
      <c r="UDM90" t="s">
        <v>429</v>
      </c>
      <c r="UDN90" t="s">
        <v>143</v>
      </c>
      <c r="UDO90" t="s">
        <v>398</v>
      </c>
      <c r="UDP90">
        <v>1</v>
      </c>
      <c r="UDQ90" t="s">
        <v>430</v>
      </c>
      <c r="UDR90" t="s">
        <v>431</v>
      </c>
      <c r="UDS90" t="s">
        <v>432</v>
      </c>
      <c r="UDU90" t="s">
        <v>429</v>
      </c>
      <c r="UDV90" t="s">
        <v>143</v>
      </c>
      <c r="UDW90" t="s">
        <v>398</v>
      </c>
      <c r="UDX90">
        <v>1</v>
      </c>
      <c r="UDY90" t="s">
        <v>430</v>
      </c>
      <c r="UDZ90" t="s">
        <v>431</v>
      </c>
      <c r="UEA90" t="s">
        <v>432</v>
      </c>
      <c r="UEC90" t="s">
        <v>429</v>
      </c>
      <c r="UED90" t="s">
        <v>143</v>
      </c>
      <c r="UEE90" t="s">
        <v>398</v>
      </c>
      <c r="UEF90">
        <v>1</v>
      </c>
      <c r="UEG90" t="s">
        <v>430</v>
      </c>
      <c r="UEH90" t="s">
        <v>431</v>
      </c>
      <c r="UEI90" t="s">
        <v>432</v>
      </c>
      <c r="UEK90" t="s">
        <v>429</v>
      </c>
      <c r="UEL90" t="s">
        <v>143</v>
      </c>
      <c r="UEM90" t="s">
        <v>398</v>
      </c>
      <c r="UEN90">
        <v>1</v>
      </c>
      <c r="UEO90" t="s">
        <v>430</v>
      </c>
      <c r="UEP90" t="s">
        <v>431</v>
      </c>
      <c r="UEQ90" t="s">
        <v>432</v>
      </c>
      <c r="UES90" t="s">
        <v>429</v>
      </c>
      <c r="UET90" t="s">
        <v>143</v>
      </c>
      <c r="UEU90" t="s">
        <v>398</v>
      </c>
      <c r="UEV90">
        <v>1</v>
      </c>
      <c r="UEW90" t="s">
        <v>430</v>
      </c>
      <c r="UEX90" t="s">
        <v>431</v>
      </c>
      <c r="UEY90" t="s">
        <v>432</v>
      </c>
      <c r="UFA90" t="s">
        <v>429</v>
      </c>
      <c r="UFB90" t="s">
        <v>143</v>
      </c>
      <c r="UFC90" t="s">
        <v>398</v>
      </c>
      <c r="UFD90">
        <v>1</v>
      </c>
      <c r="UFE90" t="s">
        <v>430</v>
      </c>
      <c r="UFF90" t="s">
        <v>431</v>
      </c>
      <c r="UFG90" t="s">
        <v>432</v>
      </c>
      <c r="UFI90" t="s">
        <v>429</v>
      </c>
      <c r="UFJ90" t="s">
        <v>143</v>
      </c>
      <c r="UFK90" t="s">
        <v>398</v>
      </c>
      <c r="UFL90">
        <v>1</v>
      </c>
      <c r="UFM90" t="s">
        <v>430</v>
      </c>
      <c r="UFN90" t="s">
        <v>431</v>
      </c>
      <c r="UFO90" t="s">
        <v>432</v>
      </c>
      <c r="UFQ90" t="s">
        <v>429</v>
      </c>
      <c r="UFR90" t="s">
        <v>143</v>
      </c>
      <c r="UFS90" t="s">
        <v>398</v>
      </c>
      <c r="UFT90">
        <v>1</v>
      </c>
      <c r="UFU90" t="s">
        <v>430</v>
      </c>
      <c r="UFV90" t="s">
        <v>431</v>
      </c>
      <c r="UFW90" t="s">
        <v>432</v>
      </c>
      <c r="UFY90" t="s">
        <v>429</v>
      </c>
      <c r="UFZ90" t="s">
        <v>143</v>
      </c>
      <c r="UGA90" t="s">
        <v>398</v>
      </c>
      <c r="UGB90">
        <v>1</v>
      </c>
      <c r="UGC90" t="s">
        <v>430</v>
      </c>
      <c r="UGD90" t="s">
        <v>431</v>
      </c>
      <c r="UGE90" t="s">
        <v>432</v>
      </c>
      <c r="UGG90" t="s">
        <v>429</v>
      </c>
      <c r="UGH90" t="s">
        <v>143</v>
      </c>
      <c r="UGI90" t="s">
        <v>398</v>
      </c>
      <c r="UGJ90">
        <v>1</v>
      </c>
      <c r="UGK90" t="s">
        <v>430</v>
      </c>
      <c r="UGL90" t="s">
        <v>431</v>
      </c>
      <c r="UGM90" t="s">
        <v>432</v>
      </c>
      <c r="UGO90" t="s">
        <v>429</v>
      </c>
      <c r="UGP90" t="s">
        <v>143</v>
      </c>
      <c r="UGQ90" t="s">
        <v>398</v>
      </c>
      <c r="UGR90">
        <v>1</v>
      </c>
      <c r="UGS90" t="s">
        <v>430</v>
      </c>
      <c r="UGT90" t="s">
        <v>431</v>
      </c>
      <c r="UGU90" t="s">
        <v>432</v>
      </c>
      <c r="UGW90" t="s">
        <v>429</v>
      </c>
      <c r="UGX90" t="s">
        <v>143</v>
      </c>
      <c r="UGY90" t="s">
        <v>398</v>
      </c>
      <c r="UGZ90">
        <v>1</v>
      </c>
      <c r="UHA90" t="s">
        <v>430</v>
      </c>
      <c r="UHB90" t="s">
        <v>431</v>
      </c>
      <c r="UHC90" t="s">
        <v>432</v>
      </c>
      <c r="UHE90" t="s">
        <v>429</v>
      </c>
      <c r="UHF90" t="s">
        <v>143</v>
      </c>
      <c r="UHG90" t="s">
        <v>398</v>
      </c>
      <c r="UHH90">
        <v>1</v>
      </c>
      <c r="UHI90" t="s">
        <v>430</v>
      </c>
      <c r="UHJ90" t="s">
        <v>431</v>
      </c>
      <c r="UHK90" t="s">
        <v>432</v>
      </c>
      <c r="UHM90" t="s">
        <v>429</v>
      </c>
      <c r="UHN90" t="s">
        <v>143</v>
      </c>
      <c r="UHO90" t="s">
        <v>398</v>
      </c>
      <c r="UHP90">
        <v>1</v>
      </c>
      <c r="UHQ90" t="s">
        <v>430</v>
      </c>
      <c r="UHR90" t="s">
        <v>431</v>
      </c>
      <c r="UHS90" t="s">
        <v>432</v>
      </c>
      <c r="UHU90" t="s">
        <v>429</v>
      </c>
      <c r="UHV90" t="s">
        <v>143</v>
      </c>
      <c r="UHW90" t="s">
        <v>398</v>
      </c>
      <c r="UHX90">
        <v>1</v>
      </c>
      <c r="UHY90" t="s">
        <v>430</v>
      </c>
      <c r="UHZ90" t="s">
        <v>431</v>
      </c>
      <c r="UIA90" t="s">
        <v>432</v>
      </c>
      <c r="UIC90" t="s">
        <v>429</v>
      </c>
      <c r="UID90" t="s">
        <v>143</v>
      </c>
      <c r="UIE90" t="s">
        <v>398</v>
      </c>
      <c r="UIF90">
        <v>1</v>
      </c>
      <c r="UIG90" t="s">
        <v>430</v>
      </c>
      <c r="UIH90" t="s">
        <v>431</v>
      </c>
      <c r="UII90" t="s">
        <v>432</v>
      </c>
      <c r="UIK90" t="s">
        <v>429</v>
      </c>
      <c r="UIL90" t="s">
        <v>143</v>
      </c>
      <c r="UIM90" t="s">
        <v>398</v>
      </c>
      <c r="UIN90">
        <v>1</v>
      </c>
      <c r="UIO90" t="s">
        <v>430</v>
      </c>
      <c r="UIP90" t="s">
        <v>431</v>
      </c>
      <c r="UIQ90" t="s">
        <v>432</v>
      </c>
      <c r="UIS90" t="s">
        <v>429</v>
      </c>
      <c r="UIT90" t="s">
        <v>143</v>
      </c>
      <c r="UIU90" t="s">
        <v>398</v>
      </c>
      <c r="UIV90">
        <v>1</v>
      </c>
      <c r="UIW90" t="s">
        <v>430</v>
      </c>
      <c r="UIX90" t="s">
        <v>431</v>
      </c>
      <c r="UIY90" t="s">
        <v>432</v>
      </c>
      <c r="UJA90" t="s">
        <v>429</v>
      </c>
      <c r="UJB90" t="s">
        <v>143</v>
      </c>
      <c r="UJC90" t="s">
        <v>398</v>
      </c>
      <c r="UJD90">
        <v>1</v>
      </c>
      <c r="UJE90" t="s">
        <v>430</v>
      </c>
      <c r="UJF90" t="s">
        <v>431</v>
      </c>
      <c r="UJG90" t="s">
        <v>432</v>
      </c>
      <c r="UJI90" t="s">
        <v>429</v>
      </c>
      <c r="UJJ90" t="s">
        <v>143</v>
      </c>
      <c r="UJK90" t="s">
        <v>398</v>
      </c>
      <c r="UJL90">
        <v>1</v>
      </c>
      <c r="UJM90" t="s">
        <v>430</v>
      </c>
      <c r="UJN90" t="s">
        <v>431</v>
      </c>
      <c r="UJO90" t="s">
        <v>432</v>
      </c>
      <c r="UJQ90" t="s">
        <v>429</v>
      </c>
      <c r="UJR90" t="s">
        <v>143</v>
      </c>
      <c r="UJS90" t="s">
        <v>398</v>
      </c>
      <c r="UJT90">
        <v>1</v>
      </c>
      <c r="UJU90" t="s">
        <v>430</v>
      </c>
      <c r="UJV90" t="s">
        <v>431</v>
      </c>
      <c r="UJW90" t="s">
        <v>432</v>
      </c>
      <c r="UJY90" t="s">
        <v>429</v>
      </c>
      <c r="UJZ90" t="s">
        <v>143</v>
      </c>
      <c r="UKA90" t="s">
        <v>398</v>
      </c>
      <c r="UKB90">
        <v>1</v>
      </c>
      <c r="UKC90" t="s">
        <v>430</v>
      </c>
      <c r="UKD90" t="s">
        <v>431</v>
      </c>
      <c r="UKE90" t="s">
        <v>432</v>
      </c>
      <c r="UKG90" t="s">
        <v>429</v>
      </c>
      <c r="UKH90" t="s">
        <v>143</v>
      </c>
      <c r="UKI90" t="s">
        <v>398</v>
      </c>
      <c r="UKJ90">
        <v>1</v>
      </c>
      <c r="UKK90" t="s">
        <v>430</v>
      </c>
      <c r="UKL90" t="s">
        <v>431</v>
      </c>
      <c r="UKM90" t="s">
        <v>432</v>
      </c>
      <c r="UKO90" t="s">
        <v>429</v>
      </c>
      <c r="UKP90" t="s">
        <v>143</v>
      </c>
      <c r="UKQ90" t="s">
        <v>398</v>
      </c>
      <c r="UKR90">
        <v>1</v>
      </c>
      <c r="UKS90" t="s">
        <v>430</v>
      </c>
      <c r="UKT90" t="s">
        <v>431</v>
      </c>
      <c r="UKU90" t="s">
        <v>432</v>
      </c>
      <c r="UKW90" t="s">
        <v>429</v>
      </c>
      <c r="UKX90" t="s">
        <v>143</v>
      </c>
      <c r="UKY90" t="s">
        <v>398</v>
      </c>
      <c r="UKZ90">
        <v>1</v>
      </c>
      <c r="ULA90" t="s">
        <v>430</v>
      </c>
      <c r="ULB90" t="s">
        <v>431</v>
      </c>
      <c r="ULC90" t="s">
        <v>432</v>
      </c>
      <c r="ULE90" t="s">
        <v>429</v>
      </c>
      <c r="ULF90" t="s">
        <v>143</v>
      </c>
      <c r="ULG90" t="s">
        <v>398</v>
      </c>
      <c r="ULH90">
        <v>1</v>
      </c>
      <c r="ULI90" t="s">
        <v>430</v>
      </c>
      <c r="ULJ90" t="s">
        <v>431</v>
      </c>
      <c r="ULK90" t="s">
        <v>432</v>
      </c>
      <c r="ULM90" t="s">
        <v>429</v>
      </c>
      <c r="ULN90" t="s">
        <v>143</v>
      </c>
      <c r="ULO90" t="s">
        <v>398</v>
      </c>
      <c r="ULP90">
        <v>1</v>
      </c>
      <c r="ULQ90" t="s">
        <v>430</v>
      </c>
      <c r="ULR90" t="s">
        <v>431</v>
      </c>
      <c r="ULS90" t="s">
        <v>432</v>
      </c>
      <c r="ULU90" t="s">
        <v>429</v>
      </c>
      <c r="ULV90" t="s">
        <v>143</v>
      </c>
      <c r="ULW90" t="s">
        <v>398</v>
      </c>
      <c r="ULX90">
        <v>1</v>
      </c>
      <c r="ULY90" t="s">
        <v>430</v>
      </c>
      <c r="ULZ90" t="s">
        <v>431</v>
      </c>
      <c r="UMA90" t="s">
        <v>432</v>
      </c>
      <c r="UMC90" t="s">
        <v>429</v>
      </c>
      <c r="UMD90" t="s">
        <v>143</v>
      </c>
      <c r="UME90" t="s">
        <v>398</v>
      </c>
      <c r="UMF90">
        <v>1</v>
      </c>
      <c r="UMG90" t="s">
        <v>430</v>
      </c>
      <c r="UMH90" t="s">
        <v>431</v>
      </c>
      <c r="UMI90" t="s">
        <v>432</v>
      </c>
      <c r="UMK90" t="s">
        <v>429</v>
      </c>
      <c r="UML90" t="s">
        <v>143</v>
      </c>
      <c r="UMM90" t="s">
        <v>398</v>
      </c>
      <c r="UMN90">
        <v>1</v>
      </c>
      <c r="UMO90" t="s">
        <v>430</v>
      </c>
      <c r="UMP90" t="s">
        <v>431</v>
      </c>
      <c r="UMQ90" t="s">
        <v>432</v>
      </c>
      <c r="UMS90" t="s">
        <v>429</v>
      </c>
      <c r="UMT90" t="s">
        <v>143</v>
      </c>
      <c r="UMU90" t="s">
        <v>398</v>
      </c>
      <c r="UMV90">
        <v>1</v>
      </c>
      <c r="UMW90" t="s">
        <v>430</v>
      </c>
      <c r="UMX90" t="s">
        <v>431</v>
      </c>
      <c r="UMY90" t="s">
        <v>432</v>
      </c>
      <c r="UNA90" t="s">
        <v>429</v>
      </c>
      <c r="UNB90" t="s">
        <v>143</v>
      </c>
      <c r="UNC90" t="s">
        <v>398</v>
      </c>
      <c r="UND90">
        <v>1</v>
      </c>
      <c r="UNE90" t="s">
        <v>430</v>
      </c>
      <c r="UNF90" t="s">
        <v>431</v>
      </c>
      <c r="UNG90" t="s">
        <v>432</v>
      </c>
      <c r="UNI90" t="s">
        <v>429</v>
      </c>
      <c r="UNJ90" t="s">
        <v>143</v>
      </c>
      <c r="UNK90" t="s">
        <v>398</v>
      </c>
      <c r="UNL90">
        <v>1</v>
      </c>
      <c r="UNM90" t="s">
        <v>430</v>
      </c>
      <c r="UNN90" t="s">
        <v>431</v>
      </c>
      <c r="UNO90" t="s">
        <v>432</v>
      </c>
      <c r="UNQ90" t="s">
        <v>429</v>
      </c>
      <c r="UNR90" t="s">
        <v>143</v>
      </c>
      <c r="UNS90" t="s">
        <v>398</v>
      </c>
      <c r="UNT90">
        <v>1</v>
      </c>
      <c r="UNU90" t="s">
        <v>430</v>
      </c>
      <c r="UNV90" t="s">
        <v>431</v>
      </c>
      <c r="UNW90" t="s">
        <v>432</v>
      </c>
      <c r="UNY90" t="s">
        <v>429</v>
      </c>
      <c r="UNZ90" t="s">
        <v>143</v>
      </c>
      <c r="UOA90" t="s">
        <v>398</v>
      </c>
      <c r="UOB90">
        <v>1</v>
      </c>
      <c r="UOC90" t="s">
        <v>430</v>
      </c>
      <c r="UOD90" t="s">
        <v>431</v>
      </c>
      <c r="UOE90" t="s">
        <v>432</v>
      </c>
      <c r="UOG90" t="s">
        <v>429</v>
      </c>
      <c r="UOH90" t="s">
        <v>143</v>
      </c>
      <c r="UOI90" t="s">
        <v>398</v>
      </c>
      <c r="UOJ90">
        <v>1</v>
      </c>
      <c r="UOK90" t="s">
        <v>430</v>
      </c>
      <c r="UOL90" t="s">
        <v>431</v>
      </c>
      <c r="UOM90" t="s">
        <v>432</v>
      </c>
      <c r="UOO90" t="s">
        <v>429</v>
      </c>
      <c r="UOP90" t="s">
        <v>143</v>
      </c>
      <c r="UOQ90" t="s">
        <v>398</v>
      </c>
      <c r="UOR90">
        <v>1</v>
      </c>
      <c r="UOS90" t="s">
        <v>430</v>
      </c>
      <c r="UOT90" t="s">
        <v>431</v>
      </c>
      <c r="UOU90" t="s">
        <v>432</v>
      </c>
      <c r="UOW90" t="s">
        <v>429</v>
      </c>
      <c r="UOX90" t="s">
        <v>143</v>
      </c>
      <c r="UOY90" t="s">
        <v>398</v>
      </c>
      <c r="UOZ90">
        <v>1</v>
      </c>
      <c r="UPA90" t="s">
        <v>430</v>
      </c>
      <c r="UPB90" t="s">
        <v>431</v>
      </c>
      <c r="UPC90" t="s">
        <v>432</v>
      </c>
      <c r="UPE90" t="s">
        <v>429</v>
      </c>
      <c r="UPF90" t="s">
        <v>143</v>
      </c>
      <c r="UPG90" t="s">
        <v>398</v>
      </c>
      <c r="UPH90">
        <v>1</v>
      </c>
      <c r="UPI90" t="s">
        <v>430</v>
      </c>
      <c r="UPJ90" t="s">
        <v>431</v>
      </c>
      <c r="UPK90" t="s">
        <v>432</v>
      </c>
      <c r="UPM90" t="s">
        <v>429</v>
      </c>
      <c r="UPN90" t="s">
        <v>143</v>
      </c>
      <c r="UPO90" t="s">
        <v>398</v>
      </c>
      <c r="UPP90">
        <v>1</v>
      </c>
      <c r="UPQ90" t="s">
        <v>430</v>
      </c>
      <c r="UPR90" t="s">
        <v>431</v>
      </c>
      <c r="UPS90" t="s">
        <v>432</v>
      </c>
      <c r="UPU90" t="s">
        <v>429</v>
      </c>
      <c r="UPV90" t="s">
        <v>143</v>
      </c>
      <c r="UPW90" t="s">
        <v>398</v>
      </c>
      <c r="UPX90">
        <v>1</v>
      </c>
      <c r="UPY90" t="s">
        <v>430</v>
      </c>
      <c r="UPZ90" t="s">
        <v>431</v>
      </c>
      <c r="UQA90" t="s">
        <v>432</v>
      </c>
      <c r="UQC90" t="s">
        <v>429</v>
      </c>
      <c r="UQD90" t="s">
        <v>143</v>
      </c>
      <c r="UQE90" t="s">
        <v>398</v>
      </c>
      <c r="UQF90">
        <v>1</v>
      </c>
      <c r="UQG90" t="s">
        <v>430</v>
      </c>
      <c r="UQH90" t="s">
        <v>431</v>
      </c>
      <c r="UQI90" t="s">
        <v>432</v>
      </c>
      <c r="UQK90" t="s">
        <v>429</v>
      </c>
      <c r="UQL90" t="s">
        <v>143</v>
      </c>
      <c r="UQM90" t="s">
        <v>398</v>
      </c>
      <c r="UQN90">
        <v>1</v>
      </c>
      <c r="UQO90" t="s">
        <v>430</v>
      </c>
      <c r="UQP90" t="s">
        <v>431</v>
      </c>
      <c r="UQQ90" t="s">
        <v>432</v>
      </c>
      <c r="UQS90" t="s">
        <v>429</v>
      </c>
      <c r="UQT90" t="s">
        <v>143</v>
      </c>
      <c r="UQU90" t="s">
        <v>398</v>
      </c>
      <c r="UQV90">
        <v>1</v>
      </c>
      <c r="UQW90" t="s">
        <v>430</v>
      </c>
      <c r="UQX90" t="s">
        <v>431</v>
      </c>
      <c r="UQY90" t="s">
        <v>432</v>
      </c>
      <c r="URA90" t="s">
        <v>429</v>
      </c>
      <c r="URB90" t="s">
        <v>143</v>
      </c>
      <c r="URC90" t="s">
        <v>398</v>
      </c>
      <c r="URD90">
        <v>1</v>
      </c>
      <c r="URE90" t="s">
        <v>430</v>
      </c>
      <c r="URF90" t="s">
        <v>431</v>
      </c>
      <c r="URG90" t="s">
        <v>432</v>
      </c>
      <c r="URI90" t="s">
        <v>429</v>
      </c>
      <c r="URJ90" t="s">
        <v>143</v>
      </c>
      <c r="URK90" t="s">
        <v>398</v>
      </c>
      <c r="URL90">
        <v>1</v>
      </c>
      <c r="URM90" t="s">
        <v>430</v>
      </c>
      <c r="URN90" t="s">
        <v>431</v>
      </c>
      <c r="URO90" t="s">
        <v>432</v>
      </c>
      <c r="URQ90" t="s">
        <v>429</v>
      </c>
      <c r="URR90" t="s">
        <v>143</v>
      </c>
      <c r="URS90" t="s">
        <v>398</v>
      </c>
      <c r="URT90">
        <v>1</v>
      </c>
      <c r="URU90" t="s">
        <v>430</v>
      </c>
      <c r="URV90" t="s">
        <v>431</v>
      </c>
      <c r="URW90" t="s">
        <v>432</v>
      </c>
      <c r="URY90" t="s">
        <v>429</v>
      </c>
      <c r="URZ90" t="s">
        <v>143</v>
      </c>
      <c r="USA90" t="s">
        <v>398</v>
      </c>
      <c r="USB90">
        <v>1</v>
      </c>
      <c r="USC90" t="s">
        <v>430</v>
      </c>
      <c r="USD90" t="s">
        <v>431</v>
      </c>
      <c r="USE90" t="s">
        <v>432</v>
      </c>
      <c r="USG90" t="s">
        <v>429</v>
      </c>
      <c r="USH90" t="s">
        <v>143</v>
      </c>
      <c r="USI90" t="s">
        <v>398</v>
      </c>
      <c r="USJ90">
        <v>1</v>
      </c>
      <c r="USK90" t="s">
        <v>430</v>
      </c>
      <c r="USL90" t="s">
        <v>431</v>
      </c>
      <c r="USM90" t="s">
        <v>432</v>
      </c>
      <c r="USO90" t="s">
        <v>429</v>
      </c>
      <c r="USP90" t="s">
        <v>143</v>
      </c>
      <c r="USQ90" t="s">
        <v>398</v>
      </c>
      <c r="USR90">
        <v>1</v>
      </c>
      <c r="USS90" t="s">
        <v>430</v>
      </c>
      <c r="UST90" t="s">
        <v>431</v>
      </c>
      <c r="USU90" t="s">
        <v>432</v>
      </c>
      <c r="USW90" t="s">
        <v>429</v>
      </c>
      <c r="USX90" t="s">
        <v>143</v>
      </c>
      <c r="USY90" t="s">
        <v>398</v>
      </c>
      <c r="USZ90">
        <v>1</v>
      </c>
      <c r="UTA90" t="s">
        <v>430</v>
      </c>
      <c r="UTB90" t="s">
        <v>431</v>
      </c>
      <c r="UTC90" t="s">
        <v>432</v>
      </c>
      <c r="UTE90" t="s">
        <v>429</v>
      </c>
      <c r="UTF90" t="s">
        <v>143</v>
      </c>
      <c r="UTG90" t="s">
        <v>398</v>
      </c>
      <c r="UTH90">
        <v>1</v>
      </c>
      <c r="UTI90" t="s">
        <v>430</v>
      </c>
      <c r="UTJ90" t="s">
        <v>431</v>
      </c>
      <c r="UTK90" t="s">
        <v>432</v>
      </c>
      <c r="UTM90" t="s">
        <v>429</v>
      </c>
      <c r="UTN90" t="s">
        <v>143</v>
      </c>
      <c r="UTO90" t="s">
        <v>398</v>
      </c>
      <c r="UTP90">
        <v>1</v>
      </c>
      <c r="UTQ90" t="s">
        <v>430</v>
      </c>
      <c r="UTR90" t="s">
        <v>431</v>
      </c>
      <c r="UTS90" t="s">
        <v>432</v>
      </c>
      <c r="UTU90" t="s">
        <v>429</v>
      </c>
      <c r="UTV90" t="s">
        <v>143</v>
      </c>
      <c r="UTW90" t="s">
        <v>398</v>
      </c>
      <c r="UTX90">
        <v>1</v>
      </c>
      <c r="UTY90" t="s">
        <v>430</v>
      </c>
      <c r="UTZ90" t="s">
        <v>431</v>
      </c>
      <c r="UUA90" t="s">
        <v>432</v>
      </c>
      <c r="UUC90" t="s">
        <v>429</v>
      </c>
      <c r="UUD90" t="s">
        <v>143</v>
      </c>
      <c r="UUE90" t="s">
        <v>398</v>
      </c>
      <c r="UUF90">
        <v>1</v>
      </c>
      <c r="UUG90" t="s">
        <v>430</v>
      </c>
      <c r="UUH90" t="s">
        <v>431</v>
      </c>
      <c r="UUI90" t="s">
        <v>432</v>
      </c>
      <c r="UUK90" t="s">
        <v>429</v>
      </c>
      <c r="UUL90" t="s">
        <v>143</v>
      </c>
      <c r="UUM90" t="s">
        <v>398</v>
      </c>
      <c r="UUN90">
        <v>1</v>
      </c>
      <c r="UUO90" t="s">
        <v>430</v>
      </c>
      <c r="UUP90" t="s">
        <v>431</v>
      </c>
      <c r="UUQ90" t="s">
        <v>432</v>
      </c>
      <c r="UUS90" t="s">
        <v>429</v>
      </c>
      <c r="UUT90" t="s">
        <v>143</v>
      </c>
      <c r="UUU90" t="s">
        <v>398</v>
      </c>
      <c r="UUV90">
        <v>1</v>
      </c>
      <c r="UUW90" t="s">
        <v>430</v>
      </c>
      <c r="UUX90" t="s">
        <v>431</v>
      </c>
      <c r="UUY90" t="s">
        <v>432</v>
      </c>
      <c r="UVA90" t="s">
        <v>429</v>
      </c>
      <c r="UVB90" t="s">
        <v>143</v>
      </c>
      <c r="UVC90" t="s">
        <v>398</v>
      </c>
      <c r="UVD90">
        <v>1</v>
      </c>
      <c r="UVE90" t="s">
        <v>430</v>
      </c>
      <c r="UVF90" t="s">
        <v>431</v>
      </c>
      <c r="UVG90" t="s">
        <v>432</v>
      </c>
      <c r="UVI90" t="s">
        <v>429</v>
      </c>
      <c r="UVJ90" t="s">
        <v>143</v>
      </c>
      <c r="UVK90" t="s">
        <v>398</v>
      </c>
      <c r="UVL90">
        <v>1</v>
      </c>
      <c r="UVM90" t="s">
        <v>430</v>
      </c>
      <c r="UVN90" t="s">
        <v>431</v>
      </c>
      <c r="UVO90" t="s">
        <v>432</v>
      </c>
      <c r="UVQ90" t="s">
        <v>429</v>
      </c>
      <c r="UVR90" t="s">
        <v>143</v>
      </c>
      <c r="UVS90" t="s">
        <v>398</v>
      </c>
      <c r="UVT90">
        <v>1</v>
      </c>
      <c r="UVU90" t="s">
        <v>430</v>
      </c>
      <c r="UVV90" t="s">
        <v>431</v>
      </c>
      <c r="UVW90" t="s">
        <v>432</v>
      </c>
      <c r="UVY90" t="s">
        <v>429</v>
      </c>
      <c r="UVZ90" t="s">
        <v>143</v>
      </c>
      <c r="UWA90" t="s">
        <v>398</v>
      </c>
      <c r="UWB90">
        <v>1</v>
      </c>
      <c r="UWC90" t="s">
        <v>430</v>
      </c>
      <c r="UWD90" t="s">
        <v>431</v>
      </c>
      <c r="UWE90" t="s">
        <v>432</v>
      </c>
      <c r="UWG90" t="s">
        <v>429</v>
      </c>
      <c r="UWH90" t="s">
        <v>143</v>
      </c>
      <c r="UWI90" t="s">
        <v>398</v>
      </c>
      <c r="UWJ90">
        <v>1</v>
      </c>
      <c r="UWK90" t="s">
        <v>430</v>
      </c>
      <c r="UWL90" t="s">
        <v>431</v>
      </c>
      <c r="UWM90" t="s">
        <v>432</v>
      </c>
      <c r="UWO90" t="s">
        <v>429</v>
      </c>
      <c r="UWP90" t="s">
        <v>143</v>
      </c>
      <c r="UWQ90" t="s">
        <v>398</v>
      </c>
      <c r="UWR90">
        <v>1</v>
      </c>
      <c r="UWS90" t="s">
        <v>430</v>
      </c>
      <c r="UWT90" t="s">
        <v>431</v>
      </c>
      <c r="UWU90" t="s">
        <v>432</v>
      </c>
      <c r="UWW90" t="s">
        <v>429</v>
      </c>
      <c r="UWX90" t="s">
        <v>143</v>
      </c>
      <c r="UWY90" t="s">
        <v>398</v>
      </c>
      <c r="UWZ90">
        <v>1</v>
      </c>
      <c r="UXA90" t="s">
        <v>430</v>
      </c>
      <c r="UXB90" t="s">
        <v>431</v>
      </c>
      <c r="UXC90" t="s">
        <v>432</v>
      </c>
      <c r="UXE90" t="s">
        <v>429</v>
      </c>
      <c r="UXF90" t="s">
        <v>143</v>
      </c>
      <c r="UXG90" t="s">
        <v>398</v>
      </c>
      <c r="UXH90">
        <v>1</v>
      </c>
      <c r="UXI90" t="s">
        <v>430</v>
      </c>
      <c r="UXJ90" t="s">
        <v>431</v>
      </c>
      <c r="UXK90" t="s">
        <v>432</v>
      </c>
      <c r="UXM90" t="s">
        <v>429</v>
      </c>
      <c r="UXN90" t="s">
        <v>143</v>
      </c>
      <c r="UXO90" t="s">
        <v>398</v>
      </c>
      <c r="UXP90">
        <v>1</v>
      </c>
      <c r="UXQ90" t="s">
        <v>430</v>
      </c>
      <c r="UXR90" t="s">
        <v>431</v>
      </c>
      <c r="UXS90" t="s">
        <v>432</v>
      </c>
      <c r="UXU90" t="s">
        <v>429</v>
      </c>
      <c r="UXV90" t="s">
        <v>143</v>
      </c>
      <c r="UXW90" t="s">
        <v>398</v>
      </c>
      <c r="UXX90">
        <v>1</v>
      </c>
      <c r="UXY90" t="s">
        <v>430</v>
      </c>
      <c r="UXZ90" t="s">
        <v>431</v>
      </c>
      <c r="UYA90" t="s">
        <v>432</v>
      </c>
      <c r="UYC90" t="s">
        <v>429</v>
      </c>
      <c r="UYD90" t="s">
        <v>143</v>
      </c>
      <c r="UYE90" t="s">
        <v>398</v>
      </c>
      <c r="UYF90">
        <v>1</v>
      </c>
      <c r="UYG90" t="s">
        <v>430</v>
      </c>
      <c r="UYH90" t="s">
        <v>431</v>
      </c>
      <c r="UYI90" t="s">
        <v>432</v>
      </c>
      <c r="UYK90" t="s">
        <v>429</v>
      </c>
      <c r="UYL90" t="s">
        <v>143</v>
      </c>
      <c r="UYM90" t="s">
        <v>398</v>
      </c>
      <c r="UYN90">
        <v>1</v>
      </c>
      <c r="UYO90" t="s">
        <v>430</v>
      </c>
      <c r="UYP90" t="s">
        <v>431</v>
      </c>
      <c r="UYQ90" t="s">
        <v>432</v>
      </c>
      <c r="UYS90" t="s">
        <v>429</v>
      </c>
      <c r="UYT90" t="s">
        <v>143</v>
      </c>
      <c r="UYU90" t="s">
        <v>398</v>
      </c>
      <c r="UYV90">
        <v>1</v>
      </c>
      <c r="UYW90" t="s">
        <v>430</v>
      </c>
      <c r="UYX90" t="s">
        <v>431</v>
      </c>
      <c r="UYY90" t="s">
        <v>432</v>
      </c>
      <c r="UZA90" t="s">
        <v>429</v>
      </c>
      <c r="UZB90" t="s">
        <v>143</v>
      </c>
      <c r="UZC90" t="s">
        <v>398</v>
      </c>
      <c r="UZD90">
        <v>1</v>
      </c>
      <c r="UZE90" t="s">
        <v>430</v>
      </c>
      <c r="UZF90" t="s">
        <v>431</v>
      </c>
      <c r="UZG90" t="s">
        <v>432</v>
      </c>
      <c r="UZI90" t="s">
        <v>429</v>
      </c>
      <c r="UZJ90" t="s">
        <v>143</v>
      </c>
      <c r="UZK90" t="s">
        <v>398</v>
      </c>
      <c r="UZL90">
        <v>1</v>
      </c>
      <c r="UZM90" t="s">
        <v>430</v>
      </c>
      <c r="UZN90" t="s">
        <v>431</v>
      </c>
      <c r="UZO90" t="s">
        <v>432</v>
      </c>
      <c r="UZQ90" t="s">
        <v>429</v>
      </c>
      <c r="UZR90" t="s">
        <v>143</v>
      </c>
      <c r="UZS90" t="s">
        <v>398</v>
      </c>
      <c r="UZT90">
        <v>1</v>
      </c>
      <c r="UZU90" t="s">
        <v>430</v>
      </c>
      <c r="UZV90" t="s">
        <v>431</v>
      </c>
      <c r="UZW90" t="s">
        <v>432</v>
      </c>
      <c r="UZY90" t="s">
        <v>429</v>
      </c>
      <c r="UZZ90" t="s">
        <v>143</v>
      </c>
      <c r="VAA90" t="s">
        <v>398</v>
      </c>
      <c r="VAB90">
        <v>1</v>
      </c>
      <c r="VAC90" t="s">
        <v>430</v>
      </c>
      <c r="VAD90" t="s">
        <v>431</v>
      </c>
      <c r="VAE90" t="s">
        <v>432</v>
      </c>
      <c r="VAG90" t="s">
        <v>429</v>
      </c>
      <c r="VAH90" t="s">
        <v>143</v>
      </c>
      <c r="VAI90" t="s">
        <v>398</v>
      </c>
      <c r="VAJ90">
        <v>1</v>
      </c>
      <c r="VAK90" t="s">
        <v>430</v>
      </c>
      <c r="VAL90" t="s">
        <v>431</v>
      </c>
      <c r="VAM90" t="s">
        <v>432</v>
      </c>
      <c r="VAO90" t="s">
        <v>429</v>
      </c>
      <c r="VAP90" t="s">
        <v>143</v>
      </c>
      <c r="VAQ90" t="s">
        <v>398</v>
      </c>
      <c r="VAR90">
        <v>1</v>
      </c>
      <c r="VAS90" t="s">
        <v>430</v>
      </c>
      <c r="VAT90" t="s">
        <v>431</v>
      </c>
      <c r="VAU90" t="s">
        <v>432</v>
      </c>
      <c r="VAW90" t="s">
        <v>429</v>
      </c>
      <c r="VAX90" t="s">
        <v>143</v>
      </c>
      <c r="VAY90" t="s">
        <v>398</v>
      </c>
      <c r="VAZ90">
        <v>1</v>
      </c>
      <c r="VBA90" t="s">
        <v>430</v>
      </c>
      <c r="VBB90" t="s">
        <v>431</v>
      </c>
      <c r="VBC90" t="s">
        <v>432</v>
      </c>
      <c r="VBE90" t="s">
        <v>429</v>
      </c>
      <c r="VBF90" t="s">
        <v>143</v>
      </c>
      <c r="VBG90" t="s">
        <v>398</v>
      </c>
      <c r="VBH90">
        <v>1</v>
      </c>
      <c r="VBI90" t="s">
        <v>430</v>
      </c>
      <c r="VBJ90" t="s">
        <v>431</v>
      </c>
      <c r="VBK90" t="s">
        <v>432</v>
      </c>
      <c r="VBM90" t="s">
        <v>429</v>
      </c>
      <c r="VBN90" t="s">
        <v>143</v>
      </c>
      <c r="VBO90" t="s">
        <v>398</v>
      </c>
      <c r="VBP90">
        <v>1</v>
      </c>
      <c r="VBQ90" t="s">
        <v>430</v>
      </c>
      <c r="VBR90" t="s">
        <v>431</v>
      </c>
      <c r="VBS90" t="s">
        <v>432</v>
      </c>
      <c r="VBU90" t="s">
        <v>429</v>
      </c>
      <c r="VBV90" t="s">
        <v>143</v>
      </c>
      <c r="VBW90" t="s">
        <v>398</v>
      </c>
      <c r="VBX90">
        <v>1</v>
      </c>
      <c r="VBY90" t="s">
        <v>430</v>
      </c>
      <c r="VBZ90" t="s">
        <v>431</v>
      </c>
      <c r="VCA90" t="s">
        <v>432</v>
      </c>
      <c r="VCC90" t="s">
        <v>429</v>
      </c>
      <c r="VCD90" t="s">
        <v>143</v>
      </c>
      <c r="VCE90" t="s">
        <v>398</v>
      </c>
      <c r="VCF90">
        <v>1</v>
      </c>
      <c r="VCG90" t="s">
        <v>430</v>
      </c>
      <c r="VCH90" t="s">
        <v>431</v>
      </c>
      <c r="VCI90" t="s">
        <v>432</v>
      </c>
      <c r="VCK90" t="s">
        <v>429</v>
      </c>
      <c r="VCL90" t="s">
        <v>143</v>
      </c>
      <c r="VCM90" t="s">
        <v>398</v>
      </c>
      <c r="VCN90">
        <v>1</v>
      </c>
      <c r="VCO90" t="s">
        <v>430</v>
      </c>
      <c r="VCP90" t="s">
        <v>431</v>
      </c>
      <c r="VCQ90" t="s">
        <v>432</v>
      </c>
      <c r="VCS90" t="s">
        <v>429</v>
      </c>
      <c r="VCT90" t="s">
        <v>143</v>
      </c>
      <c r="VCU90" t="s">
        <v>398</v>
      </c>
      <c r="VCV90">
        <v>1</v>
      </c>
      <c r="VCW90" t="s">
        <v>430</v>
      </c>
      <c r="VCX90" t="s">
        <v>431</v>
      </c>
      <c r="VCY90" t="s">
        <v>432</v>
      </c>
      <c r="VDA90" t="s">
        <v>429</v>
      </c>
      <c r="VDB90" t="s">
        <v>143</v>
      </c>
      <c r="VDC90" t="s">
        <v>398</v>
      </c>
      <c r="VDD90">
        <v>1</v>
      </c>
      <c r="VDE90" t="s">
        <v>430</v>
      </c>
      <c r="VDF90" t="s">
        <v>431</v>
      </c>
      <c r="VDG90" t="s">
        <v>432</v>
      </c>
      <c r="VDI90" t="s">
        <v>429</v>
      </c>
      <c r="VDJ90" t="s">
        <v>143</v>
      </c>
      <c r="VDK90" t="s">
        <v>398</v>
      </c>
      <c r="VDL90">
        <v>1</v>
      </c>
      <c r="VDM90" t="s">
        <v>430</v>
      </c>
      <c r="VDN90" t="s">
        <v>431</v>
      </c>
      <c r="VDO90" t="s">
        <v>432</v>
      </c>
      <c r="VDQ90" t="s">
        <v>429</v>
      </c>
      <c r="VDR90" t="s">
        <v>143</v>
      </c>
      <c r="VDS90" t="s">
        <v>398</v>
      </c>
      <c r="VDT90">
        <v>1</v>
      </c>
      <c r="VDU90" t="s">
        <v>430</v>
      </c>
      <c r="VDV90" t="s">
        <v>431</v>
      </c>
      <c r="VDW90" t="s">
        <v>432</v>
      </c>
      <c r="VDY90" t="s">
        <v>429</v>
      </c>
      <c r="VDZ90" t="s">
        <v>143</v>
      </c>
      <c r="VEA90" t="s">
        <v>398</v>
      </c>
      <c r="VEB90">
        <v>1</v>
      </c>
      <c r="VEC90" t="s">
        <v>430</v>
      </c>
      <c r="VED90" t="s">
        <v>431</v>
      </c>
      <c r="VEE90" t="s">
        <v>432</v>
      </c>
      <c r="VEG90" t="s">
        <v>429</v>
      </c>
      <c r="VEH90" t="s">
        <v>143</v>
      </c>
      <c r="VEI90" t="s">
        <v>398</v>
      </c>
      <c r="VEJ90">
        <v>1</v>
      </c>
      <c r="VEK90" t="s">
        <v>430</v>
      </c>
      <c r="VEL90" t="s">
        <v>431</v>
      </c>
      <c r="VEM90" t="s">
        <v>432</v>
      </c>
      <c r="VEO90" t="s">
        <v>429</v>
      </c>
      <c r="VEP90" t="s">
        <v>143</v>
      </c>
      <c r="VEQ90" t="s">
        <v>398</v>
      </c>
      <c r="VER90">
        <v>1</v>
      </c>
      <c r="VES90" t="s">
        <v>430</v>
      </c>
      <c r="VET90" t="s">
        <v>431</v>
      </c>
      <c r="VEU90" t="s">
        <v>432</v>
      </c>
      <c r="VEW90" t="s">
        <v>429</v>
      </c>
      <c r="VEX90" t="s">
        <v>143</v>
      </c>
      <c r="VEY90" t="s">
        <v>398</v>
      </c>
      <c r="VEZ90">
        <v>1</v>
      </c>
      <c r="VFA90" t="s">
        <v>430</v>
      </c>
      <c r="VFB90" t="s">
        <v>431</v>
      </c>
      <c r="VFC90" t="s">
        <v>432</v>
      </c>
      <c r="VFE90" t="s">
        <v>429</v>
      </c>
      <c r="VFF90" t="s">
        <v>143</v>
      </c>
      <c r="VFG90" t="s">
        <v>398</v>
      </c>
      <c r="VFH90">
        <v>1</v>
      </c>
      <c r="VFI90" t="s">
        <v>430</v>
      </c>
      <c r="VFJ90" t="s">
        <v>431</v>
      </c>
      <c r="VFK90" t="s">
        <v>432</v>
      </c>
      <c r="VFM90" t="s">
        <v>429</v>
      </c>
      <c r="VFN90" t="s">
        <v>143</v>
      </c>
      <c r="VFO90" t="s">
        <v>398</v>
      </c>
      <c r="VFP90">
        <v>1</v>
      </c>
      <c r="VFQ90" t="s">
        <v>430</v>
      </c>
      <c r="VFR90" t="s">
        <v>431</v>
      </c>
      <c r="VFS90" t="s">
        <v>432</v>
      </c>
      <c r="VFU90" t="s">
        <v>429</v>
      </c>
      <c r="VFV90" t="s">
        <v>143</v>
      </c>
      <c r="VFW90" t="s">
        <v>398</v>
      </c>
      <c r="VFX90">
        <v>1</v>
      </c>
      <c r="VFY90" t="s">
        <v>430</v>
      </c>
      <c r="VFZ90" t="s">
        <v>431</v>
      </c>
      <c r="VGA90" t="s">
        <v>432</v>
      </c>
      <c r="VGC90" t="s">
        <v>429</v>
      </c>
      <c r="VGD90" t="s">
        <v>143</v>
      </c>
      <c r="VGE90" t="s">
        <v>398</v>
      </c>
      <c r="VGF90">
        <v>1</v>
      </c>
      <c r="VGG90" t="s">
        <v>430</v>
      </c>
      <c r="VGH90" t="s">
        <v>431</v>
      </c>
      <c r="VGI90" t="s">
        <v>432</v>
      </c>
      <c r="VGK90" t="s">
        <v>429</v>
      </c>
      <c r="VGL90" t="s">
        <v>143</v>
      </c>
      <c r="VGM90" t="s">
        <v>398</v>
      </c>
      <c r="VGN90">
        <v>1</v>
      </c>
      <c r="VGO90" t="s">
        <v>430</v>
      </c>
      <c r="VGP90" t="s">
        <v>431</v>
      </c>
      <c r="VGQ90" t="s">
        <v>432</v>
      </c>
      <c r="VGS90" t="s">
        <v>429</v>
      </c>
      <c r="VGT90" t="s">
        <v>143</v>
      </c>
      <c r="VGU90" t="s">
        <v>398</v>
      </c>
      <c r="VGV90">
        <v>1</v>
      </c>
      <c r="VGW90" t="s">
        <v>430</v>
      </c>
      <c r="VGX90" t="s">
        <v>431</v>
      </c>
      <c r="VGY90" t="s">
        <v>432</v>
      </c>
      <c r="VHA90" t="s">
        <v>429</v>
      </c>
      <c r="VHB90" t="s">
        <v>143</v>
      </c>
      <c r="VHC90" t="s">
        <v>398</v>
      </c>
      <c r="VHD90">
        <v>1</v>
      </c>
      <c r="VHE90" t="s">
        <v>430</v>
      </c>
      <c r="VHF90" t="s">
        <v>431</v>
      </c>
      <c r="VHG90" t="s">
        <v>432</v>
      </c>
      <c r="VHI90" t="s">
        <v>429</v>
      </c>
      <c r="VHJ90" t="s">
        <v>143</v>
      </c>
      <c r="VHK90" t="s">
        <v>398</v>
      </c>
      <c r="VHL90">
        <v>1</v>
      </c>
      <c r="VHM90" t="s">
        <v>430</v>
      </c>
      <c r="VHN90" t="s">
        <v>431</v>
      </c>
      <c r="VHO90" t="s">
        <v>432</v>
      </c>
      <c r="VHQ90" t="s">
        <v>429</v>
      </c>
      <c r="VHR90" t="s">
        <v>143</v>
      </c>
      <c r="VHS90" t="s">
        <v>398</v>
      </c>
      <c r="VHT90">
        <v>1</v>
      </c>
      <c r="VHU90" t="s">
        <v>430</v>
      </c>
      <c r="VHV90" t="s">
        <v>431</v>
      </c>
      <c r="VHW90" t="s">
        <v>432</v>
      </c>
      <c r="VHY90" t="s">
        <v>429</v>
      </c>
      <c r="VHZ90" t="s">
        <v>143</v>
      </c>
      <c r="VIA90" t="s">
        <v>398</v>
      </c>
      <c r="VIB90">
        <v>1</v>
      </c>
      <c r="VIC90" t="s">
        <v>430</v>
      </c>
      <c r="VID90" t="s">
        <v>431</v>
      </c>
      <c r="VIE90" t="s">
        <v>432</v>
      </c>
      <c r="VIG90" t="s">
        <v>429</v>
      </c>
      <c r="VIH90" t="s">
        <v>143</v>
      </c>
      <c r="VII90" t="s">
        <v>398</v>
      </c>
      <c r="VIJ90">
        <v>1</v>
      </c>
      <c r="VIK90" t="s">
        <v>430</v>
      </c>
      <c r="VIL90" t="s">
        <v>431</v>
      </c>
      <c r="VIM90" t="s">
        <v>432</v>
      </c>
      <c r="VIO90" t="s">
        <v>429</v>
      </c>
      <c r="VIP90" t="s">
        <v>143</v>
      </c>
      <c r="VIQ90" t="s">
        <v>398</v>
      </c>
      <c r="VIR90">
        <v>1</v>
      </c>
      <c r="VIS90" t="s">
        <v>430</v>
      </c>
      <c r="VIT90" t="s">
        <v>431</v>
      </c>
      <c r="VIU90" t="s">
        <v>432</v>
      </c>
      <c r="VIW90" t="s">
        <v>429</v>
      </c>
      <c r="VIX90" t="s">
        <v>143</v>
      </c>
      <c r="VIY90" t="s">
        <v>398</v>
      </c>
      <c r="VIZ90">
        <v>1</v>
      </c>
      <c r="VJA90" t="s">
        <v>430</v>
      </c>
      <c r="VJB90" t="s">
        <v>431</v>
      </c>
      <c r="VJC90" t="s">
        <v>432</v>
      </c>
      <c r="VJE90" t="s">
        <v>429</v>
      </c>
      <c r="VJF90" t="s">
        <v>143</v>
      </c>
      <c r="VJG90" t="s">
        <v>398</v>
      </c>
      <c r="VJH90">
        <v>1</v>
      </c>
      <c r="VJI90" t="s">
        <v>430</v>
      </c>
      <c r="VJJ90" t="s">
        <v>431</v>
      </c>
      <c r="VJK90" t="s">
        <v>432</v>
      </c>
      <c r="VJM90" t="s">
        <v>429</v>
      </c>
      <c r="VJN90" t="s">
        <v>143</v>
      </c>
      <c r="VJO90" t="s">
        <v>398</v>
      </c>
      <c r="VJP90">
        <v>1</v>
      </c>
      <c r="VJQ90" t="s">
        <v>430</v>
      </c>
      <c r="VJR90" t="s">
        <v>431</v>
      </c>
      <c r="VJS90" t="s">
        <v>432</v>
      </c>
      <c r="VJU90" t="s">
        <v>429</v>
      </c>
      <c r="VJV90" t="s">
        <v>143</v>
      </c>
      <c r="VJW90" t="s">
        <v>398</v>
      </c>
      <c r="VJX90">
        <v>1</v>
      </c>
      <c r="VJY90" t="s">
        <v>430</v>
      </c>
      <c r="VJZ90" t="s">
        <v>431</v>
      </c>
      <c r="VKA90" t="s">
        <v>432</v>
      </c>
      <c r="VKC90" t="s">
        <v>429</v>
      </c>
      <c r="VKD90" t="s">
        <v>143</v>
      </c>
      <c r="VKE90" t="s">
        <v>398</v>
      </c>
      <c r="VKF90">
        <v>1</v>
      </c>
      <c r="VKG90" t="s">
        <v>430</v>
      </c>
      <c r="VKH90" t="s">
        <v>431</v>
      </c>
      <c r="VKI90" t="s">
        <v>432</v>
      </c>
      <c r="VKK90" t="s">
        <v>429</v>
      </c>
      <c r="VKL90" t="s">
        <v>143</v>
      </c>
      <c r="VKM90" t="s">
        <v>398</v>
      </c>
      <c r="VKN90">
        <v>1</v>
      </c>
      <c r="VKO90" t="s">
        <v>430</v>
      </c>
      <c r="VKP90" t="s">
        <v>431</v>
      </c>
      <c r="VKQ90" t="s">
        <v>432</v>
      </c>
      <c r="VKS90" t="s">
        <v>429</v>
      </c>
      <c r="VKT90" t="s">
        <v>143</v>
      </c>
      <c r="VKU90" t="s">
        <v>398</v>
      </c>
      <c r="VKV90">
        <v>1</v>
      </c>
      <c r="VKW90" t="s">
        <v>430</v>
      </c>
      <c r="VKX90" t="s">
        <v>431</v>
      </c>
      <c r="VKY90" t="s">
        <v>432</v>
      </c>
      <c r="VLA90" t="s">
        <v>429</v>
      </c>
      <c r="VLB90" t="s">
        <v>143</v>
      </c>
      <c r="VLC90" t="s">
        <v>398</v>
      </c>
      <c r="VLD90">
        <v>1</v>
      </c>
      <c r="VLE90" t="s">
        <v>430</v>
      </c>
      <c r="VLF90" t="s">
        <v>431</v>
      </c>
      <c r="VLG90" t="s">
        <v>432</v>
      </c>
      <c r="VLI90" t="s">
        <v>429</v>
      </c>
      <c r="VLJ90" t="s">
        <v>143</v>
      </c>
      <c r="VLK90" t="s">
        <v>398</v>
      </c>
      <c r="VLL90">
        <v>1</v>
      </c>
      <c r="VLM90" t="s">
        <v>430</v>
      </c>
      <c r="VLN90" t="s">
        <v>431</v>
      </c>
      <c r="VLO90" t="s">
        <v>432</v>
      </c>
      <c r="VLQ90" t="s">
        <v>429</v>
      </c>
      <c r="VLR90" t="s">
        <v>143</v>
      </c>
      <c r="VLS90" t="s">
        <v>398</v>
      </c>
      <c r="VLT90">
        <v>1</v>
      </c>
      <c r="VLU90" t="s">
        <v>430</v>
      </c>
      <c r="VLV90" t="s">
        <v>431</v>
      </c>
      <c r="VLW90" t="s">
        <v>432</v>
      </c>
      <c r="VLY90" t="s">
        <v>429</v>
      </c>
      <c r="VLZ90" t="s">
        <v>143</v>
      </c>
      <c r="VMA90" t="s">
        <v>398</v>
      </c>
      <c r="VMB90">
        <v>1</v>
      </c>
      <c r="VMC90" t="s">
        <v>430</v>
      </c>
      <c r="VMD90" t="s">
        <v>431</v>
      </c>
      <c r="VME90" t="s">
        <v>432</v>
      </c>
      <c r="VMG90" t="s">
        <v>429</v>
      </c>
      <c r="VMH90" t="s">
        <v>143</v>
      </c>
      <c r="VMI90" t="s">
        <v>398</v>
      </c>
      <c r="VMJ90">
        <v>1</v>
      </c>
      <c r="VMK90" t="s">
        <v>430</v>
      </c>
      <c r="VML90" t="s">
        <v>431</v>
      </c>
      <c r="VMM90" t="s">
        <v>432</v>
      </c>
      <c r="VMO90" t="s">
        <v>429</v>
      </c>
      <c r="VMP90" t="s">
        <v>143</v>
      </c>
      <c r="VMQ90" t="s">
        <v>398</v>
      </c>
      <c r="VMR90">
        <v>1</v>
      </c>
      <c r="VMS90" t="s">
        <v>430</v>
      </c>
      <c r="VMT90" t="s">
        <v>431</v>
      </c>
      <c r="VMU90" t="s">
        <v>432</v>
      </c>
      <c r="VMW90" t="s">
        <v>429</v>
      </c>
      <c r="VMX90" t="s">
        <v>143</v>
      </c>
      <c r="VMY90" t="s">
        <v>398</v>
      </c>
      <c r="VMZ90">
        <v>1</v>
      </c>
      <c r="VNA90" t="s">
        <v>430</v>
      </c>
      <c r="VNB90" t="s">
        <v>431</v>
      </c>
      <c r="VNC90" t="s">
        <v>432</v>
      </c>
      <c r="VNE90" t="s">
        <v>429</v>
      </c>
      <c r="VNF90" t="s">
        <v>143</v>
      </c>
      <c r="VNG90" t="s">
        <v>398</v>
      </c>
      <c r="VNH90">
        <v>1</v>
      </c>
      <c r="VNI90" t="s">
        <v>430</v>
      </c>
      <c r="VNJ90" t="s">
        <v>431</v>
      </c>
      <c r="VNK90" t="s">
        <v>432</v>
      </c>
      <c r="VNM90" t="s">
        <v>429</v>
      </c>
      <c r="VNN90" t="s">
        <v>143</v>
      </c>
      <c r="VNO90" t="s">
        <v>398</v>
      </c>
      <c r="VNP90">
        <v>1</v>
      </c>
      <c r="VNQ90" t="s">
        <v>430</v>
      </c>
      <c r="VNR90" t="s">
        <v>431</v>
      </c>
      <c r="VNS90" t="s">
        <v>432</v>
      </c>
      <c r="VNU90" t="s">
        <v>429</v>
      </c>
      <c r="VNV90" t="s">
        <v>143</v>
      </c>
      <c r="VNW90" t="s">
        <v>398</v>
      </c>
      <c r="VNX90">
        <v>1</v>
      </c>
      <c r="VNY90" t="s">
        <v>430</v>
      </c>
      <c r="VNZ90" t="s">
        <v>431</v>
      </c>
      <c r="VOA90" t="s">
        <v>432</v>
      </c>
      <c r="VOC90" t="s">
        <v>429</v>
      </c>
      <c r="VOD90" t="s">
        <v>143</v>
      </c>
      <c r="VOE90" t="s">
        <v>398</v>
      </c>
      <c r="VOF90">
        <v>1</v>
      </c>
      <c r="VOG90" t="s">
        <v>430</v>
      </c>
      <c r="VOH90" t="s">
        <v>431</v>
      </c>
      <c r="VOI90" t="s">
        <v>432</v>
      </c>
      <c r="VOK90" t="s">
        <v>429</v>
      </c>
      <c r="VOL90" t="s">
        <v>143</v>
      </c>
      <c r="VOM90" t="s">
        <v>398</v>
      </c>
      <c r="VON90">
        <v>1</v>
      </c>
      <c r="VOO90" t="s">
        <v>430</v>
      </c>
      <c r="VOP90" t="s">
        <v>431</v>
      </c>
      <c r="VOQ90" t="s">
        <v>432</v>
      </c>
      <c r="VOS90" t="s">
        <v>429</v>
      </c>
      <c r="VOT90" t="s">
        <v>143</v>
      </c>
      <c r="VOU90" t="s">
        <v>398</v>
      </c>
      <c r="VOV90">
        <v>1</v>
      </c>
      <c r="VOW90" t="s">
        <v>430</v>
      </c>
      <c r="VOX90" t="s">
        <v>431</v>
      </c>
      <c r="VOY90" t="s">
        <v>432</v>
      </c>
      <c r="VPA90" t="s">
        <v>429</v>
      </c>
      <c r="VPB90" t="s">
        <v>143</v>
      </c>
      <c r="VPC90" t="s">
        <v>398</v>
      </c>
      <c r="VPD90">
        <v>1</v>
      </c>
      <c r="VPE90" t="s">
        <v>430</v>
      </c>
      <c r="VPF90" t="s">
        <v>431</v>
      </c>
      <c r="VPG90" t="s">
        <v>432</v>
      </c>
      <c r="VPI90" t="s">
        <v>429</v>
      </c>
      <c r="VPJ90" t="s">
        <v>143</v>
      </c>
      <c r="VPK90" t="s">
        <v>398</v>
      </c>
      <c r="VPL90">
        <v>1</v>
      </c>
      <c r="VPM90" t="s">
        <v>430</v>
      </c>
      <c r="VPN90" t="s">
        <v>431</v>
      </c>
      <c r="VPO90" t="s">
        <v>432</v>
      </c>
      <c r="VPQ90" t="s">
        <v>429</v>
      </c>
      <c r="VPR90" t="s">
        <v>143</v>
      </c>
      <c r="VPS90" t="s">
        <v>398</v>
      </c>
      <c r="VPT90">
        <v>1</v>
      </c>
      <c r="VPU90" t="s">
        <v>430</v>
      </c>
      <c r="VPV90" t="s">
        <v>431</v>
      </c>
      <c r="VPW90" t="s">
        <v>432</v>
      </c>
      <c r="VPY90" t="s">
        <v>429</v>
      </c>
      <c r="VPZ90" t="s">
        <v>143</v>
      </c>
      <c r="VQA90" t="s">
        <v>398</v>
      </c>
      <c r="VQB90">
        <v>1</v>
      </c>
      <c r="VQC90" t="s">
        <v>430</v>
      </c>
      <c r="VQD90" t="s">
        <v>431</v>
      </c>
      <c r="VQE90" t="s">
        <v>432</v>
      </c>
      <c r="VQG90" t="s">
        <v>429</v>
      </c>
      <c r="VQH90" t="s">
        <v>143</v>
      </c>
      <c r="VQI90" t="s">
        <v>398</v>
      </c>
      <c r="VQJ90">
        <v>1</v>
      </c>
      <c r="VQK90" t="s">
        <v>430</v>
      </c>
      <c r="VQL90" t="s">
        <v>431</v>
      </c>
      <c r="VQM90" t="s">
        <v>432</v>
      </c>
      <c r="VQO90" t="s">
        <v>429</v>
      </c>
      <c r="VQP90" t="s">
        <v>143</v>
      </c>
      <c r="VQQ90" t="s">
        <v>398</v>
      </c>
      <c r="VQR90">
        <v>1</v>
      </c>
      <c r="VQS90" t="s">
        <v>430</v>
      </c>
      <c r="VQT90" t="s">
        <v>431</v>
      </c>
      <c r="VQU90" t="s">
        <v>432</v>
      </c>
      <c r="VQW90" t="s">
        <v>429</v>
      </c>
      <c r="VQX90" t="s">
        <v>143</v>
      </c>
      <c r="VQY90" t="s">
        <v>398</v>
      </c>
      <c r="VQZ90">
        <v>1</v>
      </c>
      <c r="VRA90" t="s">
        <v>430</v>
      </c>
      <c r="VRB90" t="s">
        <v>431</v>
      </c>
      <c r="VRC90" t="s">
        <v>432</v>
      </c>
      <c r="VRE90" t="s">
        <v>429</v>
      </c>
      <c r="VRF90" t="s">
        <v>143</v>
      </c>
      <c r="VRG90" t="s">
        <v>398</v>
      </c>
      <c r="VRH90">
        <v>1</v>
      </c>
      <c r="VRI90" t="s">
        <v>430</v>
      </c>
      <c r="VRJ90" t="s">
        <v>431</v>
      </c>
      <c r="VRK90" t="s">
        <v>432</v>
      </c>
      <c r="VRM90" t="s">
        <v>429</v>
      </c>
      <c r="VRN90" t="s">
        <v>143</v>
      </c>
      <c r="VRO90" t="s">
        <v>398</v>
      </c>
      <c r="VRP90">
        <v>1</v>
      </c>
      <c r="VRQ90" t="s">
        <v>430</v>
      </c>
      <c r="VRR90" t="s">
        <v>431</v>
      </c>
      <c r="VRS90" t="s">
        <v>432</v>
      </c>
      <c r="VRU90" t="s">
        <v>429</v>
      </c>
      <c r="VRV90" t="s">
        <v>143</v>
      </c>
      <c r="VRW90" t="s">
        <v>398</v>
      </c>
      <c r="VRX90">
        <v>1</v>
      </c>
      <c r="VRY90" t="s">
        <v>430</v>
      </c>
      <c r="VRZ90" t="s">
        <v>431</v>
      </c>
      <c r="VSA90" t="s">
        <v>432</v>
      </c>
      <c r="VSC90" t="s">
        <v>429</v>
      </c>
      <c r="VSD90" t="s">
        <v>143</v>
      </c>
      <c r="VSE90" t="s">
        <v>398</v>
      </c>
      <c r="VSF90">
        <v>1</v>
      </c>
      <c r="VSG90" t="s">
        <v>430</v>
      </c>
      <c r="VSH90" t="s">
        <v>431</v>
      </c>
      <c r="VSI90" t="s">
        <v>432</v>
      </c>
      <c r="VSK90" t="s">
        <v>429</v>
      </c>
      <c r="VSL90" t="s">
        <v>143</v>
      </c>
      <c r="VSM90" t="s">
        <v>398</v>
      </c>
      <c r="VSN90">
        <v>1</v>
      </c>
      <c r="VSO90" t="s">
        <v>430</v>
      </c>
      <c r="VSP90" t="s">
        <v>431</v>
      </c>
      <c r="VSQ90" t="s">
        <v>432</v>
      </c>
      <c r="VSS90" t="s">
        <v>429</v>
      </c>
      <c r="VST90" t="s">
        <v>143</v>
      </c>
      <c r="VSU90" t="s">
        <v>398</v>
      </c>
      <c r="VSV90">
        <v>1</v>
      </c>
      <c r="VSW90" t="s">
        <v>430</v>
      </c>
      <c r="VSX90" t="s">
        <v>431</v>
      </c>
      <c r="VSY90" t="s">
        <v>432</v>
      </c>
      <c r="VTA90" t="s">
        <v>429</v>
      </c>
      <c r="VTB90" t="s">
        <v>143</v>
      </c>
      <c r="VTC90" t="s">
        <v>398</v>
      </c>
      <c r="VTD90">
        <v>1</v>
      </c>
      <c r="VTE90" t="s">
        <v>430</v>
      </c>
      <c r="VTF90" t="s">
        <v>431</v>
      </c>
      <c r="VTG90" t="s">
        <v>432</v>
      </c>
      <c r="VTI90" t="s">
        <v>429</v>
      </c>
      <c r="VTJ90" t="s">
        <v>143</v>
      </c>
      <c r="VTK90" t="s">
        <v>398</v>
      </c>
      <c r="VTL90">
        <v>1</v>
      </c>
      <c r="VTM90" t="s">
        <v>430</v>
      </c>
      <c r="VTN90" t="s">
        <v>431</v>
      </c>
      <c r="VTO90" t="s">
        <v>432</v>
      </c>
      <c r="VTQ90" t="s">
        <v>429</v>
      </c>
      <c r="VTR90" t="s">
        <v>143</v>
      </c>
      <c r="VTS90" t="s">
        <v>398</v>
      </c>
      <c r="VTT90">
        <v>1</v>
      </c>
      <c r="VTU90" t="s">
        <v>430</v>
      </c>
      <c r="VTV90" t="s">
        <v>431</v>
      </c>
      <c r="VTW90" t="s">
        <v>432</v>
      </c>
      <c r="VTY90" t="s">
        <v>429</v>
      </c>
      <c r="VTZ90" t="s">
        <v>143</v>
      </c>
      <c r="VUA90" t="s">
        <v>398</v>
      </c>
      <c r="VUB90">
        <v>1</v>
      </c>
      <c r="VUC90" t="s">
        <v>430</v>
      </c>
      <c r="VUD90" t="s">
        <v>431</v>
      </c>
      <c r="VUE90" t="s">
        <v>432</v>
      </c>
      <c r="VUG90" t="s">
        <v>429</v>
      </c>
      <c r="VUH90" t="s">
        <v>143</v>
      </c>
      <c r="VUI90" t="s">
        <v>398</v>
      </c>
      <c r="VUJ90">
        <v>1</v>
      </c>
      <c r="VUK90" t="s">
        <v>430</v>
      </c>
      <c r="VUL90" t="s">
        <v>431</v>
      </c>
      <c r="VUM90" t="s">
        <v>432</v>
      </c>
      <c r="VUO90" t="s">
        <v>429</v>
      </c>
      <c r="VUP90" t="s">
        <v>143</v>
      </c>
      <c r="VUQ90" t="s">
        <v>398</v>
      </c>
      <c r="VUR90">
        <v>1</v>
      </c>
      <c r="VUS90" t="s">
        <v>430</v>
      </c>
      <c r="VUT90" t="s">
        <v>431</v>
      </c>
      <c r="VUU90" t="s">
        <v>432</v>
      </c>
      <c r="VUW90" t="s">
        <v>429</v>
      </c>
      <c r="VUX90" t="s">
        <v>143</v>
      </c>
      <c r="VUY90" t="s">
        <v>398</v>
      </c>
      <c r="VUZ90">
        <v>1</v>
      </c>
      <c r="VVA90" t="s">
        <v>430</v>
      </c>
      <c r="VVB90" t="s">
        <v>431</v>
      </c>
      <c r="VVC90" t="s">
        <v>432</v>
      </c>
      <c r="VVE90" t="s">
        <v>429</v>
      </c>
      <c r="VVF90" t="s">
        <v>143</v>
      </c>
      <c r="VVG90" t="s">
        <v>398</v>
      </c>
      <c r="VVH90">
        <v>1</v>
      </c>
      <c r="VVI90" t="s">
        <v>430</v>
      </c>
      <c r="VVJ90" t="s">
        <v>431</v>
      </c>
      <c r="VVK90" t="s">
        <v>432</v>
      </c>
      <c r="VVM90" t="s">
        <v>429</v>
      </c>
      <c r="VVN90" t="s">
        <v>143</v>
      </c>
      <c r="VVO90" t="s">
        <v>398</v>
      </c>
      <c r="VVP90">
        <v>1</v>
      </c>
      <c r="VVQ90" t="s">
        <v>430</v>
      </c>
      <c r="VVR90" t="s">
        <v>431</v>
      </c>
      <c r="VVS90" t="s">
        <v>432</v>
      </c>
      <c r="VVU90" t="s">
        <v>429</v>
      </c>
      <c r="VVV90" t="s">
        <v>143</v>
      </c>
      <c r="VVW90" t="s">
        <v>398</v>
      </c>
      <c r="VVX90">
        <v>1</v>
      </c>
      <c r="VVY90" t="s">
        <v>430</v>
      </c>
      <c r="VVZ90" t="s">
        <v>431</v>
      </c>
      <c r="VWA90" t="s">
        <v>432</v>
      </c>
      <c r="VWC90" t="s">
        <v>429</v>
      </c>
      <c r="VWD90" t="s">
        <v>143</v>
      </c>
      <c r="VWE90" t="s">
        <v>398</v>
      </c>
      <c r="VWF90">
        <v>1</v>
      </c>
      <c r="VWG90" t="s">
        <v>430</v>
      </c>
      <c r="VWH90" t="s">
        <v>431</v>
      </c>
      <c r="VWI90" t="s">
        <v>432</v>
      </c>
      <c r="VWK90" t="s">
        <v>429</v>
      </c>
      <c r="VWL90" t="s">
        <v>143</v>
      </c>
      <c r="VWM90" t="s">
        <v>398</v>
      </c>
      <c r="VWN90">
        <v>1</v>
      </c>
      <c r="VWO90" t="s">
        <v>430</v>
      </c>
      <c r="VWP90" t="s">
        <v>431</v>
      </c>
      <c r="VWQ90" t="s">
        <v>432</v>
      </c>
      <c r="VWS90" t="s">
        <v>429</v>
      </c>
      <c r="VWT90" t="s">
        <v>143</v>
      </c>
      <c r="VWU90" t="s">
        <v>398</v>
      </c>
      <c r="VWV90">
        <v>1</v>
      </c>
      <c r="VWW90" t="s">
        <v>430</v>
      </c>
      <c r="VWX90" t="s">
        <v>431</v>
      </c>
      <c r="VWY90" t="s">
        <v>432</v>
      </c>
      <c r="VXA90" t="s">
        <v>429</v>
      </c>
      <c r="VXB90" t="s">
        <v>143</v>
      </c>
      <c r="VXC90" t="s">
        <v>398</v>
      </c>
      <c r="VXD90">
        <v>1</v>
      </c>
      <c r="VXE90" t="s">
        <v>430</v>
      </c>
      <c r="VXF90" t="s">
        <v>431</v>
      </c>
      <c r="VXG90" t="s">
        <v>432</v>
      </c>
      <c r="VXI90" t="s">
        <v>429</v>
      </c>
      <c r="VXJ90" t="s">
        <v>143</v>
      </c>
      <c r="VXK90" t="s">
        <v>398</v>
      </c>
      <c r="VXL90">
        <v>1</v>
      </c>
      <c r="VXM90" t="s">
        <v>430</v>
      </c>
      <c r="VXN90" t="s">
        <v>431</v>
      </c>
      <c r="VXO90" t="s">
        <v>432</v>
      </c>
      <c r="VXQ90" t="s">
        <v>429</v>
      </c>
      <c r="VXR90" t="s">
        <v>143</v>
      </c>
      <c r="VXS90" t="s">
        <v>398</v>
      </c>
      <c r="VXT90">
        <v>1</v>
      </c>
      <c r="VXU90" t="s">
        <v>430</v>
      </c>
      <c r="VXV90" t="s">
        <v>431</v>
      </c>
      <c r="VXW90" t="s">
        <v>432</v>
      </c>
      <c r="VXY90" t="s">
        <v>429</v>
      </c>
      <c r="VXZ90" t="s">
        <v>143</v>
      </c>
      <c r="VYA90" t="s">
        <v>398</v>
      </c>
      <c r="VYB90">
        <v>1</v>
      </c>
      <c r="VYC90" t="s">
        <v>430</v>
      </c>
      <c r="VYD90" t="s">
        <v>431</v>
      </c>
      <c r="VYE90" t="s">
        <v>432</v>
      </c>
      <c r="VYG90" t="s">
        <v>429</v>
      </c>
      <c r="VYH90" t="s">
        <v>143</v>
      </c>
      <c r="VYI90" t="s">
        <v>398</v>
      </c>
      <c r="VYJ90">
        <v>1</v>
      </c>
      <c r="VYK90" t="s">
        <v>430</v>
      </c>
      <c r="VYL90" t="s">
        <v>431</v>
      </c>
      <c r="VYM90" t="s">
        <v>432</v>
      </c>
      <c r="VYO90" t="s">
        <v>429</v>
      </c>
      <c r="VYP90" t="s">
        <v>143</v>
      </c>
      <c r="VYQ90" t="s">
        <v>398</v>
      </c>
      <c r="VYR90">
        <v>1</v>
      </c>
      <c r="VYS90" t="s">
        <v>430</v>
      </c>
      <c r="VYT90" t="s">
        <v>431</v>
      </c>
      <c r="VYU90" t="s">
        <v>432</v>
      </c>
      <c r="VYW90" t="s">
        <v>429</v>
      </c>
      <c r="VYX90" t="s">
        <v>143</v>
      </c>
      <c r="VYY90" t="s">
        <v>398</v>
      </c>
      <c r="VYZ90">
        <v>1</v>
      </c>
      <c r="VZA90" t="s">
        <v>430</v>
      </c>
      <c r="VZB90" t="s">
        <v>431</v>
      </c>
      <c r="VZC90" t="s">
        <v>432</v>
      </c>
      <c r="VZE90" t="s">
        <v>429</v>
      </c>
      <c r="VZF90" t="s">
        <v>143</v>
      </c>
      <c r="VZG90" t="s">
        <v>398</v>
      </c>
      <c r="VZH90">
        <v>1</v>
      </c>
      <c r="VZI90" t="s">
        <v>430</v>
      </c>
      <c r="VZJ90" t="s">
        <v>431</v>
      </c>
      <c r="VZK90" t="s">
        <v>432</v>
      </c>
      <c r="VZM90" t="s">
        <v>429</v>
      </c>
      <c r="VZN90" t="s">
        <v>143</v>
      </c>
      <c r="VZO90" t="s">
        <v>398</v>
      </c>
      <c r="VZP90">
        <v>1</v>
      </c>
      <c r="VZQ90" t="s">
        <v>430</v>
      </c>
      <c r="VZR90" t="s">
        <v>431</v>
      </c>
      <c r="VZS90" t="s">
        <v>432</v>
      </c>
      <c r="VZU90" t="s">
        <v>429</v>
      </c>
      <c r="VZV90" t="s">
        <v>143</v>
      </c>
      <c r="VZW90" t="s">
        <v>398</v>
      </c>
      <c r="VZX90">
        <v>1</v>
      </c>
      <c r="VZY90" t="s">
        <v>430</v>
      </c>
      <c r="VZZ90" t="s">
        <v>431</v>
      </c>
      <c r="WAA90" t="s">
        <v>432</v>
      </c>
      <c r="WAC90" t="s">
        <v>429</v>
      </c>
      <c r="WAD90" t="s">
        <v>143</v>
      </c>
      <c r="WAE90" t="s">
        <v>398</v>
      </c>
      <c r="WAF90">
        <v>1</v>
      </c>
      <c r="WAG90" t="s">
        <v>430</v>
      </c>
      <c r="WAH90" t="s">
        <v>431</v>
      </c>
      <c r="WAI90" t="s">
        <v>432</v>
      </c>
      <c r="WAK90" t="s">
        <v>429</v>
      </c>
      <c r="WAL90" t="s">
        <v>143</v>
      </c>
      <c r="WAM90" t="s">
        <v>398</v>
      </c>
      <c r="WAN90">
        <v>1</v>
      </c>
      <c r="WAO90" t="s">
        <v>430</v>
      </c>
      <c r="WAP90" t="s">
        <v>431</v>
      </c>
      <c r="WAQ90" t="s">
        <v>432</v>
      </c>
      <c r="WAS90" t="s">
        <v>429</v>
      </c>
      <c r="WAT90" t="s">
        <v>143</v>
      </c>
      <c r="WAU90" t="s">
        <v>398</v>
      </c>
      <c r="WAV90">
        <v>1</v>
      </c>
      <c r="WAW90" t="s">
        <v>430</v>
      </c>
      <c r="WAX90" t="s">
        <v>431</v>
      </c>
      <c r="WAY90" t="s">
        <v>432</v>
      </c>
      <c r="WBA90" t="s">
        <v>429</v>
      </c>
      <c r="WBB90" t="s">
        <v>143</v>
      </c>
      <c r="WBC90" t="s">
        <v>398</v>
      </c>
      <c r="WBD90">
        <v>1</v>
      </c>
      <c r="WBE90" t="s">
        <v>430</v>
      </c>
      <c r="WBF90" t="s">
        <v>431</v>
      </c>
      <c r="WBG90" t="s">
        <v>432</v>
      </c>
      <c r="WBI90" t="s">
        <v>429</v>
      </c>
      <c r="WBJ90" t="s">
        <v>143</v>
      </c>
      <c r="WBK90" t="s">
        <v>398</v>
      </c>
      <c r="WBL90">
        <v>1</v>
      </c>
      <c r="WBM90" t="s">
        <v>430</v>
      </c>
      <c r="WBN90" t="s">
        <v>431</v>
      </c>
      <c r="WBO90" t="s">
        <v>432</v>
      </c>
      <c r="WBQ90" t="s">
        <v>429</v>
      </c>
      <c r="WBR90" t="s">
        <v>143</v>
      </c>
      <c r="WBS90" t="s">
        <v>398</v>
      </c>
      <c r="WBT90">
        <v>1</v>
      </c>
      <c r="WBU90" t="s">
        <v>430</v>
      </c>
      <c r="WBV90" t="s">
        <v>431</v>
      </c>
      <c r="WBW90" t="s">
        <v>432</v>
      </c>
      <c r="WBY90" t="s">
        <v>429</v>
      </c>
      <c r="WBZ90" t="s">
        <v>143</v>
      </c>
      <c r="WCA90" t="s">
        <v>398</v>
      </c>
      <c r="WCB90">
        <v>1</v>
      </c>
      <c r="WCC90" t="s">
        <v>430</v>
      </c>
      <c r="WCD90" t="s">
        <v>431</v>
      </c>
      <c r="WCE90" t="s">
        <v>432</v>
      </c>
      <c r="WCG90" t="s">
        <v>429</v>
      </c>
      <c r="WCH90" t="s">
        <v>143</v>
      </c>
      <c r="WCI90" t="s">
        <v>398</v>
      </c>
      <c r="WCJ90">
        <v>1</v>
      </c>
      <c r="WCK90" t="s">
        <v>430</v>
      </c>
      <c r="WCL90" t="s">
        <v>431</v>
      </c>
      <c r="WCM90" t="s">
        <v>432</v>
      </c>
      <c r="WCO90" t="s">
        <v>429</v>
      </c>
      <c r="WCP90" t="s">
        <v>143</v>
      </c>
      <c r="WCQ90" t="s">
        <v>398</v>
      </c>
      <c r="WCR90">
        <v>1</v>
      </c>
      <c r="WCS90" t="s">
        <v>430</v>
      </c>
      <c r="WCT90" t="s">
        <v>431</v>
      </c>
      <c r="WCU90" t="s">
        <v>432</v>
      </c>
      <c r="WCW90" t="s">
        <v>429</v>
      </c>
      <c r="WCX90" t="s">
        <v>143</v>
      </c>
      <c r="WCY90" t="s">
        <v>398</v>
      </c>
      <c r="WCZ90">
        <v>1</v>
      </c>
      <c r="WDA90" t="s">
        <v>430</v>
      </c>
      <c r="WDB90" t="s">
        <v>431</v>
      </c>
      <c r="WDC90" t="s">
        <v>432</v>
      </c>
      <c r="WDE90" t="s">
        <v>429</v>
      </c>
      <c r="WDF90" t="s">
        <v>143</v>
      </c>
      <c r="WDG90" t="s">
        <v>398</v>
      </c>
      <c r="WDH90">
        <v>1</v>
      </c>
      <c r="WDI90" t="s">
        <v>430</v>
      </c>
      <c r="WDJ90" t="s">
        <v>431</v>
      </c>
      <c r="WDK90" t="s">
        <v>432</v>
      </c>
      <c r="WDM90" t="s">
        <v>429</v>
      </c>
      <c r="WDN90" t="s">
        <v>143</v>
      </c>
      <c r="WDO90" t="s">
        <v>398</v>
      </c>
      <c r="WDP90">
        <v>1</v>
      </c>
      <c r="WDQ90" t="s">
        <v>430</v>
      </c>
      <c r="WDR90" t="s">
        <v>431</v>
      </c>
      <c r="WDS90" t="s">
        <v>432</v>
      </c>
      <c r="WDU90" t="s">
        <v>429</v>
      </c>
      <c r="WDV90" t="s">
        <v>143</v>
      </c>
      <c r="WDW90" t="s">
        <v>398</v>
      </c>
      <c r="WDX90">
        <v>1</v>
      </c>
      <c r="WDY90" t="s">
        <v>430</v>
      </c>
      <c r="WDZ90" t="s">
        <v>431</v>
      </c>
      <c r="WEA90" t="s">
        <v>432</v>
      </c>
      <c r="WEC90" t="s">
        <v>429</v>
      </c>
      <c r="WED90" t="s">
        <v>143</v>
      </c>
      <c r="WEE90" t="s">
        <v>398</v>
      </c>
      <c r="WEF90">
        <v>1</v>
      </c>
      <c r="WEG90" t="s">
        <v>430</v>
      </c>
      <c r="WEH90" t="s">
        <v>431</v>
      </c>
      <c r="WEI90" t="s">
        <v>432</v>
      </c>
      <c r="WEK90" t="s">
        <v>429</v>
      </c>
      <c r="WEL90" t="s">
        <v>143</v>
      </c>
      <c r="WEM90" t="s">
        <v>398</v>
      </c>
      <c r="WEN90">
        <v>1</v>
      </c>
      <c r="WEO90" t="s">
        <v>430</v>
      </c>
      <c r="WEP90" t="s">
        <v>431</v>
      </c>
      <c r="WEQ90" t="s">
        <v>432</v>
      </c>
      <c r="WES90" t="s">
        <v>429</v>
      </c>
      <c r="WET90" t="s">
        <v>143</v>
      </c>
      <c r="WEU90" t="s">
        <v>398</v>
      </c>
      <c r="WEV90">
        <v>1</v>
      </c>
      <c r="WEW90" t="s">
        <v>430</v>
      </c>
      <c r="WEX90" t="s">
        <v>431</v>
      </c>
      <c r="WEY90" t="s">
        <v>432</v>
      </c>
      <c r="WFA90" t="s">
        <v>429</v>
      </c>
      <c r="WFB90" t="s">
        <v>143</v>
      </c>
      <c r="WFC90" t="s">
        <v>398</v>
      </c>
      <c r="WFD90">
        <v>1</v>
      </c>
      <c r="WFE90" t="s">
        <v>430</v>
      </c>
      <c r="WFF90" t="s">
        <v>431</v>
      </c>
      <c r="WFG90" t="s">
        <v>432</v>
      </c>
      <c r="WFI90" t="s">
        <v>429</v>
      </c>
      <c r="WFJ90" t="s">
        <v>143</v>
      </c>
      <c r="WFK90" t="s">
        <v>398</v>
      </c>
      <c r="WFL90">
        <v>1</v>
      </c>
      <c r="WFM90" t="s">
        <v>430</v>
      </c>
      <c r="WFN90" t="s">
        <v>431</v>
      </c>
      <c r="WFO90" t="s">
        <v>432</v>
      </c>
      <c r="WFQ90" t="s">
        <v>429</v>
      </c>
      <c r="WFR90" t="s">
        <v>143</v>
      </c>
      <c r="WFS90" t="s">
        <v>398</v>
      </c>
      <c r="WFT90">
        <v>1</v>
      </c>
      <c r="WFU90" t="s">
        <v>430</v>
      </c>
      <c r="WFV90" t="s">
        <v>431</v>
      </c>
      <c r="WFW90" t="s">
        <v>432</v>
      </c>
      <c r="WFY90" t="s">
        <v>429</v>
      </c>
      <c r="WFZ90" t="s">
        <v>143</v>
      </c>
      <c r="WGA90" t="s">
        <v>398</v>
      </c>
      <c r="WGB90">
        <v>1</v>
      </c>
      <c r="WGC90" t="s">
        <v>430</v>
      </c>
      <c r="WGD90" t="s">
        <v>431</v>
      </c>
      <c r="WGE90" t="s">
        <v>432</v>
      </c>
      <c r="WGG90" t="s">
        <v>429</v>
      </c>
      <c r="WGH90" t="s">
        <v>143</v>
      </c>
      <c r="WGI90" t="s">
        <v>398</v>
      </c>
      <c r="WGJ90">
        <v>1</v>
      </c>
      <c r="WGK90" t="s">
        <v>430</v>
      </c>
      <c r="WGL90" t="s">
        <v>431</v>
      </c>
      <c r="WGM90" t="s">
        <v>432</v>
      </c>
      <c r="WGO90" t="s">
        <v>429</v>
      </c>
      <c r="WGP90" t="s">
        <v>143</v>
      </c>
      <c r="WGQ90" t="s">
        <v>398</v>
      </c>
      <c r="WGR90">
        <v>1</v>
      </c>
      <c r="WGS90" t="s">
        <v>430</v>
      </c>
      <c r="WGT90" t="s">
        <v>431</v>
      </c>
      <c r="WGU90" t="s">
        <v>432</v>
      </c>
      <c r="WGW90" t="s">
        <v>429</v>
      </c>
      <c r="WGX90" t="s">
        <v>143</v>
      </c>
      <c r="WGY90" t="s">
        <v>398</v>
      </c>
      <c r="WGZ90">
        <v>1</v>
      </c>
      <c r="WHA90" t="s">
        <v>430</v>
      </c>
      <c r="WHB90" t="s">
        <v>431</v>
      </c>
      <c r="WHC90" t="s">
        <v>432</v>
      </c>
      <c r="WHE90" t="s">
        <v>429</v>
      </c>
      <c r="WHF90" t="s">
        <v>143</v>
      </c>
      <c r="WHG90" t="s">
        <v>398</v>
      </c>
      <c r="WHH90">
        <v>1</v>
      </c>
      <c r="WHI90" t="s">
        <v>430</v>
      </c>
      <c r="WHJ90" t="s">
        <v>431</v>
      </c>
      <c r="WHK90" t="s">
        <v>432</v>
      </c>
      <c r="WHM90" t="s">
        <v>429</v>
      </c>
      <c r="WHN90" t="s">
        <v>143</v>
      </c>
      <c r="WHO90" t="s">
        <v>398</v>
      </c>
      <c r="WHP90">
        <v>1</v>
      </c>
      <c r="WHQ90" t="s">
        <v>430</v>
      </c>
      <c r="WHR90" t="s">
        <v>431</v>
      </c>
      <c r="WHS90" t="s">
        <v>432</v>
      </c>
      <c r="WHU90" t="s">
        <v>429</v>
      </c>
      <c r="WHV90" t="s">
        <v>143</v>
      </c>
      <c r="WHW90" t="s">
        <v>398</v>
      </c>
      <c r="WHX90">
        <v>1</v>
      </c>
      <c r="WHY90" t="s">
        <v>430</v>
      </c>
      <c r="WHZ90" t="s">
        <v>431</v>
      </c>
      <c r="WIA90" t="s">
        <v>432</v>
      </c>
      <c r="WIC90" t="s">
        <v>429</v>
      </c>
      <c r="WID90" t="s">
        <v>143</v>
      </c>
      <c r="WIE90" t="s">
        <v>398</v>
      </c>
      <c r="WIF90">
        <v>1</v>
      </c>
      <c r="WIG90" t="s">
        <v>430</v>
      </c>
      <c r="WIH90" t="s">
        <v>431</v>
      </c>
      <c r="WII90" t="s">
        <v>432</v>
      </c>
      <c r="WIK90" t="s">
        <v>429</v>
      </c>
      <c r="WIL90" t="s">
        <v>143</v>
      </c>
      <c r="WIM90" t="s">
        <v>398</v>
      </c>
      <c r="WIN90">
        <v>1</v>
      </c>
      <c r="WIO90" t="s">
        <v>430</v>
      </c>
      <c r="WIP90" t="s">
        <v>431</v>
      </c>
      <c r="WIQ90" t="s">
        <v>432</v>
      </c>
      <c r="WIS90" t="s">
        <v>429</v>
      </c>
      <c r="WIT90" t="s">
        <v>143</v>
      </c>
      <c r="WIU90" t="s">
        <v>398</v>
      </c>
      <c r="WIV90">
        <v>1</v>
      </c>
      <c r="WIW90" t="s">
        <v>430</v>
      </c>
      <c r="WIX90" t="s">
        <v>431</v>
      </c>
      <c r="WIY90" t="s">
        <v>432</v>
      </c>
      <c r="WJA90" t="s">
        <v>429</v>
      </c>
      <c r="WJB90" t="s">
        <v>143</v>
      </c>
      <c r="WJC90" t="s">
        <v>398</v>
      </c>
      <c r="WJD90">
        <v>1</v>
      </c>
      <c r="WJE90" t="s">
        <v>430</v>
      </c>
      <c r="WJF90" t="s">
        <v>431</v>
      </c>
      <c r="WJG90" t="s">
        <v>432</v>
      </c>
      <c r="WJI90" t="s">
        <v>429</v>
      </c>
      <c r="WJJ90" t="s">
        <v>143</v>
      </c>
      <c r="WJK90" t="s">
        <v>398</v>
      </c>
      <c r="WJL90">
        <v>1</v>
      </c>
      <c r="WJM90" t="s">
        <v>430</v>
      </c>
      <c r="WJN90" t="s">
        <v>431</v>
      </c>
      <c r="WJO90" t="s">
        <v>432</v>
      </c>
      <c r="WJQ90" t="s">
        <v>429</v>
      </c>
      <c r="WJR90" t="s">
        <v>143</v>
      </c>
      <c r="WJS90" t="s">
        <v>398</v>
      </c>
      <c r="WJT90">
        <v>1</v>
      </c>
      <c r="WJU90" t="s">
        <v>430</v>
      </c>
      <c r="WJV90" t="s">
        <v>431</v>
      </c>
      <c r="WJW90" t="s">
        <v>432</v>
      </c>
      <c r="WJY90" t="s">
        <v>429</v>
      </c>
      <c r="WJZ90" t="s">
        <v>143</v>
      </c>
      <c r="WKA90" t="s">
        <v>398</v>
      </c>
      <c r="WKB90">
        <v>1</v>
      </c>
      <c r="WKC90" t="s">
        <v>430</v>
      </c>
      <c r="WKD90" t="s">
        <v>431</v>
      </c>
      <c r="WKE90" t="s">
        <v>432</v>
      </c>
      <c r="WKG90" t="s">
        <v>429</v>
      </c>
      <c r="WKH90" t="s">
        <v>143</v>
      </c>
      <c r="WKI90" t="s">
        <v>398</v>
      </c>
      <c r="WKJ90">
        <v>1</v>
      </c>
      <c r="WKK90" t="s">
        <v>430</v>
      </c>
      <c r="WKL90" t="s">
        <v>431</v>
      </c>
      <c r="WKM90" t="s">
        <v>432</v>
      </c>
      <c r="WKO90" t="s">
        <v>429</v>
      </c>
      <c r="WKP90" t="s">
        <v>143</v>
      </c>
      <c r="WKQ90" t="s">
        <v>398</v>
      </c>
      <c r="WKR90">
        <v>1</v>
      </c>
      <c r="WKS90" t="s">
        <v>430</v>
      </c>
      <c r="WKT90" t="s">
        <v>431</v>
      </c>
      <c r="WKU90" t="s">
        <v>432</v>
      </c>
      <c r="WKW90" t="s">
        <v>429</v>
      </c>
      <c r="WKX90" t="s">
        <v>143</v>
      </c>
      <c r="WKY90" t="s">
        <v>398</v>
      </c>
      <c r="WKZ90">
        <v>1</v>
      </c>
      <c r="WLA90" t="s">
        <v>430</v>
      </c>
      <c r="WLB90" t="s">
        <v>431</v>
      </c>
      <c r="WLC90" t="s">
        <v>432</v>
      </c>
      <c r="WLE90" t="s">
        <v>429</v>
      </c>
      <c r="WLF90" t="s">
        <v>143</v>
      </c>
      <c r="WLG90" t="s">
        <v>398</v>
      </c>
      <c r="WLH90">
        <v>1</v>
      </c>
      <c r="WLI90" t="s">
        <v>430</v>
      </c>
      <c r="WLJ90" t="s">
        <v>431</v>
      </c>
      <c r="WLK90" t="s">
        <v>432</v>
      </c>
      <c r="WLM90" t="s">
        <v>429</v>
      </c>
      <c r="WLN90" t="s">
        <v>143</v>
      </c>
      <c r="WLO90" t="s">
        <v>398</v>
      </c>
      <c r="WLP90">
        <v>1</v>
      </c>
      <c r="WLQ90" t="s">
        <v>430</v>
      </c>
      <c r="WLR90" t="s">
        <v>431</v>
      </c>
      <c r="WLS90" t="s">
        <v>432</v>
      </c>
      <c r="WLU90" t="s">
        <v>429</v>
      </c>
      <c r="WLV90" t="s">
        <v>143</v>
      </c>
      <c r="WLW90" t="s">
        <v>398</v>
      </c>
      <c r="WLX90">
        <v>1</v>
      </c>
      <c r="WLY90" t="s">
        <v>430</v>
      </c>
      <c r="WLZ90" t="s">
        <v>431</v>
      </c>
      <c r="WMA90" t="s">
        <v>432</v>
      </c>
      <c r="WMC90" t="s">
        <v>429</v>
      </c>
      <c r="WMD90" t="s">
        <v>143</v>
      </c>
      <c r="WME90" t="s">
        <v>398</v>
      </c>
      <c r="WMF90">
        <v>1</v>
      </c>
      <c r="WMG90" t="s">
        <v>430</v>
      </c>
      <c r="WMH90" t="s">
        <v>431</v>
      </c>
      <c r="WMI90" t="s">
        <v>432</v>
      </c>
      <c r="WMK90" t="s">
        <v>429</v>
      </c>
      <c r="WML90" t="s">
        <v>143</v>
      </c>
      <c r="WMM90" t="s">
        <v>398</v>
      </c>
      <c r="WMN90">
        <v>1</v>
      </c>
      <c r="WMO90" t="s">
        <v>430</v>
      </c>
      <c r="WMP90" t="s">
        <v>431</v>
      </c>
      <c r="WMQ90" t="s">
        <v>432</v>
      </c>
      <c r="WMS90" t="s">
        <v>429</v>
      </c>
      <c r="WMT90" t="s">
        <v>143</v>
      </c>
      <c r="WMU90" t="s">
        <v>398</v>
      </c>
      <c r="WMV90">
        <v>1</v>
      </c>
      <c r="WMW90" t="s">
        <v>430</v>
      </c>
      <c r="WMX90" t="s">
        <v>431</v>
      </c>
      <c r="WMY90" t="s">
        <v>432</v>
      </c>
      <c r="WNA90" t="s">
        <v>429</v>
      </c>
      <c r="WNB90" t="s">
        <v>143</v>
      </c>
      <c r="WNC90" t="s">
        <v>398</v>
      </c>
      <c r="WND90">
        <v>1</v>
      </c>
      <c r="WNE90" t="s">
        <v>430</v>
      </c>
      <c r="WNF90" t="s">
        <v>431</v>
      </c>
      <c r="WNG90" t="s">
        <v>432</v>
      </c>
      <c r="WNI90" t="s">
        <v>429</v>
      </c>
      <c r="WNJ90" t="s">
        <v>143</v>
      </c>
      <c r="WNK90" t="s">
        <v>398</v>
      </c>
      <c r="WNL90">
        <v>1</v>
      </c>
      <c r="WNM90" t="s">
        <v>430</v>
      </c>
      <c r="WNN90" t="s">
        <v>431</v>
      </c>
      <c r="WNO90" t="s">
        <v>432</v>
      </c>
      <c r="WNQ90" t="s">
        <v>429</v>
      </c>
      <c r="WNR90" t="s">
        <v>143</v>
      </c>
      <c r="WNS90" t="s">
        <v>398</v>
      </c>
      <c r="WNT90">
        <v>1</v>
      </c>
      <c r="WNU90" t="s">
        <v>430</v>
      </c>
      <c r="WNV90" t="s">
        <v>431</v>
      </c>
      <c r="WNW90" t="s">
        <v>432</v>
      </c>
      <c r="WNY90" t="s">
        <v>429</v>
      </c>
      <c r="WNZ90" t="s">
        <v>143</v>
      </c>
      <c r="WOA90" t="s">
        <v>398</v>
      </c>
      <c r="WOB90">
        <v>1</v>
      </c>
      <c r="WOC90" t="s">
        <v>430</v>
      </c>
      <c r="WOD90" t="s">
        <v>431</v>
      </c>
      <c r="WOE90" t="s">
        <v>432</v>
      </c>
      <c r="WOG90" t="s">
        <v>429</v>
      </c>
      <c r="WOH90" t="s">
        <v>143</v>
      </c>
      <c r="WOI90" t="s">
        <v>398</v>
      </c>
      <c r="WOJ90">
        <v>1</v>
      </c>
      <c r="WOK90" t="s">
        <v>430</v>
      </c>
      <c r="WOL90" t="s">
        <v>431</v>
      </c>
      <c r="WOM90" t="s">
        <v>432</v>
      </c>
      <c r="WOO90" t="s">
        <v>429</v>
      </c>
      <c r="WOP90" t="s">
        <v>143</v>
      </c>
      <c r="WOQ90" t="s">
        <v>398</v>
      </c>
      <c r="WOR90">
        <v>1</v>
      </c>
      <c r="WOS90" t="s">
        <v>430</v>
      </c>
      <c r="WOT90" t="s">
        <v>431</v>
      </c>
      <c r="WOU90" t="s">
        <v>432</v>
      </c>
      <c r="WOW90" t="s">
        <v>429</v>
      </c>
      <c r="WOX90" t="s">
        <v>143</v>
      </c>
      <c r="WOY90" t="s">
        <v>398</v>
      </c>
      <c r="WOZ90">
        <v>1</v>
      </c>
      <c r="WPA90" t="s">
        <v>430</v>
      </c>
      <c r="WPB90" t="s">
        <v>431</v>
      </c>
      <c r="WPC90" t="s">
        <v>432</v>
      </c>
      <c r="WPE90" t="s">
        <v>429</v>
      </c>
      <c r="WPF90" t="s">
        <v>143</v>
      </c>
      <c r="WPG90" t="s">
        <v>398</v>
      </c>
      <c r="WPH90">
        <v>1</v>
      </c>
      <c r="WPI90" t="s">
        <v>430</v>
      </c>
      <c r="WPJ90" t="s">
        <v>431</v>
      </c>
      <c r="WPK90" t="s">
        <v>432</v>
      </c>
      <c r="WPM90" t="s">
        <v>429</v>
      </c>
      <c r="WPN90" t="s">
        <v>143</v>
      </c>
      <c r="WPO90" t="s">
        <v>398</v>
      </c>
      <c r="WPP90">
        <v>1</v>
      </c>
      <c r="WPQ90" t="s">
        <v>430</v>
      </c>
      <c r="WPR90" t="s">
        <v>431</v>
      </c>
      <c r="WPS90" t="s">
        <v>432</v>
      </c>
      <c r="WPU90" t="s">
        <v>429</v>
      </c>
      <c r="WPV90" t="s">
        <v>143</v>
      </c>
      <c r="WPW90" t="s">
        <v>398</v>
      </c>
      <c r="WPX90">
        <v>1</v>
      </c>
      <c r="WPY90" t="s">
        <v>430</v>
      </c>
      <c r="WPZ90" t="s">
        <v>431</v>
      </c>
      <c r="WQA90" t="s">
        <v>432</v>
      </c>
      <c r="WQC90" t="s">
        <v>429</v>
      </c>
      <c r="WQD90" t="s">
        <v>143</v>
      </c>
      <c r="WQE90" t="s">
        <v>398</v>
      </c>
      <c r="WQF90">
        <v>1</v>
      </c>
      <c r="WQG90" t="s">
        <v>430</v>
      </c>
      <c r="WQH90" t="s">
        <v>431</v>
      </c>
      <c r="WQI90" t="s">
        <v>432</v>
      </c>
      <c r="WQK90" t="s">
        <v>429</v>
      </c>
      <c r="WQL90" t="s">
        <v>143</v>
      </c>
      <c r="WQM90" t="s">
        <v>398</v>
      </c>
      <c r="WQN90">
        <v>1</v>
      </c>
      <c r="WQO90" t="s">
        <v>430</v>
      </c>
      <c r="WQP90" t="s">
        <v>431</v>
      </c>
      <c r="WQQ90" t="s">
        <v>432</v>
      </c>
      <c r="WQS90" t="s">
        <v>429</v>
      </c>
      <c r="WQT90" t="s">
        <v>143</v>
      </c>
      <c r="WQU90" t="s">
        <v>398</v>
      </c>
      <c r="WQV90">
        <v>1</v>
      </c>
      <c r="WQW90" t="s">
        <v>430</v>
      </c>
      <c r="WQX90" t="s">
        <v>431</v>
      </c>
      <c r="WQY90" t="s">
        <v>432</v>
      </c>
      <c r="WRA90" t="s">
        <v>429</v>
      </c>
      <c r="WRB90" t="s">
        <v>143</v>
      </c>
      <c r="WRC90" t="s">
        <v>398</v>
      </c>
      <c r="WRD90">
        <v>1</v>
      </c>
      <c r="WRE90" t="s">
        <v>430</v>
      </c>
      <c r="WRF90" t="s">
        <v>431</v>
      </c>
      <c r="WRG90" t="s">
        <v>432</v>
      </c>
      <c r="WRI90" t="s">
        <v>429</v>
      </c>
      <c r="WRJ90" t="s">
        <v>143</v>
      </c>
      <c r="WRK90" t="s">
        <v>398</v>
      </c>
      <c r="WRL90">
        <v>1</v>
      </c>
      <c r="WRM90" t="s">
        <v>430</v>
      </c>
      <c r="WRN90" t="s">
        <v>431</v>
      </c>
      <c r="WRO90" t="s">
        <v>432</v>
      </c>
      <c r="WRQ90" t="s">
        <v>429</v>
      </c>
      <c r="WRR90" t="s">
        <v>143</v>
      </c>
      <c r="WRS90" t="s">
        <v>398</v>
      </c>
      <c r="WRT90">
        <v>1</v>
      </c>
      <c r="WRU90" t="s">
        <v>430</v>
      </c>
      <c r="WRV90" t="s">
        <v>431</v>
      </c>
      <c r="WRW90" t="s">
        <v>432</v>
      </c>
      <c r="WRY90" t="s">
        <v>429</v>
      </c>
      <c r="WRZ90" t="s">
        <v>143</v>
      </c>
      <c r="WSA90" t="s">
        <v>398</v>
      </c>
      <c r="WSB90">
        <v>1</v>
      </c>
      <c r="WSC90" t="s">
        <v>430</v>
      </c>
      <c r="WSD90" t="s">
        <v>431</v>
      </c>
      <c r="WSE90" t="s">
        <v>432</v>
      </c>
      <c r="WSG90" t="s">
        <v>429</v>
      </c>
      <c r="WSH90" t="s">
        <v>143</v>
      </c>
      <c r="WSI90" t="s">
        <v>398</v>
      </c>
      <c r="WSJ90">
        <v>1</v>
      </c>
      <c r="WSK90" t="s">
        <v>430</v>
      </c>
      <c r="WSL90" t="s">
        <v>431</v>
      </c>
      <c r="WSM90" t="s">
        <v>432</v>
      </c>
      <c r="WSO90" t="s">
        <v>429</v>
      </c>
      <c r="WSP90" t="s">
        <v>143</v>
      </c>
      <c r="WSQ90" t="s">
        <v>398</v>
      </c>
      <c r="WSR90">
        <v>1</v>
      </c>
      <c r="WSS90" t="s">
        <v>430</v>
      </c>
      <c r="WST90" t="s">
        <v>431</v>
      </c>
      <c r="WSU90" t="s">
        <v>432</v>
      </c>
      <c r="WSW90" t="s">
        <v>429</v>
      </c>
      <c r="WSX90" t="s">
        <v>143</v>
      </c>
      <c r="WSY90" t="s">
        <v>398</v>
      </c>
      <c r="WSZ90">
        <v>1</v>
      </c>
      <c r="WTA90" t="s">
        <v>430</v>
      </c>
      <c r="WTB90" t="s">
        <v>431</v>
      </c>
      <c r="WTC90" t="s">
        <v>432</v>
      </c>
      <c r="WTE90" t="s">
        <v>429</v>
      </c>
      <c r="WTF90" t="s">
        <v>143</v>
      </c>
      <c r="WTG90" t="s">
        <v>398</v>
      </c>
      <c r="WTH90">
        <v>1</v>
      </c>
      <c r="WTI90" t="s">
        <v>430</v>
      </c>
      <c r="WTJ90" t="s">
        <v>431</v>
      </c>
      <c r="WTK90" t="s">
        <v>432</v>
      </c>
      <c r="WTM90" t="s">
        <v>429</v>
      </c>
      <c r="WTN90" t="s">
        <v>143</v>
      </c>
      <c r="WTO90" t="s">
        <v>398</v>
      </c>
      <c r="WTP90">
        <v>1</v>
      </c>
      <c r="WTQ90" t="s">
        <v>430</v>
      </c>
      <c r="WTR90" t="s">
        <v>431</v>
      </c>
      <c r="WTS90" t="s">
        <v>432</v>
      </c>
      <c r="WTU90" t="s">
        <v>429</v>
      </c>
      <c r="WTV90" t="s">
        <v>143</v>
      </c>
      <c r="WTW90" t="s">
        <v>398</v>
      </c>
      <c r="WTX90">
        <v>1</v>
      </c>
      <c r="WTY90" t="s">
        <v>430</v>
      </c>
      <c r="WTZ90" t="s">
        <v>431</v>
      </c>
      <c r="WUA90" t="s">
        <v>432</v>
      </c>
      <c r="WUC90" t="s">
        <v>429</v>
      </c>
      <c r="WUD90" t="s">
        <v>143</v>
      </c>
      <c r="WUE90" t="s">
        <v>398</v>
      </c>
      <c r="WUF90">
        <v>1</v>
      </c>
      <c r="WUG90" t="s">
        <v>430</v>
      </c>
      <c r="WUH90" t="s">
        <v>431</v>
      </c>
      <c r="WUI90" t="s">
        <v>432</v>
      </c>
      <c r="WUK90" t="s">
        <v>429</v>
      </c>
      <c r="WUL90" t="s">
        <v>143</v>
      </c>
      <c r="WUM90" t="s">
        <v>398</v>
      </c>
      <c r="WUN90">
        <v>1</v>
      </c>
      <c r="WUO90" t="s">
        <v>430</v>
      </c>
      <c r="WUP90" t="s">
        <v>431</v>
      </c>
      <c r="WUQ90" t="s">
        <v>432</v>
      </c>
      <c r="WUS90" t="s">
        <v>429</v>
      </c>
      <c r="WUT90" t="s">
        <v>143</v>
      </c>
      <c r="WUU90" t="s">
        <v>398</v>
      </c>
      <c r="WUV90">
        <v>1</v>
      </c>
      <c r="WUW90" t="s">
        <v>430</v>
      </c>
      <c r="WUX90" t="s">
        <v>431</v>
      </c>
      <c r="WUY90" t="s">
        <v>432</v>
      </c>
      <c r="WVA90" t="s">
        <v>429</v>
      </c>
      <c r="WVB90" t="s">
        <v>143</v>
      </c>
      <c r="WVC90" t="s">
        <v>398</v>
      </c>
      <c r="WVD90">
        <v>1</v>
      </c>
      <c r="WVE90" t="s">
        <v>430</v>
      </c>
      <c r="WVF90" t="s">
        <v>431</v>
      </c>
      <c r="WVG90" t="s">
        <v>432</v>
      </c>
      <c r="WVI90" t="s">
        <v>429</v>
      </c>
      <c r="WVJ90" t="s">
        <v>143</v>
      </c>
      <c r="WVK90" t="s">
        <v>398</v>
      </c>
      <c r="WVL90">
        <v>1</v>
      </c>
      <c r="WVM90" t="s">
        <v>430</v>
      </c>
      <c r="WVN90" t="s">
        <v>431</v>
      </c>
      <c r="WVO90" t="s">
        <v>432</v>
      </c>
      <c r="WVQ90" t="s">
        <v>429</v>
      </c>
      <c r="WVR90" t="s">
        <v>143</v>
      </c>
      <c r="WVS90" t="s">
        <v>398</v>
      </c>
      <c r="WVT90">
        <v>1</v>
      </c>
      <c r="WVU90" t="s">
        <v>430</v>
      </c>
      <c r="WVV90" t="s">
        <v>431</v>
      </c>
      <c r="WVW90" t="s">
        <v>432</v>
      </c>
      <c r="WVY90" t="s">
        <v>429</v>
      </c>
      <c r="WVZ90" t="s">
        <v>143</v>
      </c>
      <c r="WWA90" t="s">
        <v>398</v>
      </c>
      <c r="WWB90">
        <v>1</v>
      </c>
      <c r="WWC90" t="s">
        <v>430</v>
      </c>
      <c r="WWD90" t="s">
        <v>431</v>
      </c>
      <c r="WWE90" t="s">
        <v>432</v>
      </c>
      <c r="WWG90" t="s">
        <v>429</v>
      </c>
      <c r="WWH90" t="s">
        <v>143</v>
      </c>
      <c r="WWI90" t="s">
        <v>398</v>
      </c>
      <c r="WWJ90">
        <v>1</v>
      </c>
      <c r="WWK90" t="s">
        <v>430</v>
      </c>
      <c r="WWL90" t="s">
        <v>431</v>
      </c>
      <c r="WWM90" t="s">
        <v>432</v>
      </c>
      <c r="WWO90" t="s">
        <v>429</v>
      </c>
      <c r="WWP90" t="s">
        <v>143</v>
      </c>
      <c r="WWQ90" t="s">
        <v>398</v>
      </c>
      <c r="WWR90">
        <v>1</v>
      </c>
      <c r="WWS90" t="s">
        <v>430</v>
      </c>
      <c r="WWT90" t="s">
        <v>431</v>
      </c>
      <c r="WWU90" t="s">
        <v>432</v>
      </c>
      <c r="WWW90" t="s">
        <v>429</v>
      </c>
      <c r="WWX90" t="s">
        <v>143</v>
      </c>
      <c r="WWY90" t="s">
        <v>398</v>
      </c>
      <c r="WWZ90">
        <v>1</v>
      </c>
      <c r="WXA90" t="s">
        <v>430</v>
      </c>
      <c r="WXB90" t="s">
        <v>431</v>
      </c>
      <c r="WXC90" t="s">
        <v>432</v>
      </c>
      <c r="WXE90" t="s">
        <v>429</v>
      </c>
      <c r="WXF90" t="s">
        <v>143</v>
      </c>
      <c r="WXG90" t="s">
        <v>398</v>
      </c>
      <c r="WXH90">
        <v>1</v>
      </c>
      <c r="WXI90" t="s">
        <v>430</v>
      </c>
      <c r="WXJ90" t="s">
        <v>431</v>
      </c>
      <c r="WXK90" t="s">
        <v>432</v>
      </c>
      <c r="WXM90" t="s">
        <v>429</v>
      </c>
      <c r="WXN90" t="s">
        <v>143</v>
      </c>
      <c r="WXO90" t="s">
        <v>398</v>
      </c>
      <c r="WXP90">
        <v>1</v>
      </c>
      <c r="WXQ90" t="s">
        <v>430</v>
      </c>
      <c r="WXR90" t="s">
        <v>431</v>
      </c>
      <c r="WXS90" t="s">
        <v>432</v>
      </c>
      <c r="WXU90" t="s">
        <v>429</v>
      </c>
      <c r="WXV90" t="s">
        <v>143</v>
      </c>
      <c r="WXW90" t="s">
        <v>398</v>
      </c>
      <c r="WXX90">
        <v>1</v>
      </c>
      <c r="WXY90" t="s">
        <v>430</v>
      </c>
      <c r="WXZ90" t="s">
        <v>431</v>
      </c>
      <c r="WYA90" t="s">
        <v>432</v>
      </c>
      <c r="WYC90" t="s">
        <v>429</v>
      </c>
      <c r="WYD90" t="s">
        <v>143</v>
      </c>
      <c r="WYE90" t="s">
        <v>398</v>
      </c>
      <c r="WYF90">
        <v>1</v>
      </c>
      <c r="WYG90" t="s">
        <v>430</v>
      </c>
      <c r="WYH90" t="s">
        <v>431</v>
      </c>
      <c r="WYI90" t="s">
        <v>432</v>
      </c>
      <c r="WYK90" t="s">
        <v>429</v>
      </c>
      <c r="WYL90" t="s">
        <v>143</v>
      </c>
      <c r="WYM90" t="s">
        <v>398</v>
      </c>
      <c r="WYN90">
        <v>1</v>
      </c>
      <c r="WYO90" t="s">
        <v>430</v>
      </c>
      <c r="WYP90" t="s">
        <v>431</v>
      </c>
      <c r="WYQ90" t="s">
        <v>432</v>
      </c>
      <c r="WYS90" t="s">
        <v>429</v>
      </c>
      <c r="WYT90" t="s">
        <v>143</v>
      </c>
      <c r="WYU90" t="s">
        <v>398</v>
      </c>
      <c r="WYV90">
        <v>1</v>
      </c>
      <c r="WYW90" t="s">
        <v>430</v>
      </c>
      <c r="WYX90" t="s">
        <v>431</v>
      </c>
      <c r="WYY90" t="s">
        <v>432</v>
      </c>
      <c r="WZA90" t="s">
        <v>429</v>
      </c>
      <c r="WZB90" t="s">
        <v>143</v>
      </c>
      <c r="WZC90" t="s">
        <v>398</v>
      </c>
      <c r="WZD90">
        <v>1</v>
      </c>
      <c r="WZE90" t="s">
        <v>430</v>
      </c>
      <c r="WZF90" t="s">
        <v>431</v>
      </c>
      <c r="WZG90" t="s">
        <v>432</v>
      </c>
      <c r="WZI90" t="s">
        <v>429</v>
      </c>
      <c r="WZJ90" t="s">
        <v>143</v>
      </c>
      <c r="WZK90" t="s">
        <v>398</v>
      </c>
      <c r="WZL90">
        <v>1</v>
      </c>
      <c r="WZM90" t="s">
        <v>430</v>
      </c>
      <c r="WZN90" t="s">
        <v>431</v>
      </c>
      <c r="WZO90" t="s">
        <v>432</v>
      </c>
      <c r="WZQ90" t="s">
        <v>429</v>
      </c>
      <c r="WZR90" t="s">
        <v>143</v>
      </c>
      <c r="WZS90" t="s">
        <v>398</v>
      </c>
      <c r="WZT90">
        <v>1</v>
      </c>
      <c r="WZU90" t="s">
        <v>430</v>
      </c>
      <c r="WZV90" t="s">
        <v>431</v>
      </c>
      <c r="WZW90" t="s">
        <v>432</v>
      </c>
      <c r="WZY90" t="s">
        <v>429</v>
      </c>
      <c r="WZZ90" t="s">
        <v>143</v>
      </c>
      <c r="XAA90" t="s">
        <v>398</v>
      </c>
      <c r="XAB90">
        <v>1</v>
      </c>
      <c r="XAC90" t="s">
        <v>430</v>
      </c>
      <c r="XAD90" t="s">
        <v>431</v>
      </c>
      <c r="XAE90" t="s">
        <v>432</v>
      </c>
      <c r="XAG90" t="s">
        <v>429</v>
      </c>
      <c r="XAH90" t="s">
        <v>143</v>
      </c>
      <c r="XAI90" t="s">
        <v>398</v>
      </c>
      <c r="XAJ90">
        <v>1</v>
      </c>
      <c r="XAK90" t="s">
        <v>430</v>
      </c>
      <c r="XAL90" t="s">
        <v>431</v>
      </c>
      <c r="XAM90" t="s">
        <v>432</v>
      </c>
      <c r="XAO90" t="s">
        <v>429</v>
      </c>
      <c r="XAP90" t="s">
        <v>143</v>
      </c>
      <c r="XAQ90" t="s">
        <v>398</v>
      </c>
      <c r="XAR90">
        <v>1</v>
      </c>
      <c r="XAS90" t="s">
        <v>430</v>
      </c>
      <c r="XAT90" t="s">
        <v>431</v>
      </c>
      <c r="XAU90" t="s">
        <v>432</v>
      </c>
      <c r="XAW90" t="s">
        <v>429</v>
      </c>
      <c r="XAX90" t="s">
        <v>143</v>
      </c>
      <c r="XAY90" t="s">
        <v>398</v>
      </c>
      <c r="XAZ90">
        <v>1</v>
      </c>
      <c r="XBA90" t="s">
        <v>430</v>
      </c>
      <c r="XBB90" t="s">
        <v>431</v>
      </c>
      <c r="XBC90" t="s">
        <v>432</v>
      </c>
      <c r="XBE90" t="s">
        <v>429</v>
      </c>
      <c r="XBF90" t="s">
        <v>143</v>
      </c>
      <c r="XBG90" t="s">
        <v>398</v>
      </c>
      <c r="XBH90">
        <v>1</v>
      </c>
      <c r="XBI90" t="s">
        <v>430</v>
      </c>
      <c r="XBJ90" t="s">
        <v>431</v>
      </c>
      <c r="XBK90" t="s">
        <v>432</v>
      </c>
      <c r="XBM90" t="s">
        <v>429</v>
      </c>
      <c r="XBN90" t="s">
        <v>143</v>
      </c>
      <c r="XBO90" t="s">
        <v>398</v>
      </c>
      <c r="XBP90">
        <v>1</v>
      </c>
      <c r="XBQ90" t="s">
        <v>430</v>
      </c>
      <c r="XBR90" t="s">
        <v>431</v>
      </c>
      <c r="XBS90" t="s">
        <v>432</v>
      </c>
      <c r="XBU90" t="s">
        <v>429</v>
      </c>
      <c r="XBV90" t="s">
        <v>143</v>
      </c>
      <c r="XBW90" t="s">
        <v>398</v>
      </c>
      <c r="XBX90">
        <v>1</v>
      </c>
      <c r="XBY90" t="s">
        <v>430</v>
      </c>
      <c r="XBZ90" t="s">
        <v>431</v>
      </c>
      <c r="XCA90" t="s">
        <v>432</v>
      </c>
      <c r="XCC90" t="s">
        <v>429</v>
      </c>
      <c r="XCD90" t="s">
        <v>143</v>
      </c>
      <c r="XCE90" t="s">
        <v>398</v>
      </c>
      <c r="XCF90">
        <v>1</v>
      </c>
      <c r="XCG90" t="s">
        <v>430</v>
      </c>
      <c r="XCH90" t="s">
        <v>431</v>
      </c>
      <c r="XCI90" t="s">
        <v>432</v>
      </c>
      <c r="XCK90" t="s">
        <v>429</v>
      </c>
      <c r="XCL90" t="s">
        <v>143</v>
      </c>
      <c r="XCM90" t="s">
        <v>398</v>
      </c>
      <c r="XCN90">
        <v>1</v>
      </c>
      <c r="XCO90" t="s">
        <v>430</v>
      </c>
      <c r="XCP90" t="s">
        <v>431</v>
      </c>
      <c r="XCQ90" t="s">
        <v>432</v>
      </c>
      <c r="XCS90" t="s">
        <v>429</v>
      </c>
      <c r="XCT90" t="s">
        <v>143</v>
      </c>
      <c r="XCU90" t="s">
        <v>398</v>
      </c>
      <c r="XCV90">
        <v>1</v>
      </c>
      <c r="XCW90" t="s">
        <v>430</v>
      </c>
      <c r="XCX90" t="s">
        <v>431</v>
      </c>
      <c r="XCY90" t="s">
        <v>432</v>
      </c>
      <c r="XDA90" t="s">
        <v>429</v>
      </c>
      <c r="XDB90" t="s">
        <v>143</v>
      </c>
      <c r="XDC90" t="s">
        <v>398</v>
      </c>
      <c r="XDD90">
        <v>1</v>
      </c>
      <c r="XDE90" t="s">
        <v>430</v>
      </c>
      <c r="XDF90" t="s">
        <v>431</v>
      </c>
      <c r="XDG90" t="s">
        <v>432</v>
      </c>
      <c r="XDI90" t="s">
        <v>429</v>
      </c>
      <c r="XDJ90" t="s">
        <v>143</v>
      </c>
      <c r="XDK90" t="s">
        <v>398</v>
      </c>
      <c r="XDL90">
        <v>1</v>
      </c>
      <c r="XDM90" t="s">
        <v>430</v>
      </c>
      <c r="XDN90" t="s">
        <v>431</v>
      </c>
      <c r="XDO90" t="s">
        <v>432</v>
      </c>
      <c r="XDQ90" t="s">
        <v>429</v>
      </c>
      <c r="XDR90" t="s">
        <v>143</v>
      </c>
      <c r="XDS90" t="s">
        <v>398</v>
      </c>
      <c r="XDT90">
        <v>1</v>
      </c>
      <c r="XDU90" t="s">
        <v>430</v>
      </c>
      <c r="XDV90" t="s">
        <v>431</v>
      </c>
      <c r="XDW90" t="s">
        <v>432</v>
      </c>
      <c r="XDY90" t="s">
        <v>429</v>
      </c>
      <c r="XDZ90" t="s">
        <v>143</v>
      </c>
      <c r="XEA90" t="s">
        <v>398</v>
      </c>
      <c r="XEB90">
        <v>1</v>
      </c>
      <c r="XEC90" t="s">
        <v>430</v>
      </c>
      <c r="XED90" t="s">
        <v>431</v>
      </c>
      <c r="XEE90" t="s">
        <v>432</v>
      </c>
      <c r="XEG90" t="s">
        <v>429</v>
      </c>
      <c r="XEH90" t="s">
        <v>143</v>
      </c>
      <c r="XEI90" t="s">
        <v>398</v>
      </c>
      <c r="XEJ90">
        <v>1</v>
      </c>
      <c r="XEK90" t="s">
        <v>430</v>
      </c>
      <c r="XEL90" t="s">
        <v>431</v>
      </c>
      <c r="XEM90" t="s">
        <v>432</v>
      </c>
      <c r="XEO90" t="s">
        <v>429</v>
      </c>
      <c r="XEP90" t="s">
        <v>143</v>
      </c>
      <c r="XEQ90" t="s">
        <v>398</v>
      </c>
      <c r="XER90">
        <v>1</v>
      </c>
      <c r="XES90" t="s">
        <v>430</v>
      </c>
      <c r="XET90" t="s">
        <v>431</v>
      </c>
      <c r="XEU90" t="s">
        <v>432</v>
      </c>
      <c r="XEW90" t="s">
        <v>429</v>
      </c>
      <c r="XEX90" t="s">
        <v>143</v>
      </c>
      <c r="XEY90" t="s">
        <v>398</v>
      </c>
      <c r="XEZ90">
        <v>1</v>
      </c>
      <c r="XFA90" t="s">
        <v>430</v>
      </c>
      <c r="XFB90" t="s">
        <v>431</v>
      </c>
      <c r="XFC90" t="s">
        <v>432</v>
      </c>
    </row>
    <row r="91" spans="1:1023 1025:2047 2049:3071 3073:4095 4097:5119 5121:6143 6145:7167 7169:8191 8193:9215 9217:10239 10241:11263 11265:12287 12289:13311 13313:14335 14337:15359 15361:16383" ht="15" customHeight="1" x14ac:dyDescent="0.2">
      <c r="A91" s="57" t="s">
        <v>433</v>
      </c>
      <c r="B91" s="57" t="s">
        <v>137</v>
      </c>
      <c r="C91" s="57" t="s">
        <v>398</v>
      </c>
      <c r="D91" s="57">
        <v>1</v>
      </c>
      <c r="E91" s="57" t="s">
        <v>434</v>
      </c>
      <c r="F91" s="57" t="s">
        <v>435</v>
      </c>
      <c r="G91" s="57" t="s">
        <v>428</v>
      </c>
      <c r="I91" s="13" t="s">
        <v>146</v>
      </c>
      <c r="J91" s="13" t="s">
        <v>145</v>
      </c>
      <c r="K91" s="13" t="s">
        <v>398</v>
      </c>
      <c r="L91" s="13">
        <v>1</v>
      </c>
      <c r="M91" s="13" t="s">
        <v>436</v>
      </c>
      <c r="N91" s="13" t="s">
        <v>437</v>
      </c>
      <c r="O91" s="13" t="s">
        <v>428</v>
      </c>
      <c r="Q91" s="13" t="s">
        <v>146</v>
      </c>
      <c r="R91" s="13" t="s">
        <v>145</v>
      </c>
      <c r="S91" s="13" t="s">
        <v>398</v>
      </c>
      <c r="T91" s="13">
        <v>1</v>
      </c>
      <c r="U91" s="13" t="s">
        <v>436</v>
      </c>
      <c r="V91" s="13" t="s">
        <v>437</v>
      </c>
      <c r="W91" s="13" t="s">
        <v>428</v>
      </c>
      <c r="Y91" s="13" t="s">
        <v>146</v>
      </c>
      <c r="Z91" s="13" t="s">
        <v>145</v>
      </c>
      <c r="AA91" s="13" t="s">
        <v>398</v>
      </c>
      <c r="AB91" s="13">
        <v>1</v>
      </c>
      <c r="AC91" s="13" t="s">
        <v>436</v>
      </c>
      <c r="AD91" s="13" t="s">
        <v>437</v>
      </c>
      <c r="AE91" s="13" t="s">
        <v>428</v>
      </c>
      <c r="AG91" s="13" t="s">
        <v>146</v>
      </c>
      <c r="AH91" s="13" t="s">
        <v>145</v>
      </c>
      <c r="AI91" s="13" t="s">
        <v>398</v>
      </c>
      <c r="AJ91" s="13">
        <v>1</v>
      </c>
      <c r="AK91" s="13" t="s">
        <v>436</v>
      </c>
      <c r="AL91" s="13" t="s">
        <v>437</v>
      </c>
      <c r="AM91" s="13" t="s">
        <v>428</v>
      </c>
      <c r="AO91" s="13" t="s">
        <v>146</v>
      </c>
      <c r="AP91" s="13" t="s">
        <v>145</v>
      </c>
      <c r="AQ91" s="13" t="s">
        <v>398</v>
      </c>
      <c r="AR91" s="13">
        <v>1</v>
      </c>
      <c r="AS91" s="13" t="s">
        <v>436</v>
      </c>
      <c r="AT91" s="13" t="s">
        <v>437</v>
      </c>
      <c r="AU91" s="13" t="s">
        <v>428</v>
      </c>
      <c r="AW91" s="13" t="s">
        <v>146</v>
      </c>
      <c r="AX91" s="13" t="s">
        <v>145</v>
      </c>
      <c r="AY91" s="13" t="s">
        <v>398</v>
      </c>
      <c r="AZ91" s="13">
        <v>1</v>
      </c>
      <c r="BA91" s="13" t="s">
        <v>436</v>
      </c>
      <c r="BB91" s="13" t="s">
        <v>437</v>
      </c>
      <c r="BC91" s="13" t="s">
        <v>428</v>
      </c>
      <c r="BE91" s="13" t="s">
        <v>146</v>
      </c>
      <c r="BF91" s="13" t="s">
        <v>145</v>
      </c>
      <c r="BG91" s="13" t="s">
        <v>398</v>
      </c>
      <c r="BH91" s="13">
        <v>1</v>
      </c>
      <c r="BI91" s="13" t="s">
        <v>436</v>
      </c>
      <c r="BJ91" s="13" t="s">
        <v>437</v>
      </c>
      <c r="BK91" s="13" t="s">
        <v>428</v>
      </c>
      <c r="BM91" s="13" t="s">
        <v>146</v>
      </c>
      <c r="BN91" s="13" t="s">
        <v>145</v>
      </c>
      <c r="BO91" s="13" t="s">
        <v>398</v>
      </c>
      <c r="BP91" s="13">
        <v>1</v>
      </c>
      <c r="BQ91" s="13" t="s">
        <v>436</v>
      </c>
      <c r="BR91" s="13" t="s">
        <v>437</v>
      </c>
      <c r="BS91" s="13" t="s">
        <v>428</v>
      </c>
      <c r="BU91" s="13" t="s">
        <v>146</v>
      </c>
      <c r="BV91" s="13" t="s">
        <v>145</v>
      </c>
      <c r="BW91" s="13" t="s">
        <v>398</v>
      </c>
      <c r="BX91" s="13">
        <v>1</v>
      </c>
      <c r="BY91" s="13" t="s">
        <v>436</v>
      </c>
      <c r="BZ91" s="13" t="s">
        <v>437</v>
      </c>
      <c r="CA91" s="13" t="s">
        <v>428</v>
      </c>
      <c r="CC91" s="13" t="s">
        <v>146</v>
      </c>
      <c r="CD91" s="13" t="s">
        <v>145</v>
      </c>
      <c r="CE91" s="13" t="s">
        <v>398</v>
      </c>
      <c r="CF91" s="13">
        <v>1</v>
      </c>
      <c r="CG91" s="13" t="s">
        <v>436</v>
      </c>
      <c r="CH91" t="s">
        <v>437</v>
      </c>
      <c r="CI91" t="s">
        <v>428</v>
      </c>
      <c r="CK91" t="s">
        <v>146</v>
      </c>
      <c r="CL91" t="s">
        <v>145</v>
      </c>
      <c r="CM91" t="s">
        <v>398</v>
      </c>
      <c r="CN91">
        <v>1</v>
      </c>
      <c r="CO91" t="s">
        <v>436</v>
      </c>
      <c r="CP91" t="s">
        <v>437</v>
      </c>
      <c r="CQ91" t="s">
        <v>428</v>
      </c>
      <c r="CS91" t="s">
        <v>146</v>
      </c>
      <c r="CT91" t="s">
        <v>145</v>
      </c>
      <c r="CU91" t="s">
        <v>398</v>
      </c>
      <c r="CV91">
        <v>1</v>
      </c>
      <c r="CW91" t="s">
        <v>436</v>
      </c>
      <c r="CX91" t="s">
        <v>437</v>
      </c>
      <c r="CY91" t="s">
        <v>428</v>
      </c>
      <c r="DA91" t="s">
        <v>146</v>
      </c>
      <c r="DB91" t="s">
        <v>145</v>
      </c>
      <c r="DC91" t="s">
        <v>398</v>
      </c>
      <c r="DD91">
        <v>1</v>
      </c>
      <c r="DE91" t="s">
        <v>436</v>
      </c>
      <c r="DF91" t="s">
        <v>437</v>
      </c>
      <c r="DG91" t="s">
        <v>428</v>
      </c>
      <c r="DI91" t="s">
        <v>146</v>
      </c>
      <c r="DJ91" t="s">
        <v>145</v>
      </c>
      <c r="DK91" t="s">
        <v>398</v>
      </c>
      <c r="DL91">
        <v>1</v>
      </c>
      <c r="DM91" t="s">
        <v>436</v>
      </c>
      <c r="DN91" t="s">
        <v>437</v>
      </c>
      <c r="DO91" t="s">
        <v>428</v>
      </c>
      <c r="DQ91" t="s">
        <v>146</v>
      </c>
      <c r="DR91" t="s">
        <v>145</v>
      </c>
      <c r="DS91" t="s">
        <v>398</v>
      </c>
      <c r="DT91">
        <v>1</v>
      </c>
      <c r="DU91" t="s">
        <v>436</v>
      </c>
      <c r="DV91" t="s">
        <v>437</v>
      </c>
      <c r="DW91" t="s">
        <v>428</v>
      </c>
      <c r="DY91" t="s">
        <v>146</v>
      </c>
      <c r="DZ91" t="s">
        <v>145</v>
      </c>
      <c r="EA91" t="s">
        <v>398</v>
      </c>
      <c r="EB91">
        <v>1</v>
      </c>
      <c r="EC91" t="s">
        <v>436</v>
      </c>
      <c r="ED91" t="s">
        <v>437</v>
      </c>
      <c r="EE91" t="s">
        <v>428</v>
      </c>
      <c r="EG91" t="s">
        <v>146</v>
      </c>
      <c r="EH91" t="s">
        <v>145</v>
      </c>
      <c r="EI91" t="s">
        <v>398</v>
      </c>
      <c r="EJ91">
        <v>1</v>
      </c>
      <c r="EK91" t="s">
        <v>436</v>
      </c>
      <c r="EL91" t="s">
        <v>437</v>
      </c>
      <c r="EM91" t="s">
        <v>428</v>
      </c>
      <c r="EO91" t="s">
        <v>146</v>
      </c>
      <c r="EP91" t="s">
        <v>145</v>
      </c>
      <c r="EQ91" t="s">
        <v>398</v>
      </c>
      <c r="ER91">
        <v>1</v>
      </c>
      <c r="ES91" t="s">
        <v>436</v>
      </c>
      <c r="ET91" t="s">
        <v>437</v>
      </c>
      <c r="EU91" t="s">
        <v>428</v>
      </c>
      <c r="EW91" t="s">
        <v>146</v>
      </c>
      <c r="EX91" t="s">
        <v>145</v>
      </c>
      <c r="EY91" t="s">
        <v>398</v>
      </c>
      <c r="EZ91">
        <v>1</v>
      </c>
      <c r="FA91" t="s">
        <v>436</v>
      </c>
      <c r="FB91" t="s">
        <v>437</v>
      </c>
      <c r="FC91" t="s">
        <v>428</v>
      </c>
      <c r="FE91" t="s">
        <v>146</v>
      </c>
      <c r="FF91" t="s">
        <v>145</v>
      </c>
      <c r="FG91" t="s">
        <v>398</v>
      </c>
      <c r="FH91">
        <v>1</v>
      </c>
      <c r="FI91" t="s">
        <v>436</v>
      </c>
      <c r="FJ91" t="s">
        <v>437</v>
      </c>
      <c r="FK91" t="s">
        <v>428</v>
      </c>
      <c r="FM91" t="s">
        <v>146</v>
      </c>
      <c r="FN91" t="s">
        <v>145</v>
      </c>
      <c r="FO91" t="s">
        <v>398</v>
      </c>
      <c r="FP91">
        <v>1</v>
      </c>
      <c r="FQ91" t="s">
        <v>436</v>
      </c>
      <c r="FR91" t="s">
        <v>437</v>
      </c>
      <c r="FS91" t="s">
        <v>428</v>
      </c>
      <c r="FU91" t="s">
        <v>146</v>
      </c>
      <c r="FV91" t="s">
        <v>145</v>
      </c>
      <c r="FW91" t="s">
        <v>398</v>
      </c>
      <c r="FX91">
        <v>1</v>
      </c>
      <c r="FY91" t="s">
        <v>436</v>
      </c>
      <c r="FZ91" t="s">
        <v>437</v>
      </c>
      <c r="GA91" t="s">
        <v>428</v>
      </c>
      <c r="GC91" t="s">
        <v>146</v>
      </c>
      <c r="GD91" t="s">
        <v>145</v>
      </c>
      <c r="GE91" t="s">
        <v>398</v>
      </c>
      <c r="GF91">
        <v>1</v>
      </c>
      <c r="GG91" t="s">
        <v>436</v>
      </c>
      <c r="GH91" t="s">
        <v>437</v>
      </c>
      <c r="GI91" t="s">
        <v>428</v>
      </c>
      <c r="GK91" t="s">
        <v>146</v>
      </c>
      <c r="GL91" t="s">
        <v>145</v>
      </c>
      <c r="GM91" t="s">
        <v>398</v>
      </c>
      <c r="GN91">
        <v>1</v>
      </c>
      <c r="GO91" t="s">
        <v>436</v>
      </c>
      <c r="GP91" t="s">
        <v>437</v>
      </c>
      <c r="GQ91" t="s">
        <v>428</v>
      </c>
      <c r="GS91" t="s">
        <v>146</v>
      </c>
      <c r="GT91" t="s">
        <v>145</v>
      </c>
      <c r="GU91" t="s">
        <v>398</v>
      </c>
      <c r="GV91">
        <v>1</v>
      </c>
      <c r="GW91" t="s">
        <v>436</v>
      </c>
      <c r="GX91" t="s">
        <v>437</v>
      </c>
      <c r="GY91" t="s">
        <v>428</v>
      </c>
      <c r="HA91" t="s">
        <v>146</v>
      </c>
      <c r="HB91" t="s">
        <v>145</v>
      </c>
      <c r="HC91" t="s">
        <v>398</v>
      </c>
      <c r="HD91">
        <v>1</v>
      </c>
      <c r="HE91" t="s">
        <v>436</v>
      </c>
      <c r="HF91" t="s">
        <v>437</v>
      </c>
      <c r="HG91" t="s">
        <v>428</v>
      </c>
      <c r="HI91" t="s">
        <v>146</v>
      </c>
      <c r="HJ91" t="s">
        <v>145</v>
      </c>
      <c r="HK91" t="s">
        <v>398</v>
      </c>
      <c r="HL91">
        <v>1</v>
      </c>
      <c r="HM91" t="s">
        <v>436</v>
      </c>
      <c r="HN91" t="s">
        <v>437</v>
      </c>
      <c r="HO91" t="s">
        <v>428</v>
      </c>
      <c r="HQ91" t="s">
        <v>146</v>
      </c>
      <c r="HR91" t="s">
        <v>145</v>
      </c>
      <c r="HS91" t="s">
        <v>398</v>
      </c>
      <c r="HT91">
        <v>1</v>
      </c>
      <c r="HU91" t="s">
        <v>436</v>
      </c>
      <c r="HV91" t="s">
        <v>437</v>
      </c>
      <c r="HW91" t="s">
        <v>428</v>
      </c>
      <c r="HY91" t="s">
        <v>146</v>
      </c>
      <c r="HZ91" t="s">
        <v>145</v>
      </c>
      <c r="IA91" t="s">
        <v>398</v>
      </c>
      <c r="IB91">
        <v>1</v>
      </c>
      <c r="IC91" t="s">
        <v>436</v>
      </c>
      <c r="ID91" t="s">
        <v>437</v>
      </c>
      <c r="IE91" t="s">
        <v>428</v>
      </c>
      <c r="IG91" t="s">
        <v>146</v>
      </c>
      <c r="IH91" t="s">
        <v>145</v>
      </c>
      <c r="II91" t="s">
        <v>398</v>
      </c>
      <c r="IJ91">
        <v>1</v>
      </c>
      <c r="IK91" t="s">
        <v>436</v>
      </c>
      <c r="IL91" t="s">
        <v>437</v>
      </c>
      <c r="IM91" t="s">
        <v>428</v>
      </c>
      <c r="IO91" t="s">
        <v>146</v>
      </c>
      <c r="IP91" t="s">
        <v>145</v>
      </c>
      <c r="IQ91" t="s">
        <v>398</v>
      </c>
      <c r="IR91">
        <v>1</v>
      </c>
      <c r="IS91" t="s">
        <v>436</v>
      </c>
      <c r="IT91" t="s">
        <v>437</v>
      </c>
      <c r="IU91" t="s">
        <v>428</v>
      </c>
      <c r="IW91" t="s">
        <v>146</v>
      </c>
      <c r="IX91" t="s">
        <v>145</v>
      </c>
      <c r="IY91" t="s">
        <v>398</v>
      </c>
      <c r="IZ91">
        <v>1</v>
      </c>
      <c r="JA91" t="s">
        <v>436</v>
      </c>
      <c r="JB91" t="s">
        <v>437</v>
      </c>
      <c r="JC91" t="s">
        <v>428</v>
      </c>
      <c r="JE91" t="s">
        <v>146</v>
      </c>
      <c r="JF91" t="s">
        <v>145</v>
      </c>
      <c r="JG91" t="s">
        <v>398</v>
      </c>
      <c r="JH91">
        <v>1</v>
      </c>
      <c r="JI91" t="s">
        <v>436</v>
      </c>
      <c r="JJ91" t="s">
        <v>437</v>
      </c>
      <c r="JK91" t="s">
        <v>428</v>
      </c>
      <c r="JM91" t="s">
        <v>146</v>
      </c>
      <c r="JN91" t="s">
        <v>145</v>
      </c>
      <c r="JO91" t="s">
        <v>398</v>
      </c>
      <c r="JP91">
        <v>1</v>
      </c>
      <c r="JQ91" t="s">
        <v>436</v>
      </c>
      <c r="JR91" t="s">
        <v>437</v>
      </c>
      <c r="JS91" t="s">
        <v>428</v>
      </c>
      <c r="JU91" t="s">
        <v>146</v>
      </c>
      <c r="JV91" t="s">
        <v>145</v>
      </c>
      <c r="JW91" t="s">
        <v>398</v>
      </c>
      <c r="JX91">
        <v>1</v>
      </c>
      <c r="JY91" t="s">
        <v>436</v>
      </c>
      <c r="JZ91" t="s">
        <v>437</v>
      </c>
      <c r="KA91" t="s">
        <v>428</v>
      </c>
      <c r="KC91" t="s">
        <v>146</v>
      </c>
      <c r="KD91" t="s">
        <v>145</v>
      </c>
      <c r="KE91" t="s">
        <v>398</v>
      </c>
      <c r="KF91">
        <v>1</v>
      </c>
      <c r="KG91" t="s">
        <v>436</v>
      </c>
      <c r="KH91" t="s">
        <v>437</v>
      </c>
      <c r="KI91" t="s">
        <v>428</v>
      </c>
      <c r="KK91" t="s">
        <v>146</v>
      </c>
      <c r="KL91" t="s">
        <v>145</v>
      </c>
      <c r="KM91" t="s">
        <v>398</v>
      </c>
      <c r="KN91">
        <v>1</v>
      </c>
      <c r="KO91" t="s">
        <v>436</v>
      </c>
      <c r="KP91" t="s">
        <v>437</v>
      </c>
      <c r="KQ91" t="s">
        <v>428</v>
      </c>
      <c r="KS91" t="s">
        <v>146</v>
      </c>
      <c r="KT91" t="s">
        <v>145</v>
      </c>
      <c r="KU91" t="s">
        <v>398</v>
      </c>
      <c r="KV91">
        <v>1</v>
      </c>
      <c r="KW91" t="s">
        <v>436</v>
      </c>
      <c r="KX91" t="s">
        <v>437</v>
      </c>
      <c r="KY91" t="s">
        <v>428</v>
      </c>
      <c r="LA91" t="s">
        <v>146</v>
      </c>
      <c r="LB91" t="s">
        <v>145</v>
      </c>
      <c r="LC91" t="s">
        <v>398</v>
      </c>
      <c r="LD91">
        <v>1</v>
      </c>
      <c r="LE91" t="s">
        <v>436</v>
      </c>
      <c r="LF91" t="s">
        <v>437</v>
      </c>
      <c r="LG91" t="s">
        <v>428</v>
      </c>
      <c r="LI91" t="s">
        <v>146</v>
      </c>
      <c r="LJ91" t="s">
        <v>145</v>
      </c>
      <c r="LK91" t="s">
        <v>398</v>
      </c>
      <c r="LL91">
        <v>1</v>
      </c>
      <c r="LM91" t="s">
        <v>436</v>
      </c>
      <c r="LN91" t="s">
        <v>437</v>
      </c>
      <c r="LO91" t="s">
        <v>428</v>
      </c>
      <c r="LQ91" t="s">
        <v>146</v>
      </c>
      <c r="LR91" t="s">
        <v>145</v>
      </c>
      <c r="LS91" t="s">
        <v>398</v>
      </c>
      <c r="LT91">
        <v>1</v>
      </c>
      <c r="LU91" t="s">
        <v>436</v>
      </c>
      <c r="LV91" t="s">
        <v>437</v>
      </c>
      <c r="LW91" t="s">
        <v>428</v>
      </c>
      <c r="LY91" t="s">
        <v>146</v>
      </c>
      <c r="LZ91" t="s">
        <v>145</v>
      </c>
      <c r="MA91" t="s">
        <v>398</v>
      </c>
      <c r="MB91">
        <v>1</v>
      </c>
      <c r="MC91" t="s">
        <v>436</v>
      </c>
      <c r="MD91" t="s">
        <v>437</v>
      </c>
      <c r="ME91" t="s">
        <v>428</v>
      </c>
      <c r="MG91" t="s">
        <v>146</v>
      </c>
      <c r="MH91" t="s">
        <v>145</v>
      </c>
      <c r="MI91" t="s">
        <v>398</v>
      </c>
      <c r="MJ91">
        <v>1</v>
      </c>
      <c r="MK91" t="s">
        <v>436</v>
      </c>
      <c r="ML91" t="s">
        <v>437</v>
      </c>
      <c r="MM91" t="s">
        <v>428</v>
      </c>
      <c r="MO91" t="s">
        <v>146</v>
      </c>
      <c r="MP91" t="s">
        <v>145</v>
      </c>
      <c r="MQ91" t="s">
        <v>398</v>
      </c>
      <c r="MR91">
        <v>1</v>
      </c>
      <c r="MS91" t="s">
        <v>436</v>
      </c>
      <c r="MT91" t="s">
        <v>437</v>
      </c>
      <c r="MU91" t="s">
        <v>428</v>
      </c>
      <c r="MW91" t="s">
        <v>146</v>
      </c>
      <c r="MX91" t="s">
        <v>145</v>
      </c>
      <c r="MY91" t="s">
        <v>398</v>
      </c>
      <c r="MZ91">
        <v>1</v>
      </c>
      <c r="NA91" t="s">
        <v>436</v>
      </c>
      <c r="NB91" t="s">
        <v>437</v>
      </c>
      <c r="NC91" t="s">
        <v>428</v>
      </c>
      <c r="NE91" t="s">
        <v>146</v>
      </c>
      <c r="NF91" t="s">
        <v>145</v>
      </c>
      <c r="NG91" t="s">
        <v>398</v>
      </c>
      <c r="NH91">
        <v>1</v>
      </c>
      <c r="NI91" t="s">
        <v>436</v>
      </c>
      <c r="NJ91" t="s">
        <v>437</v>
      </c>
      <c r="NK91" t="s">
        <v>428</v>
      </c>
      <c r="NM91" t="s">
        <v>146</v>
      </c>
      <c r="NN91" t="s">
        <v>145</v>
      </c>
      <c r="NO91" t="s">
        <v>398</v>
      </c>
      <c r="NP91">
        <v>1</v>
      </c>
      <c r="NQ91" t="s">
        <v>436</v>
      </c>
      <c r="NR91" t="s">
        <v>437</v>
      </c>
      <c r="NS91" t="s">
        <v>428</v>
      </c>
      <c r="NU91" t="s">
        <v>146</v>
      </c>
      <c r="NV91" t="s">
        <v>145</v>
      </c>
      <c r="NW91" t="s">
        <v>398</v>
      </c>
      <c r="NX91">
        <v>1</v>
      </c>
      <c r="NY91" t="s">
        <v>436</v>
      </c>
      <c r="NZ91" t="s">
        <v>437</v>
      </c>
      <c r="OA91" t="s">
        <v>428</v>
      </c>
      <c r="OC91" t="s">
        <v>146</v>
      </c>
      <c r="OD91" t="s">
        <v>145</v>
      </c>
      <c r="OE91" t="s">
        <v>398</v>
      </c>
      <c r="OF91">
        <v>1</v>
      </c>
      <c r="OG91" t="s">
        <v>436</v>
      </c>
      <c r="OH91" t="s">
        <v>437</v>
      </c>
      <c r="OI91" t="s">
        <v>428</v>
      </c>
      <c r="OK91" t="s">
        <v>146</v>
      </c>
      <c r="OL91" t="s">
        <v>145</v>
      </c>
      <c r="OM91" t="s">
        <v>398</v>
      </c>
      <c r="ON91">
        <v>1</v>
      </c>
      <c r="OO91" t="s">
        <v>436</v>
      </c>
      <c r="OP91" t="s">
        <v>437</v>
      </c>
      <c r="OQ91" t="s">
        <v>428</v>
      </c>
      <c r="OS91" t="s">
        <v>146</v>
      </c>
      <c r="OT91" t="s">
        <v>145</v>
      </c>
      <c r="OU91" t="s">
        <v>398</v>
      </c>
      <c r="OV91">
        <v>1</v>
      </c>
      <c r="OW91" t="s">
        <v>436</v>
      </c>
      <c r="OX91" t="s">
        <v>437</v>
      </c>
      <c r="OY91" t="s">
        <v>428</v>
      </c>
      <c r="PA91" t="s">
        <v>146</v>
      </c>
      <c r="PB91" t="s">
        <v>145</v>
      </c>
      <c r="PC91" t="s">
        <v>398</v>
      </c>
      <c r="PD91">
        <v>1</v>
      </c>
      <c r="PE91" t="s">
        <v>436</v>
      </c>
      <c r="PF91" t="s">
        <v>437</v>
      </c>
      <c r="PG91" t="s">
        <v>428</v>
      </c>
      <c r="PI91" t="s">
        <v>146</v>
      </c>
      <c r="PJ91" t="s">
        <v>145</v>
      </c>
      <c r="PK91" t="s">
        <v>398</v>
      </c>
      <c r="PL91">
        <v>1</v>
      </c>
      <c r="PM91" t="s">
        <v>436</v>
      </c>
      <c r="PN91" t="s">
        <v>437</v>
      </c>
      <c r="PO91" t="s">
        <v>428</v>
      </c>
      <c r="PQ91" t="s">
        <v>146</v>
      </c>
      <c r="PR91" t="s">
        <v>145</v>
      </c>
      <c r="PS91" t="s">
        <v>398</v>
      </c>
      <c r="PT91">
        <v>1</v>
      </c>
      <c r="PU91" t="s">
        <v>436</v>
      </c>
      <c r="PV91" t="s">
        <v>437</v>
      </c>
      <c r="PW91" t="s">
        <v>428</v>
      </c>
      <c r="PY91" t="s">
        <v>146</v>
      </c>
      <c r="PZ91" t="s">
        <v>145</v>
      </c>
      <c r="QA91" t="s">
        <v>398</v>
      </c>
      <c r="QB91">
        <v>1</v>
      </c>
      <c r="QC91" t="s">
        <v>436</v>
      </c>
      <c r="QD91" t="s">
        <v>437</v>
      </c>
      <c r="QE91" t="s">
        <v>428</v>
      </c>
      <c r="QG91" t="s">
        <v>146</v>
      </c>
      <c r="QH91" t="s">
        <v>145</v>
      </c>
      <c r="QI91" t="s">
        <v>398</v>
      </c>
      <c r="QJ91">
        <v>1</v>
      </c>
      <c r="QK91" t="s">
        <v>436</v>
      </c>
      <c r="QL91" t="s">
        <v>437</v>
      </c>
      <c r="QM91" t="s">
        <v>428</v>
      </c>
      <c r="QO91" t="s">
        <v>146</v>
      </c>
      <c r="QP91" t="s">
        <v>145</v>
      </c>
      <c r="QQ91" t="s">
        <v>398</v>
      </c>
      <c r="QR91">
        <v>1</v>
      </c>
      <c r="QS91" t="s">
        <v>436</v>
      </c>
      <c r="QT91" t="s">
        <v>437</v>
      </c>
      <c r="QU91" t="s">
        <v>428</v>
      </c>
      <c r="QW91" t="s">
        <v>146</v>
      </c>
      <c r="QX91" t="s">
        <v>145</v>
      </c>
      <c r="QY91" t="s">
        <v>398</v>
      </c>
      <c r="QZ91">
        <v>1</v>
      </c>
      <c r="RA91" t="s">
        <v>436</v>
      </c>
      <c r="RB91" t="s">
        <v>437</v>
      </c>
      <c r="RC91" t="s">
        <v>428</v>
      </c>
      <c r="RE91" t="s">
        <v>146</v>
      </c>
      <c r="RF91" t="s">
        <v>145</v>
      </c>
      <c r="RG91" t="s">
        <v>398</v>
      </c>
      <c r="RH91">
        <v>1</v>
      </c>
      <c r="RI91" t="s">
        <v>436</v>
      </c>
      <c r="RJ91" t="s">
        <v>437</v>
      </c>
      <c r="RK91" t="s">
        <v>428</v>
      </c>
      <c r="RM91" t="s">
        <v>146</v>
      </c>
      <c r="RN91" t="s">
        <v>145</v>
      </c>
      <c r="RO91" t="s">
        <v>398</v>
      </c>
      <c r="RP91">
        <v>1</v>
      </c>
      <c r="RQ91" t="s">
        <v>436</v>
      </c>
      <c r="RR91" t="s">
        <v>437</v>
      </c>
      <c r="RS91" t="s">
        <v>428</v>
      </c>
      <c r="RU91" t="s">
        <v>146</v>
      </c>
      <c r="RV91" t="s">
        <v>145</v>
      </c>
      <c r="RW91" t="s">
        <v>398</v>
      </c>
      <c r="RX91">
        <v>1</v>
      </c>
      <c r="RY91" t="s">
        <v>436</v>
      </c>
      <c r="RZ91" t="s">
        <v>437</v>
      </c>
      <c r="SA91" t="s">
        <v>428</v>
      </c>
      <c r="SC91" t="s">
        <v>146</v>
      </c>
      <c r="SD91" t="s">
        <v>145</v>
      </c>
      <c r="SE91" t="s">
        <v>398</v>
      </c>
      <c r="SF91">
        <v>1</v>
      </c>
      <c r="SG91" t="s">
        <v>436</v>
      </c>
      <c r="SH91" t="s">
        <v>437</v>
      </c>
      <c r="SI91" t="s">
        <v>428</v>
      </c>
      <c r="SK91" t="s">
        <v>146</v>
      </c>
      <c r="SL91" t="s">
        <v>145</v>
      </c>
      <c r="SM91" t="s">
        <v>398</v>
      </c>
      <c r="SN91">
        <v>1</v>
      </c>
      <c r="SO91" t="s">
        <v>436</v>
      </c>
      <c r="SP91" t="s">
        <v>437</v>
      </c>
      <c r="SQ91" t="s">
        <v>428</v>
      </c>
      <c r="SS91" t="s">
        <v>146</v>
      </c>
      <c r="ST91" t="s">
        <v>145</v>
      </c>
      <c r="SU91" t="s">
        <v>398</v>
      </c>
      <c r="SV91">
        <v>1</v>
      </c>
      <c r="SW91" t="s">
        <v>436</v>
      </c>
      <c r="SX91" t="s">
        <v>437</v>
      </c>
      <c r="SY91" t="s">
        <v>428</v>
      </c>
      <c r="TA91" t="s">
        <v>146</v>
      </c>
      <c r="TB91" t="s">
        <v>145</v>
      </c>
      <c r="TC91" t="s">
        <v>398</v>
      </c>
      <c r="TD91">
        <v>1</v>
      </c>
      <c r="TE91" t="s">
        <v>436</v>
      </c>
      <c r="TF91" t="s">
        <v>437</v>
      </c>
      <c r="TG91" t="s">
        <v>428</v>
      </c>
      <c r="TI91" t="s">
        <v>146</v>
      </c>
      <c r="TJ91" t="s">
        <v>145</v>
      </c>
      <c r="TK91" t="s">
        <v>398</v>
      </c>
      <c r="TL91">
        <v>1</v>
      </c>
      <c r="TM91" t="s">
        <v>436</v>
      </c>
      <c r="TN91" t="s">
        <v>437</v>
      </c>
      <c r="TO91" t="s">
        <v>428</v>
      </c>
      <c r="TQ91" t="s">
        <v>146</v>
      </c>
      <c r="TR91" t="s">
        <v>145</v>
      </c>
      <c r="TS91" t="s">
        <v>398</v>
      </c>
      <c r="TT91">
        <v>1</v>
      </c>
      <c r="TU91" t="s">
        <v>436</v>
      </c>
      <c r="TV91" t="s">
        <v>437</v>
      </c>
      <c r="TW91" t="s">
        <v>428</v>
      </c>
      <c r="TY91" t="s">
        <v>146</v>
      </c>
      <c r="TZ91" t="s">
        <v>145</v>
      </c>
      <c r="UA91" t="s">
        <v>398</v>
      </c>
      <c r="UB91">
        <v>1</v>
      </c>
      <c r="UC91" t="s">
        <v>436</v>
      </c>
      <c r="UD91" t="s">
        <v>437</v>
      </c>
      <c r="UE91" t="s">
        <v>428</v>
      </c>
      <c r="UG91" t="s">
        <v>146</v>
      </c>
      <c r="UH91" t="s">
        <v>145</v>
      </c>
      <c r="UI91" t="s">
        <v>398</v>
      </c>
      <c r="UJ91">
        <v>1</v>
      </c>
      <c r="UK91" t="s">
        <v>436</v>
      </c>
      <c r="UL91" t="s">
        <v>437</v>
      </c>
      <c r="UM91" t="s">
        <v>428</v>
      </c>
      <c r="UO91" t="s">
        <v>146</v>
      </c>
      <c r="UP91" t="s">
        <v>145</v>
      </c>
      <c r="UQ91" t="s">
        <v>398</v>
      </c>
      <c r="UR91">
        <v>1</v>
      </c>
      <c r="US91" t="s">
        <v>436</v>
      </c>
      <c r="UT91" t="s">
        <v>437</v>
      </c>
      <c r="UU91" t="s">
        <v>428</v>
      </c>
      <c r="UW91" t="s">
        <v>146</v>
      </c>
      <c r="UX91" t="s">
        <v>145</v>
      </c>
      <c r="UY91" t="s">
        <v>398</v>
      </c>
      <c r="UZ91">
        <v>1</v>
      </c>
      <c r="VA91" t="s">
        <v>436</v>
      </c>
      <c r="VB91" t="s">
        <v>437</v>
      </c>
      <c r="VC91" t="s">
        <v>428</v>
      </c>
      <c r="VE91" t="s">
        <v>146</v>
      </c>
      <c r="VF91" t="s">
        <v>145</v>
      </c>
      <c r="VG91" t="s">
        <v>398</v>
      </c>
      <c r="VH91">
        <v>1</v>
      </c>
      <c r="VI91" t="s">
        <v>436</v>
      </c>
      <c r="VJ91" t="s">
        <v>437</v>
      </c>
      <c r="VK91" t="s">
        <v>428</v>
      </c>
      <c r="VM91" t="s">
        <v>146</v>
      </c>
      <c r="VN91" t="s">
        <v>145</v>
      </c>
      <c r="VO91" t="s">
        <v>398</v>
      </c>
      <c r="VP91">
        <v>1</v>
      </c>
      <c r="VQ91" t="s">
        <v>436</v>
      </c>
      <c r="VR91" t="s">
        <v>437</v>
      </c>
      <c r="VS91" t="s">
        <v>428</v>
      </c>
      <c r="VU91" t="s">
        <v>146</v>
      </c>
      <c r="VV91" t="s">
        <v>145</v>
      </c>
      <c r="VW91" t="s">
        <v>398</v>
      </c>
      <c r="VX91">
        <v>1</v>
      </c>
      <c r="VY91" t="s">
        <v>436</v>
      </c>
      <c r="VZ91" t="s">
        <v>437</v>
      </c>
      <c r="WA91" t="s">
        <v>428</v>
      </c>
      <c r="WC91" t="s">
        <v>146</v>
      </c>
      <c r="WD91" t="s">
        <v>145</v>
      </c>
      <c r="WE91" t="s">
        <v>398</v>
      </c>
      <c r="WF91">
        <v>1</v>
      </c>
      <c r="WG91" t="s">
        <v>436</v>
      </c>
      <c r="WH91" t="s">
        <v>437</v>
      </c>
      <c r="WI91" t="s">
        <v>428</v>
      </c>
      <c r="WK91" t="s">
        <v>146</v>
      </c>
      <c r="WL91" t="s">
        <v>145</v>
      </c>
      <c r="WM91" t="s">
        <v>398</v>
      </c>
      <c r="WN91">
        <v>1</v>
      </c>
      <c r="WO91" t="s">
        <v>436</v>
      </c>
      <c r="WP91" t="s">
        <v>437</v>
      </c>
      <c r="WQ91" t="s">
        <v>428</v>
      </c>
      <c r="WS91" t="s">
        <v>146</v>
      </c>
      <c r="WT91" t="s">
        <v>145</v>
      </c>
      <c r="WU91" t="s">
        <v>398</v>
      </c>
      <c r="WV91">
        <v>1</v>
      </c>
      <c r="WW91" t="s">
        <v>436</v>
      </c>
      <c r="WX91" t="s">
        <v>437</v>
      </c>
      <c r="WY91" t="s">
        <v>428</v>
      </c>
      <c r="XA91" t="s">
        <v>146</v>
      </c>
      <c r="XB91" t="s">
        <v>145</v>
      </c>
      <c r="XC91" t="s">
        <v>398</v>
      </c>
      <c r="XD91">
        <v>1</v>
      </c>
      <c r="XE91" t="s">
        <v>436</v>
      </c>
      <c r="XF91" t="s">
        <v>437</v>
      </c>
      <c r="XG91" t="s">
        <v>428</v>
      </c>
      <c r="XI91" t="s">
        <v>146</v>
      </c>
      <c r="XJ91" t="s">
        <v>145</v>
      </c>
      <c r="XK91" t="s">
        <v>398</v>
      </c>
      <c r="XL91">
        <v>1</v>
      </c>
      <c r="XM91" t="s">
        <v>436</v>
      </c>
      <c r="XN91" t="s">
        <v>437</v>
      </c>
      <c r="XO91" t="s">
        <v>428</v>
      </c>
      <c r="XQ91" t="s">
        <v>146</v>
      </c>
      <c r="XR91" t="s">
        <v>145</v>
      </c>
      <c r="XS91" t="s">
        <v>398</v>
      </c>
      <c r="XT91">
        <v>1</v>
      </c>
      <c r="XU91" t="s">
        <v>436</v>
      </c>
      <c r="XV91" t="s">
        <v>437</v>
      </c>
      <c r="XW91" t="s">
        <v>428</v>
      </c>
      <c r="XY91" t="s">
        <v>146</v>
      </c>
      <c r="XZ91" t="s">
        <v>145</v>
      </c>
      <c r="YA91" t="s">
        <v>398</v>
      </c>
      <c r="YB91">
        <v>1</v>
      </c>
      <c r="YC91" t="s">
        <v>436</v>
      </c>
      <c r="YD91" t="s">
        <v>437</v>
      </c>
      <c r="YE91" t="s">
        <v>428</v>
      </c>
      <c r="YG91" t="s">
        <v>146</v>
      </c>
      <c r="YH91" t="s">
        <v>145</v>
      </c>
      <c r="YI91" t="s">
        <v>398</v>
      </c>
      <c r="YJ91">
        <v>1</v>
      </c>
      <c r="YK91" t="s">
        <v>436</v>
      </c>
      <c r="YL91" t="s">
        <v>437</v>
      </c>
      <c r="YM91" t="s">
        <v>428</v>
      </c>
      <c r="YO91" t="s">
        <v>146</v>
      </c>
      <c r="YP91" t="s">
        <v>145</v>
      </c>
      <c r="YQ91" t="s">
        <v>398</v>
      </c>
      <c r="YR91">
        <v>1</v>
      </c>
      <c r="YS91" t="s">
        <v>436</v>
      </c>
      <c r="YT91" t="s">
        <v>437</v>
      </c>
      <c r="YU91" t="s">
        <v>428</v>
      </c>
      <c r="YW91" t="s">
        <v>146</v>
      </c>
      <c r="YX91" t="s">
        <v>145</v>
      </c>
      <c r="YY91" t="s">
        <v>398</v>
      </c>
      <c r="YZ91">
        <v>1</v>
      </c>
      <c r="ZA91" t="s">
        <v>436</v>
      </c>
      <c r="ZB91" t="s">
        <v>437</v>
      </c>
      <c r="ZC91" t="s">
        <v>428</v>
      </c>
      <c r="ZE91" t="s">
        <v>146</v>
      </c>
      <c r="ZF91" t="s">
        <v>145</v>
      </c>
      <c r="ZG91" t="s">
        <v>398</v>
      </c>
      <c r="ZH91">
        <v>1</v>
      </c>
      <c r="ZI91" t="s">
        <v>436</v>
      </c>
      <c r="ZJ91" t="s">
        <v>437</v>
      </c>
      <c r="ZK91" t="s">
        <v>428</v>
      </c>
      <c r="ZM91" t="s">
        <v>146</v>
      </c>
      <c r="ZN91" t="s">
        <v>145</v>
      </c>
      <c r="ZO91" t="s">
        <v>398</v>
      </c>
      <c r="ZP91">
        <v>1</v>
      </c>
      <c r="ZQ91" t="s">
        <v>436</v>
      </c>
      <c r="ZR91" t="s">
        <v>437</v>
      </c>
      <c r="ZS91" t="s">
        <v>428</v>
      </c>
      <c r="ZU91" t="s">
        <v>146</v>
      </c>
      <c r="ZV91" t="s">
        <v>145</v>
      </c>
      <c r="ZW91" t="s">
        <v>398</v>
      </c>
      <c r="ZX91">
        <v>1</v>
      </c>
      <c r="ZY91" t="s">
        <v>436</v>
      </c>
      <c r="ZZ91" t="s">
        <v>437</v>
      </c>
      <c r="AAA91" t="s">
        <v>428</v>
      </c>
      <c r="AAC91" t="s">
        <v>146</v>
      </c>
      <c r="AAD91" t="s">
        <v>145</v>
      </c>
      <c r="AAE91" t="s">
        <v>398</v>
      </c>
      <c r="AAF91">
        <v>1</v>
      </c>
      <c r="AAG91" t="s">
        <v>436</v>
      </c>
      <c r="AAH91" t="s">
        <v>437</v>
      </c>
      <c r="AAI91" t="s">
        <v>428</v>
      </c>
      <c r="AAK91" t="s">
        <v>146</v>
      </c>
      <c r="AAL91" t="s">
        <v>145</v>
      </c>
      <c r="AAM91" t="s">
        <v>398</v>
      </c>
      <c r="AAN91">
        <v>1</v>
      </c>
      <c r="AAO91" t="s">
        <v>436</v>
      </c>
      <c r="AAP91" t="s">
        <v>437</v>
      </c>
      <c r="AAQ91" t="s">
        <v>428</v>
      </c>
      <c r="AAS91" t="s">
        <v>146</v>
      </c>
      <c r="AAT91" t="s">
        <v>145</v>
      </c>
      <c r="AAU91" t="s">
        <v>398</v>
      </c>
      <c r="AAV91">
        <v>1</v>
      </c>
      <c r="AAW91" t="s">
        <v>436</v>
      </c>
      <c r="AAX91" t="s">
        <v>437</v>
      </c>
      <c r="AAY91" t="s">
        <v>428</v>
      </c>
      <c r="ABA91" t="s">
        <v>146</v>
      </c>
      <c r="ABB91" t="s">
        <v>145</v>
      </c>
      <c r="ABC91" t="s">
        <v>398</v>
      </c>
      <c r="ABD91">
        <v>1</v>
      </c>
      <c r="ABE91" t="s">
        <v>436</v>
      </c>
      <c r="ABF91" t="s">
        <v>437</v>
      </c>
      <c r="ABG91" t="s">
        <v>428</v>
      </c>
      <c r="ABI91" t="s">
        <v>146</v>
      </c>
      <c r="ABJ91" t="s">
        <v>145</v>
      </c>
      <c r="ABK91" t="s">
        <v>398</v>
      </c>
      <c r="ABL91">
        <v>1</v>
      </c>
      <c r="ABM91" t="s">
        <v>436</v>
      </c>
      <c r="ABN91" t="s">
        <v>437</v>
      </c>
      <c r="ABO91" t="s">
        <v>428</v>
      </c>
      <c r="ABQ91" t="s">
        <v>146</v>
      </c>
      <c r="ABR91" t="s">
        <v>145</v>
      </c>
      <c r="ABS91" t="s">
        <v>398</v>
      </c>
      <c r="ABT91">
        <v>1</v>
      </c>
      <c r="ABU91" t="s">
        <v>436</v>
      </c>
      <c r="ABV91" t="s">
        <v>437</v>
      </c>
      <c r="ABW91" t="s">
        <v>428</v>
      </c>
      <c r="ABY91" t="s">
        <v>146</v>
      </c>
      <c r="ABZ91" t="s">
        <v>145</v>
      </c>
      <c r="ACA91" t="s">
        <v>398</v>
      </c>
      <c r="ACB91">
        <v>1</v>
      </c>
      <c r="ACC91" t="s">
        <v>436</v>
      </c>
      <c r="ACD91" t="s">
        <v>437</v>
      </c>
      <c r="ACE91" t="s">
        <v>428</v>
      </c>
      <c r="ACG91" t="s">
        <v>146</v>
      </c>
      <c r="ACH91" t="s">
        <v>145</v>
      </c>
      <c r="ACI91" t="s">
        <v>398</v>
      </c>
      <c r="ACJ91">
        <v>1</v>
      </c>
      <c r="ACK91" t="s">
        <v>436</v>
      </c>
      <c r="ACL91" t="s">
        <v>437</v>
      </c>
      <c r="ACM91" t="s">
        <v>428</v>
      </c>
      <c r="ACO91" t="s">
        <v>146</v>
      </c>
      <c r="ACP91" t="s">
        <v>145</v>
      </c>
      <c r="ACQ91" t="s">
        <v>398</v>
      </c>
      <c r="ACR91">
        <v>1</v>
      </c>
      <c r="ACS91" t="s">
        <v>436</v>
      </c>
      <c r="ACT91" t="s">
        <v>437</v>
      </c>
      <c r="ACU91" t="s">
        <v>428</v>
      </c>
      <c r="ACW91" t="s">
        <v>146</v>
      </c>
      <c r="ACX91" t="s">
        <v>145</v>
      </c>
      <c r="ACY91" t="s">
        <v>398</v>
      </c>
      <c r="ACZ91">
        <v>1</v>
      </c>
      <c r="ADA91" t="s">
        <v>436</v>
      </c>
      <c r="ADB91" t="s">
        <v>437</v>
      </c>
      <c r="ADC91" t="s">
        <v>428</v>
      </c>
      <c r="ADE91" t="s">
        <v>146</v>
      </c>
      <c r="ADF91" t="s">
        <v>145</v>
      </c>
      <c r="ADG91" t="s">
        <v>398</v>
      </c>
      <c r="ADH91">
        <v>1</v>
      </c>
      <c r="ADI91" t="s">
        <v>436</v>
      </c>
      <c r="ADJ91" t="s">
        <v>437</v>
      </c>
      <c r="ADK91" t="s">
        <v>428</v>
      </c>
      <c r="ADM91" t="s">
        <v>146</v>
      </c>
      <c r="ADN91" t="s">
        <v>145</v>
      </c>
      <c r="ADO91" t="s">
        <v>398</v>
      </c>
      <c r="ADP91">
        <v>1</v>
      </c>
      <c r="ADQ91" t="s">
        <v>436</v>
      </c>
      <c r="ADR91" t="s">
        <v>437</v>
      </c>
      <c r="ADS91" t="s">
        <v>428</v>
      </c>
      <c r="ADU91" t="s">
        <v>146</v>
      </c>
      <c r="ADV91" t="s">
        <v>145</v>
      </c>
      <c r="ADW91" t="s">
        <v>398</v>
      </c>
      <c r="ADX91">
        <v>1</v>
      </c>
      <c r="ADY91" t="s">
        <v>436</v>
      </c>
      <c r="ADZ91" t="s">
        <v>437</v>
      </c>
      <c r="AEA91" t="s">
        <v>428</v>
      </c>
      <c r="AEC91" t="s">
        <v>146</v>
      </c>
      <c r="AED91" t="s">
        <v>145</v>
      </c>
      <c r="AEE91" t="s">
        <v>398</v>
      </c>
      <c r="AEF91">
        <v>1</v>
      </c>
      <c r="AEG91" t="s">
        <v>436</v>
      </c>
      <c r="AEH91" t="s">
        <v>437</v>
      </c>
      <c r="AEI91" t="s">
        <v>428</v>
      </c>
      <c r="AEK91" t="s">
        <v>146</v>
      </c>
      <c r="AEL91" t="s">
        <v>145</v>
      </c>
      <c r="AEM91" t="s">
        <v>398</v>
      </c>
      <c r="AEN91">
        <v>1</v>
      </c>
      <c r="AEO91" t="s">
        <v>436</v>
      </c>
      <c r="AEP91" t="s">
        <v>437</v>
      </c>
      <c r="AEQ91" t="s">
        <v>428</v>
      </c>
      <c r="AES91" t="s">
        <v>146</v>
      </c>
      <c r="AET91" t="s">
        <v>145</v>
      </c>
      <c r="AEU91" t="s">
        <v>398</v>
      </c>
      <c r="AEV91">
        <v>1</v>
      </c>
      <c r="AEW91" t="s">
        <v>436</v>
      </c>
      <c r="AEX91" t="s">
        <v>437</v>
      </c>
      <c r="AEY91" t="s">
        <v>428</v>
      </c>
      <c r="AFA91" t="s">
        <v>146</v>
      </c>
      <c r="AFB91" t="s">
        <v>145</v>
      </c>
      <c r="AFC91" t="s">
        <v>398</v>
      </c>
      <c r="AFD91">
        <v>1</v>
      </c>
      <c r="AFE91" t="s">
        <v>436</v>
      </c>
      <c r="AFF91" t="s">
        <v>437</v>
      </c>
      <c r="AFG91" t="s">
        <v>428</v>
      </c>
      <c r="AFI91" t="s">
        <v>146</v>
      </c>
      <c r="AFJ91" t="s">
        <v>145</v>
      </c>
      <c r="AFK91" t="s">
        <v>398</v>
      </c>
      <c r="AFL91">
        <v>1</v>
      </c>
      <c r="AFM91" t="s">
        <v>436</v>
      </c>
      <c r="AFN91" t="s">
        <v>437</v>
      </c>
      <c r="AFO91" t="s">
        <v>428</v>
      </c>
      <c r="AFQ91" t="s">
        <v>146</v>
      </c>
      <c r="AFR91" t="s">
        <v>145</v>
      </c>
      <c r="AFS91" t="s">
        <v>398</v>
      </c>
      <c r="AFT91">
        <v>1</v>
      </c>
      <c r="AFU91" t="s">
        <v>436</v>
      </c>
      <c r="AFV91" t="s">
        <v>437</v>
      </c>
      <c r="AFW91" t="s">
        <v>428</v>
      </c>
      <c r="AFY91" t="s">
        <v>146</v>
      </c>
      <c r="AFZ91" t="s">
        <v>145</v>
      </c>
      <c r="AGA91" t="s">
        <v>398</v>
      </c>
      <c r="AGB91">
        <v>1</v>
      </c>
      <c r="AGC91" t="s">
        <v>436</v>
      </c>
      <c r="AGD91" t="s">
        <v>437</v>
      </c>
      <c r="AGE91" t="s">
        <v>428</v>
      </c>
      <c r="AGG91" t="s">
        <v>146</v>
      </c>
      <c r="AGH91" t="s">
        <v>145</v>
      </c>
      <c r="AGI91" t="s">
        <v>398</v>
      </c>
      <c r="AGJ91">
        <v>1</v>
      </c>
      <c r="AGK91" t="s">
        <v>436</v>
      </c>
      <c r="AGL91" t="s">
        <v>437</v>
      </c>
      <c r="AGM91" t="s">
        <v>428</v>
      </c>
      <c r="AGO91" t="s">
        <v>146</v>
      </c>
      <c r="AGP91" t="s">
        <v>145</v>
      </c>
      <c r="AGQ91" t="s">
        <v>398</v>
      </c>
      <c r="AGR91">
        <v>1</v>
      </c>
      <c r="AGS91" t="s">
        <v>436</v>
      </c>
      <c r="AGT91" t="s">
        <v>437</v>
      </c>
      <c r="AGU91" t="s">
        <v>428</v>
      </c>
      <c r="AGW91" t="s">
        <v>146</v>
      </c>
      <c r="AGX91" t="s">
        <v>145</v>
      </c>
      <c r="AGY91" t="s">
        <v>398</v>
      </c>
      <c r="AGZ91">
        <v>1</v>
      </c>
      <c r="AHA91" t="s">
        <v>436</v>
      </c>
      <c r="AHB91" t="s">
        <v>437</v>
      </c>
      <c r="AHC91" t="s">
        <v>428</v>
      </c>
      <c r="AHE91" t="s">
        <v>146</v>
      </c>
      <c r="AHF91" t="s">
        <v>145</v>
      </c>
      <c r="AHG91" t="s">
        <v>398</v>
      </c>
      <c r="AHH91">
        <v>1</v>
      </c>
      <c r="AHI91" t="s">
        <v>436</v>
      </c>
      <c r="AHJ91" t="s">
        <v>437</v>
      </c>
      <c r="AHK91" t="s">
        <v>428</v>
      </c>
      <c r="AHM91" t="s">
        <v>146</v>
      </c>
      <c r="AHN91" t="s">
        <v>145</v>
      </c>
      <c r="AHO91" t="s">
        <v>398</v>
      </c>
      <c r="AHP91">
        <v>1</v>
      </c>
      <c r="AHQ91" t="s">
        <v>436</v>
      </c>
      <c r="AHR91" t="s">
        <v>437</v>
      </c>
      <c r="AHS91" t="s">
        <v>428</v>
      </c>
      <c r="AHU91" t="s">
        <v>146</v>
      </c>
      <c r="AHV91" t="s">
        <v>145</v>
      </c>
      <c r="AHW91" t="s">
        <v>398</v>
      </c>
      <c r="AHX91">
        <v>1</v>
      </c>
      <c r="AHY91" t="s">
        <v>436</v>
      </c>
      <c r="AHZ91" t="s">
        <v>437</v>
      </c>
      <c r="AIA91" t="s">
        <v>428</v>
      </c>
      <c r="AIC91" t="s">
        <v>146</v>
      </c>
      <c r="AID91" t="s">
        <v>145</v>
      </c>
      <c r="AIE91" t="s">
        <v>398</v>
      </c>
      <c r="AIF91">
        <v>1</v>
      </c>
      <c r="AIG91" t="s">
        <v>436</v>
      </c>
      <c r="AIH91" t="s">
        <v>437</v>
      </c>
      <c r="AII91" t="s">
        <v>428</v>
      </c>
      <c r="AIK91" t="s">
        <v>146</v>
      </c>
      <c r="AIL91" t="s">
        <v>145</v>
      </c>
      <c r="AIM91" t="s">
        <v>398</v>
      </c>
      <c r="AIN91">
        <v>1</v>
      </c>
      <c r="AIO91" t="s">
        <v>436</v>
      </c>
      <c r="AIP91" t="s">
        <v>437</v>
      </c>
      <c r="AIQ91" t="s">
        <v>428</v>
      </c>
      <c r="AIS91" t="s">
        <v>146</v>
      </c>
      <c r="AIT91" t="s">
        <v>145</v>
      </c>
      <c r="AIU91" t="s">
        <v>398</v>
      </c>
      <c r="AIV91">
        <v>1</v>
      </c>
      <c r="AIW91" t="s">
        <v>436</v>
      </c>
      <c r="AIX91" t="s">
        <v>437</v>
      </c>
      <c r="AIY91" t="s">
        <v>428</v>
      </c>
      <c r="AJA91" t="s">
        <v>146</v>
      </c>
      <c r="AJB91" t="s">
        <v>145</v>
      </c>
      <c r="AJC91" t="s">
        <v>398</v>
      </c>
      <c r="AJD91">
        <v>1</v>
      </c>
      <c r="AJE91" t="s">
        <v>436</v>
      </c>
      <c r="AJF91" t="s">
        <v>437</v>
      </c>
      <c r="AJG91" t="s">
        <v>428</v>
      </c>
      <c r="AJI91" t="s">
        <v>146</v>
      </c>
      <c r="AJJ91" t="s">
        <v>145</v>
      </c>
      <c r="AJK91" t="s">
        <v>398</v>
      </c>
      <c r="AJL91">
        <v>1</v>
      </c>
      <c r="AJM91" t="s">
        <v>436</v>
      </c>
      <c r="AJN91" t="s">
        <v>437</v>
      </c>
      <c r="AJO91" t="s">
        <v>428</v>
      </c>
      <c r="AJQ91" t="s">
        <v>146</v>
      </c>
      <c r="AJR91" t="s">
        <v>145</v>
      </c>
      <c r="AJS91" t="s">
        <v>398</v>
      </c>
      <c r="AJT91">
        <v>1</v>
      </c>
      <c r="AJU91" t="s">
        <v>436</v>
      </c>
      <c r="AJV91" t="s">
        <v>437</v>
      </c>
      <c r="AJW91" t="s">
        <v>428</v>
      </c>
      <c r="AJY91" t="s">
        <v>146</v>
      </c>
      <c r="AJZ91" t="s">
        <v>145</v>
      </c>
      <c r="AKA91" t="s">
        <v>398</v>
      </c>
      <c r="AKB91">
        <v>1</v>
      </c>
      <c r="AKC91" t="s">
        <v>436</v>
      </c>
      <c r="AKD91" t="s">
        <v>437</v>
      </c>
      <c r="AKE91" t="s">
        <v>428</v>
      </c>
      <c r="AKG91" t="s">
        <v>146</v>
      </c>
      <c r="AKH91" t="s">
        <v>145</v>
      </c>
      <c r="AKI91" t="s">
        <v>398</v>
      </c>
      <c r="AKJ91">
        <v>1</v>
      </c>
      <c r="AKK91" t="s">
        <v>436</v>
      </c>
      <c r="AKL91" t="s">
        <v>437</v>
      </c>
      <c r="AKM91" t="s">
        <v>428</v>
      </c>
      <c r="AKO91" t="s">
        <v>146</v>
      </c>
      <c r="AKP91" t="s">
        <v>145</v>
      </c>
      <c r="AKQ91" t="s">
        <v>398</v>
      </c>
      <c r="AKR91">
        <v>1</v>
      </c>
      <c r="AKS91" t="s">
        <v>436</v>
      </c>
      <c r="AKT91" t="s">
        <v>437</v>
      </c>
      <c r="AKU91" t="s">
        <v>428</v>
      </c>
      <c r="AKW91" t="s">
        <v>146</v>
      </c>
      <c r="AKX91" t="s">
        <v>145</v>
      </c>
      <c r="AKY91" t="s">
        <v>398</v>
      </c>
      <c r="AKZ91">
        <v>1</v>
      </c>
      <c r="ALA91" t="s">
        <v>436</v>
      </c>
      <c r="ALB91" t="s">
        <v>437</v>
      </c>
      <c r="ALC91" t="s">
        <v>428</v>
      </c>
      <c r="ALE91" t="s">
        <v>146</v>
      </c>
      <c r="ALF91" t="s">
        <v>145</v>
      </c>
      <c r="ALG91" t="s">
        <v>398</v>
      </c>
      <c r="ALH91">
        <v>1</v>
      </c>
      <c r="ALI91" t="s">
        <v>436</v>
      </c>
      <c r="ALJ91" t="s">
        <v>437</v>
      </c>
      <c r="ALK91" t="s">
        <v>428</v>
      </c>
      <c r="ALM91" t="s">
        <v>146</v>
      </c>
      <c r="ALN91" t="s">
        <v>145</v>
      </c>
      <c r="ALO91" t="s">
        <v>398</v>
      </c>
      <c r="ALP91">
        <v>1</v>
      </c>
      <c r="ALQ91" t="s">
        <v>436</v>
      </c>
      <c r="ALR91" t="s">
        <v>437</v>
      </c>
      <c r="ALS91" t="s">
        <v>428</v>
      </c>
      <c r="ALU91" t="s">
        <v>146</v>
      </c>
      <c r="ALV91" t="s">
        <v>145</v>
      </c>
      <c r="ALW91" t="s">
        <v>398</v>
      </c>
      <c r="ALX91">
        <v>1</v>
      </c>
      <c r="ALY91" t="s">
        <v>436</v>
      </c>
      <c r="ALZ91" t="s">
        <v>437</v>
      </c>
      <c r="AMA91" t="s">
        <v>428</v>
      </c>
      <c r="AMC91" t="s">
        <v>146</v>
      </c>
      <c r="AMD91" t="s">
        <v>145</v>
      </c>
      <c r="AME91" t="s">
        <v>398</v>
      </c>
      <c r="AMF91">
        <v>1</v>
      </c>
      <c r="AMG91" t="s">
        <v>436</v>
      </c>
      <c r="AMH91" t="s">
        <v>437</v>
      </c>
      <c r="AMI91" t="s">
        <v>428</v>
      </c>
      <c r="AMK91" t="s">
        <v>146</v>
      </c>
      <c r="AML91" t="s">
        <v>145</v>
      </c>
      <c r="AMM91" t="s">
        <v>398</v>
      </c>
      <c r="AMN91">
        <v>1</v>
      </c>
      <c r="AMO91" t="s">
        <v>436</v>
      </c>
      <c r="AMP91" t="s">
        <v>437</v>
      </c>
      <c r="AMQ91" t="s">
        <v>428</v>
      </c>
      <c r="AMS91" t="s">
        <v>146</v>
      </c>
      <c r="AMT91" t="s">
        <v>145</v>
      </c>
      <c r="AMU91" t="s">
        <v>398</v>
      </c>
      <c r="AMV91">
        <v>1</v>
      </c>
      <c r="AMW91" t="s">
        <v>436</v>
      </c>
      <c r="AMX91" t="s">
        <v>437</v>
      </c>
      <c r="AMY91" t="s">
        <v>428</v>
      </c>
      <c r="ANA91" t="s">
        <v>146</v>
      </c>
      <c r="ANB91" t="s">
        <v>145</v>
      </c>
      <c r="ANC91" t="s">
        <v>398</v>
      </c>
      <c r="AND91">
        <v>1</v>
      </c>
      <c r="ANE91" t="s">
        <v>436</v>
      </c>
      <c r="ANF91" t="s">
        <v>437</v>
      </c>
      <c r="ANG91" t="s">
        <v>428</v>
      </c>
      <c r="ANI91" t="s">
        <v>146</v>
      </c>
      <c r="ANJ91" t="s">
        <v>145</v>
      </c>
      <c r="ANK91" t="s">
        <v>398</v>
      </c>
      <c r="ANL91">
        <v>1</v>
      </c>
      <c r="ANM91" t="s">
        <v>436</v>
      </c>
      <c r="ANN91" t="s">
        <v>437</v>
      </c>
      <c r="ANO91" t="s">
        <v>428</v>
      </c>
      <c r="ANQ91" t="s">
        <v>146</v>
      </c>
      <c r="ANR91" t="s">
        <v>145</v>
      </c>
      <c r="ANS91" t="s">
        <v>398</v>
      </c>
      <c r="ANT91">
        <v>1</v>
      </c>
      <c r="ANU91" t="s">
        <v>436</v>
      </c>
      <c r="ANV91" t="s">
        <v>437</v>
      </c>
      <c r="ANW91" t="s">
        <v>428</v>
      </c>
      <c r="ANY91" t="s">
        <v>146</v>
      </c>
      <c r="ANZ91" t="s">
        <v>145</v>
      </c>
      <c r="AOA91" t="s">
        <v>398</v>
      </c>
      <c r="AOB91">
        <v>1</v>
      </c>
      <c r="AOC91" t="s">
        <v>436</v>
      </c>
      <c r="AOD91" t="s">
        <v>437</v>
      </c>
      <c r="AOE91" t="s">
        <v>428</v>
      </c>
      <c r="AOG91" t="s">
        <v>146</v>
      </c>
      <c r="AOH91" t="s">
        <v>145</v>
      </c>
      <c r="AOI91" t="s">
        <v>398</v>
      </c>
      <c r="AOJ91">
        <v>1</v>
      </c>
      <c r="AOK91" t="s">
        <v>436</v>
      </c>
      <c r="AOL91" t="s">
        <v>437</v>
      </c>
      <c r="AOM91" t="s">
        <v>428</v>
      </c>
      <c r="AOO91" t="s">
        <v>146</v>
      </c>
      <c r="AOP91" t="s">
        <v>145</v>
      </c>
      <c r="AOQ91" t="s">
        <v>398</v>
      </c>
      <c r="AOR91">
        <v>1</v>
      </c>
      <c r="AOS91" t="s">
        <v>436</v>
      </c>
      <c r="AOT91" t="s">
        <v>437</v>
      </c>
      <c r="AOU91" t="s">
        <v>428</v>
      </c>
      <c r="AOW91" t="s">
        <v>146</v>
      </c>
      <c r="AOX91" t="s">
        <v>145</v>
      </c>
      <c r="AOY91" t="s">
        <v>398</v>
      </c>
      <c r="AOZ91">
        <v>1</v>
      </c>
      <c r="APA91" t="s">
        <v>436</v>
      </c>
      <c r="APB91" t="s">
        <v>437</v>
      </c>
      <c r="APC91" t="s">
        <v>428</v>
      </c>
      <c r="APE91" t="s">
        <v>146</v>
      </c>
      <c r="APF91" t="s">
        <v>145</v>
      </c>
      <c r="APG91" t="s">
        <v>398</v>
      </c>
      <c r="APH91">
        <v>1</v>
      </c>
      <c r="API91" t="s">
        <v>436</v>
      </c>
      <c r="APJ91" t="s">
        <v>437</v>
      </c>
      <c r="APK91" t="s">
        <v>428</v>
      </c>
      <c r="APM91" t="s">
        <v>146</v>
      </c>
      <c r="APN91" t="s">
        <v>145</v>
      </c>
      <c r="APO91" t="s">
        <v>398</v>
      </c>
      <c r="APP91">
        <v>1</v>
      </c>
      <c r="APQ91" t="s">
        <v>436</v>
      </c>
      <c r="APR91" t="s">
        <v>437</v>
      </c>
      <c r="APS91" t="s">
        <v>428</v>
      </c>
      <c r="APU91" t="s">
        <v>146</v>
      </c>
      <c r="APV91" t="s">
        <v>145</v>
      </c>
      <c r="APW91" t="s">
        <v>398</v>
      </c>
      <c r="APX91">
        <v>1</v>
      </c>
      <c r="APY91" t="s">
        <v>436</v>
      </c>
      <c r="APZ91" t="s">
        <v>437</v>
      </c>
      <c r="AQA91" t="s">
        <v>428</v>
      </c>
      <c r="AQC91" t="s">
        <v>146</v>
      </c>
      <c r="AQD91" t="s">
        <v>145</v>
      </c>
      <c r="AQE91" t="s">
        <v>398</v>
      </c>
      <c r="AQF91">
        <v>1</v>
      </c>
      <c r="AQG91" t="s">
        <v>436</v>
      </c>
      <c r="AQH91" t="s">
        <v>437</v>
      </c>
      <c r="AQI91" t="s">
        <v>428</v>
      </c>
      <c r="AQK91" t="s">
        <v>146</v>
      </c>
      <c r="AQL91" t="s">
        <v>145</v>
      </c>
      <c r="AQM91" t="s">
        <v>398</v>
      </c>
      <c r="AQN91">
        <v>1</v>
      </c>
      <c r="AQO91" t="s">
        <v>436</v>
      </c>
      <c r="AQP91" t="s">
        <v>437</v>
      </c>
      <c r="AQQ91" t="s">
        <v>428</v>
      </c>
      <c r="AQS91" t="s">
        <v>146</v>
      </c>
      <c r="AQT91" t="s">
        <v>145</v>
      </c>
      <c r="AQU91" t="s">
        <v>398</v>
      </c>
      <c r="AQV91">
        <v>1</v>
      </c>
      <c r="AQW91" t="s">
        <v>436</v>
      </c>
      <c r="AQX91" t="s">
        <v>437</v>
      </c>
      <c r="AQY91" t="s">
        <v>428</v>
      </c>
      <c r="ARA91" t="s">
        <v>146</v>
      </c>
      <c r="ARB91" t="s">
        <v>145</v>
      </c>
      <c r="ARC91" t="s">
        <v>398</v>
      </c>
      <c r="ARD91">
        <v>1</v>
      </c>
      <c r="ARE91" t="s">
        <v>436</v>
      </c>
      <c r="ARF91" t="s">
        <v>437</v>
      </c>
      <c r="ARG91" t="s">
        <v>428</v>
      </c>
      <c r="ARI91" t="s">
        <v>146</v>
      </c>
      <c r="ARJ91" t="s">
        <v>145</v>
      </c>
      <c r="ARK91" t="s">
        <v>398</v>
      </c>
      <c r="ARL91">
        <v>1</v>
      </c>
      <c r="ARM91" t="s">
        <v>436</v>
      </c>
      <c r="ARN91" t="s">
        <v>437</v>
      </c>
      <c r="ARO91" t="s">
        <v>428</v>
      </c>
      <c r="ARQ91" t="s">
        <v>146</v>
      </c>
      <c r="ARR91" t="s">
        <v>145</v>
      </c>
      <c r="ARS91" t="s">
        <v>398</v>
      </c>
      <c r="ART91">
        <v>1</v>
      </c>
      <c r="ARU91" t="s">
        <v>436</v>
      </c>
      <c r="ARV91" t="s">
        <v>437</v>
      </c>
      <c r="ARW91" t="s">
        <v>428</v>
      </c>
      <c r="ARY91" t="s">
        <v>146</v>
      </c>
      <c r="ARZ91" t="s">
        <v>145</v>
      </c>
      <c r="ASA91" t="s">
        <v>398</v>
      </c>
      <c r="ASB91">
        <v>1</v>
      </c>
      <c r="ASC91" t="s">
        <v>436</v>
      </c>
      <c r="ASD91" t="s">
        <v>437</v>
      </c>
      <c r="ASE91" t="s">
        <v>428</v>
      </c>
      <c r="ASG91" t="s">
        <v>146</v>
      </c>
      <c r="ASH91" t="s">
        <v>145</v>
      </c>
      <c r="ASI91" t="s">
        <v>398</v>
      </c>
      <c r="ASJ91">
        <v>1</v>
      </c>
      <c r="ASK91" t="s">
        <v>436</v>
      </c>
      <c r="ASL91" t="s">
        <v>437</v>
      </c>
      <c r="ASM91" t="s">
        <v>428</v>
      </c>
      <c r="ASO91" t="s">
        <v>146</v>
      </c>
      <c r="ASP91" t="s">
        <v>145</v>
      </c>
      <c r="ASQ91" t="s">
        <v>398</v>
      </c>
      <c r="ASR91">
        <v>1</v>
      </c>
      <c r="ASS91" t="s">
        <v>436</v>
      </c>
      <c r="AST91" t="s">
        <v>437</v>
      </c>
      <c r="ASU91" t="s">
        <v>428</v>
      </c>
      <c r="ASW91" t="s">
        <v>146</v>
      </c>
      <c r="ASX91" t="s">
        <v>145</v>
      </c>
      <c r="ASY91" t="s">
        <v>398</v>
      </c>
      <c r="ASZ91">
        <v>1</v>
      </c>
      <c r="ATA91" t="s">
        <v>436</v>
      </c>
      <c r="ATB91" t="s">
        <v>437</v>
      </c>
      <c r="ATC91" t="s">
        <v>428</v>
      </c>
      <c r="ATE91" t="s">
        <v>146</v>
      </c>
      <c r="ATF91" t="s">
        <v>145</v>
      </c>
      <c r="ATG91" t="s">
        <v>398</v>
      </c>
      <c r="ATH91">
        <v>1</v>
      </c>
      <c r="ATI91" t="s">
        <v>436</v>
      </c>
      <c r="ATJ91" t="s">
        <v>437</v>
      </c>
      <c r="ATK91" t="s">
        <v>428</v>
      </c>
      <c r="ATM91" t="s">
        <v>146</v>
      </c>
      <c r="ATN91" t="s">
        <v>145</v>
      </c>
      <c r="ATO91" t="s">
        <v>398</v>
      </c>
      <c r="ATP91">
        <v>1</v>
      </c>
      <c r="ATQ91" t="s">
        <v>436</v>
      </c>
      <c r="ATR91" t="s">
        <v>437</v>
      </c>
      <c r="ATS91" t="s">
        <v>428</v>
      </c>
      <c r="ATU91" t="s">
        <v>146</v>
      </c>
      <c r="ATV91" t="s">
        <v>145</v>
      </c>
      <c r="ATW91" t="s">
        <v>398</v>
      </c>
      <c r="ATX91">
        <v>1</v>
      </c>
      <c r="ATY91" t="s">
        <v>436</v>
      </c>
      <c r="ATZ91" t="s">
        <v>437</v>
      </c>
      <c r="AUA91" t="s">
        <v>428</v>
      </c>
      <c r="AUC91" t="s">
        <v>146</v>
      </c>
      <c r="AUD91" t="s">
        <v>145</v>
      </c>
      <c r="AUE91" t="s">
        <v>398</v>
      </c>
      <c r="AUF91">
        <v>1</v>
      </c>
      <c r="AUG91" t="s">
        <v>436</v>
      </c>
      <c r="AUH91" t="s">
        <v>437</v>
      </c>
      <c r="AUI91" t="s">
        <v>428</v>
      </c>
      <c r="AUK91" t="s">
        <v>146</v>
      </c>
      <c r="AUL91" t="s">
        <v>145</v>
      </c>
      <c r="AUM91" t="s">
        <v>398</v>
      </c>
      <c r="AUN91">
        <v>1</v>
      </c>
      <c r="AUO91" t="s">
        <v>436</v>
      </c>
      <c r="AUP91" t="s">
        <v>437</v>
      </c>
      <c r="AUQ91" t="s">
        <v>428</v>
      </c>
      <c r="AUS91" t="s">
        <v>146</v>
      </c>
      <c r="AUT91" t="s">
        <v>145</v>
      </c>
      <c r="AUU91" t="s">
        <v>398</v>
      </c>
      <c r="AUV91">
        <v>1</v>
      </c>
      <c r="AUW91" t="s">
        <v>436</v>
      </c>
      <c r="AUX91" t="s">
        <v>437</v>
      </c>
      <c r="AUY91" t="s">
        <v>428</v>
      </c>
      <c r="AVA91" t="s">
        <v>146</v>
      </c>
      <c r="AVB91" t="s">
        <v>145</v>
      </c>
      <c r="AVC91" t="s">
        <v>398</v>
      </c>
      <c r="AVD91">
        <v>1</v>
      </c>
      <c r="AVE91" t="s">
        <v>436</v>
      </c>
      <c r="AVF91" t="s">
        <v>437</v>
      </c>
      <c r="AVG91" t="s">
        <v>428</v>
      </c>
      <c r="AVI91" t="s">
        <v>146</v>
      </c>
      <c r="AVJ91" t="s">
        <v>145</v>
      </c>
      <c r="AVK91" t="s">
        <v>398</v>
      </c>
      <c r="AVL91">
        <v>1</v>
      </c>
      <c r="AVM91" t="s">
        <v>436</v>
      </c>
      <c r="AVN91" t="s">
        <v>437</v>
      </c>
      <c r="AVO91" t="s">
        <v>428</v>
      </c>
      <c r="AVQ91" t="s">
        <v>146</v>
      </c>
      <c r="AVR91" t="s">
        <v>145</v>
      </c>
      <c r="AVS91" t="s">
        <v>398</v>
      </c>
      <c r="AVT91">
        <v>1</v>
      </c>
      <c r="AVU91" t="s">
        <v>436</v>
      </c>
      <c r="AVV91" t="s">
        <v>437</v>
      </c>
      <c r="AVW91" t="s">
        <v>428</v>
      </c>
      <c r="AVY91" t="s">
        <v>146</v>
      </c>
      <c r="AVZ91" t="s">
        <v>145</v>
      </c>
      <c r="AWA91" t="s">
        <v>398</v>
      </c>
      <c r="AWB91">
        <v>1</v>
      </c>
      <c r="AWC91" t="s">
        <v>436</v>
      </c>
      <c r="AWD91" t="s">
        <v>437</v>
      </c>
      <c r="AWE91" t="s">
        <v>428</v>
      </c>
      <c r="AWG91" t="s">
        <v>146</v>
      </c>
      <c r="AWH91" t="s">
        <v>145</v>
      </c>
      <c r="AWI91" t="s">
        <v>398</v>
      </c>
      <c r="AWJ91">
        <v>1</v>
      </c>
      <c r="AWK91" t="s">
        <v>436</v>
      </c>
      <c r="AWL91" t="s">
        <v>437</v>
      </c>
      <c r="AWM91" t="s">
        <v>428</v>
      </c>
      <c r="AWO91" t="s">
        <v>146</v>
      </c>
      <c r="AWP91" t="s">
        <v>145</v>
      </c>
      <c r="AWQ91" t="s">
        <v>398</v>
      </c>
      <c r="AWR91">
        <v>1</v>
      </c>
      <c r="AWS91" t="s">
        <v>436</v>
      </c>
      <c r="AWT91" t="s">
        <v>437</v>
      </c>
      <c r="AWU91" t="s">
        <v>428</v>
      </c>
      <c r="AWW91" t="s">
        <v>146</v>
      </c>
      <c r="AWX91" t="s">
        <v>145</v>
      </c>
      <c r="AWY91" t="s">
        <v>398</v>
      </c>
      <c r="AWZ91">
        <v>1</v>
      </c>
      <c r="AXA91" t="s">
        <v>436</v>
      </c>
      <c r="AXB91" t="s">
        <v>437</v>
      </c>
      <c r="AXC91" t="s">
        <v>428</v>
      </c>
      <c r="AXE91" t="s">
        <v>146</v>
      </c>
      <c r="AXF91" t="s">
        <v>145</v>
      </c>
      <c r="AXG91" t="s">
        <v>398</v>
      </c>
      <c r="AXH91">
        <v>1</v>
      </c>
      <c r="AXI91" t="s">
        <v>436</v>
      </c>
      <c r="AXJ91" t="s">
        <v>437</v>
      </c>
      <c r="AXK91" t="s">
        <v>428</v>
      </c>
      <c r="AXM91" t="s">
        <v>146</v>
      </c>
      <c r="AXN91" t="s">
        <v>145</v>
      </c>
      <c r="AXO91" t="s">
        <v>398</v>
      </c>
      <c r="AXP91">
        <v>1</v>
      </c>
      <c r="AXQ91" t="s">
        <v>436</v>
      </c>
      <c r="AXR91" t="s">
        <v>437</v>
      </c>
      <c r="AXS91" t="s">
        <v>428</v>
      </c>
      <c r="AXU91" t="s">
        <v>146</v>
      </c>
      <c r="AXV91" t="s">
        <v>145</v>
      </c>
      <c r="AXW91" t="s">
        <v>398</v>
      </c>
      <c r="AXX91">
        <v>1</v>
      </c>
      <c r="AXY91" t="s">
        <v>436</v>
      </c>
      <c r="AXZ91" t="s">
        <v>437</v>
      </c>
      <c r="AYA91" t="s">
        <v>428</v>
      </c>
      <c r="AYC91" t="s">
        <v>146</v>
      </c>
      <c r="AYD91" t="s">
        <v>145</v>
      </c>
      <c r="AYE91" t="s">
        <v>398</v>
      </c>
      <c r="AYF91">
        <v>1</v>
      </c>
      <c r="AYG91" t="s">
        <v>436</v>
      </c>
      <c r="AYH91" t="s">
        <v>437</v>
      </c>
      <c r="AYI91" t="s">
        <v>428</v>
      </c>
      <c r="AYK91" t="s">
        <v>146</v>
      </c>
      <c r="AYL91" t="s">
        <v>145</v>
      </c>
      <c r="AYM91" t="s">
        <v>398</v>
      </c>
      <c r="AYN91">
        <v>1</v>
      </c>
      <c r="AYO91" t="s">
        <v>436</v>
      </c>
      <c r="AYP91" t="s">
        <v>437</v>
      </c>
      <c r="AYQ91" t="s">
        <v>428</v>
      </c>
      <c r="AYS91" t="s">
        <v>146</v>
      </c>
      <c r="AYT91" t="s">
        <v>145</v>
      </c>
      <c r="AYU91" t="s">
        <v>398</v>
      </c>
      <c r="AYV91">
        <v>1</v>
      </c>
      <c r="AYW91" t="s">
        <v>436</v>
      </c>
      <c r="AYX91" t="s">
        <v>437</v>
      </c>
      <c r="AYY91" t="s">
        <v>428</v>
      </c>
      <c r="AZA91" t="s">
        <v>146</v>
      </c>
      <c r="AZB91" t="s">
        <v>145</v>
      </c>
      <c r="AZC91" t="s">
        <v>398</v>
      </c>
      <c r="AZD91">
        <v>1</v>
      </c>
      <c r="AZE91" t="s">
        <v>436</v>
      </c>
      <c r="AZF91" t="s">
        <v>437</v>
      </c>
      <c r="AZG91" t="s">
        <v>428</v>
      </c>
      <c r="AZI91" t="s">
        <v>146</v>
      </c>
      <c r="AZJ91" t="s">
        <v>145</v>
      </c>
      <c r="AZK91" t="s">
        <v>398</v>
      </c>
      <c r="AZL91">
        <v>1</v>
      </c>
      <c r="AZM91" t="s">
        <v>436</v>
      </c>
      <c r="AZN91" t="s">
        <v>437</v>
      </c>
      <c r="AZO91" t="s">
        <v>428</v>
      </c>
      <c r="AZQ91" t="s">
        <v>146</v>
      </c>
      <c r="AZR91" t="s">
        <v>145</v>
      </c>
      <c r="AZS91" t="s">
        <v>398</v>
      </c>
      <c r="AZT91">
        <v>1</v>
      </c>
      <c r="AZU91" t="s">
        <v>436</v>
      </c>
      <c r="AZV91" t="s">
        <v>437</v>
      </c>
      <c r="AZW91" t="s">
        <v>428</v>
      </c>
      <c r="AZY91" t="s">
        <v>146</v>
      </c>
      <c r="AZZ91" t="s">
        <v>145</v>
      </c>
      <c r="BAA91" t="s">
        <v>398</v>
      </c>
      <c r="BAB91">
        <v>1</v>
      </c>
      <c r="BAC91" t="s">
        <v>436</v>
      </c>
      <c r="BAD91" t="s">
        <v>437</v>
      </c>
      <c r="BAE91" t="s">
        <v>428</v>
      </c>
      <c r="BAG91" t="s">
        <v>146</v>
      </c>
      <c r="BAH91" t="s">
        <v>145</v>
      </c>
      <c r="BAI91" t="s">
        <v>398</v>
      </c>
      <c r="BAJ91">
        <v>1</v>
      </c>
      <c r="BAK91" t="s">
        <v>436</v>
      </c>
      <c r="BAL91" t="s">
        <v>437</v>
      </c>
      <c r="BAM91" t="s">
        <v>428</v>
      </c>
      <c r="BAO91" t="s">
        <v>146</v>
      </c>
      <c r="BAP91" t="s">
        <v>145</v>
      </c>
      <c r="BAQ91" t="s">
        <v>398</v>
      </c>
      <c r="BAR91">
        <v>1</v>
      </c>
      <c r="BAS91" t="s">
        <v>436</v>
      </c>
      <c r="BAT91" t="s">
        <v>437</v>
      </c>
      <c r="BAU91" t="s">
        <v>428</v>
      </c>
      <c r="BAW91" t="s">
        <v>146</v>
      </c>
      <c r="BAX91" t="s">
        <v>145</v>
      </c>
      <c r="BAY91" t="s">
        <v>398</v>
      </c>
      <c r="BAZ91">
        <v>1</v>
      </c>
      <c r="BBA91" t="s">
        <v>436</v>
      </c>
      <c r="BBB91" t="s">
        <v>437</v>
      </c>
      <c r="BBC91" t="s">
        <v>428</v>
      </c>
      <c r="BBE91" t="s">
        <v>146</v>
      </c>
      <c r="BBF91" t="s">
        <v>145</v>
      </c>
      <c r="BBG91" t="s">
        <v>398</v>
      </c>
      <c r="BBH91">
        <v>1</v>
      </c>
      <c r="BBI91" t="s">
        <v>436</v>
      </c>
      <c r="BBJ91" t="s">
        <v>437</v>
      </c>
      <c r="BBK91" t="s">
        <v>428</v>
      </c>
      <c r="BBM91" t="s">
        <v>146</v>
      </c>
      <c r="BBN91" t="s">
        <v>145</v>
      </c>
      <c r="BBO91" t="s">
        <v>398</v>
      </c>
      <c r="BBP91">
        <v>1</v>
      </c>
      <c r="BBQ91" t="s">
        <v>436</v>
      </c>
      <c r="BBR91" t="s">
        <v>437</v>
      </c>
      <c r="BBS91" t="s">
        <v>428</v>
      </c>
      <c r="BBU91" t="s">
        <v>146</v>
      </c>
      <c r="BBV91" t="s">
        <v>145</v>
      </c>
      <c r="BBW91" t="s">
        <v>398</v>
      </c>
      <c r="BBX91">
        <v>1</v>
      </c>
      <c r="BBY91" t="s">
        <v>436</v>
      </c>
      <c r="BBZ91" t="s">
        <v>437</v>
      </c>
      <c r="BCA91" t="s">
        <v>428</v>
      </c>
      <c r="BCC91" t="s">
        <v>146</v>
      </c>
      <c r="BCD91" t="s">
        <v>145</v>
      </c>
      <c r="BCE91" t="s">
        <v>398</v>
      </c>
      <c r="BCF91">
        <v>1</v>
      </c>
      <c r="BCG91" t="s">
        <v>436</v>
      </c>
      <c r="BCH91" t="s">
        <v>437</v>
      </c>
      <c r="BCI91" t="s">
        <v>428</v>
      </c>
      <c r="BCK91" t="s">
        <v>146</v>
      </c>
      <c r="BCL91" t="s">
        <v>145</v>
      </c>
      <c r="BCM91" t="s">
        <v>398</v>
      </c>
      <c r="BCN91">
        <v>1</v>
      </c>
      <c r="BCO91" t="s">
        <v>436</v>
      </c>
      <c r="BCP91" t="s">
        <v>437</v>
      </c>
      <c r="BCQ91" t="s">
        <v>428</v>
      </c>
      <c r="BCS91" t="s">
        <v>146</v>
      </c>
      <c r="BCT91" t="s">
        <v>145</v>
      </c>
      <c r="BCU91" t="s">
        <v>398</v>
      </c>
      <c r="BCV91">
        <v>1</v>
      </c>
      <c r="BCW91" t="s">
        <v>436</v>
      </c>
      <c r="BCX91" t="s">
        <v>437</v>
      </c>
      <c r="BCY91" t="s">
        <v>428</v>
      </c>
      <c r="BDA91" t="s">
        <v>146</v>
      </c>
      <c r="BDB91" t="s">
        <v>145</v>
      </c>
      <c r="BDC91" t="s">
        <v>398</v>
      </c>
      <c r="BDD91">
        <v>1</v>
      </c>
      <c r="BDE91" t="s">
        <v>436</v>
      </c>
      <c r="BDF91" t="s">
        <v>437</v>
      </c>
      <c r="BDG91" t="s">
        <v>428</v>
      </c>
      <c r="BDI91" t="s">
        <v>146</v>
      </c>
      <c r="BDJ91" t="s">
        <v>145</v>
      </c>
      <c r="BDK91" t="s">
        <v>398</v>
      </c>
      <c r="BDL91">
        <v>1</v>
      </c>
      <c r="BDM91" t="s">
        <v>436</v>
      </c>
      <c r="BDN91" t="s">
        <v>437</v>
      </c>
      <c r="BDO91" t="s">
        <v>428</v>
      </c>
      <c r="BDQ91" t="s">
        <v>146</v>
      </c>
      <c r="BDR91" t="s">
        <v>145</v>
      </c>
      <c r="BDS91" t="s">
        <v>398</v>
      </c>
      <c r="BDT91">
        <v>1</v>
      </c>
      <c r="BDU91" t="s">
        <v>436</v>
      </c>
      <c r="BDV91" t="s">
        <v>437</v>
      </c>
      <c r="BDW91" t="s">
        <v>428</v>
      </c>
      <c r="BDY91" t="s">
        <v>146</v>
      </c>
      <c r="BDZ91" t="s">
        <v>145</v>
      </c>
      <c r="BEA91" t="s">
        <v>398</v>
      </c>
      <c r="BEB91">
        <v>1</v>
      </c>
      <c r="BEC91" t="s">
        <v>436</v>
      </c>
      <c r="BED91" t="s">
        <v>437</v>
      </c>
      <c r="BEE91" t="s">
        <v>428</v>
      </c>
      <c r="BEG91" t="s">
        <v>146</v>
      </c>
      <c r="BEH91" t="s">
        <v>145</v>
      </c>
      <c r="BEI91" t="s">
        <v>398</v>
      </c>
      <c r="BEJ91">
        <v>1</v>
      </c>
      <c r="BEK91" t="s">
        <v>436</v>
      </c>
      <c r="BEL91" t="s">
        <v>437</v>
      </c>
      <c r="BEM91" t="s">
        <v>428</v>
      </c>
      <c r="BEO91" t="s">
        <v>146</v>
      </c>
      <c r="BEP91" t="s">
        <v>145</v>
      </c>
      <c r="BEQ91" t="s">
        <v>398</v>
      </c>
      <c r="BER91">
        <v>1</v>
      </c>
      <c r="BES91" t="s">
        <v>436</v>
      </c>
      <c r="BET91" t="s">
        <v>437</v>
      </c>
      <c r="BEU91" t="s">
        <v>428</v>
      </c>
      <c r="BEW91" t="s">
        <v>146</v>
      </c>
      <c r="BEX91" t="s">
        <v>145</v>
      </c>
      <c r="BEY91" t="s">
        <v>398</v>
      </c>
      <c r="BEZ91">
        <v>1</v>
      </c>
      <c r="BFA91" t="s">
        <v>436</v>
      </c>
      <c r="BFB91" t="s">
        <v>437</v>
      </c>
      <c r="BFC91" t="s">
        <v>428</v>
      </c>
      <c r="BFE91" t="s">
        <v>146</v>
      </c>
      <c r="BFF91" t="s">
        <v>145</v>
      </c>
      <c r="BFG91" t="s">
        <v>398</v>
      </c>
      <c r="BFH91">
        <v>1</v>
      </c>
      <c r="BFI91" t="s">
        <v>436</v>
      </c>
      <c r="BFJ91" t="s">
        <v>437</v>
      </c>
      <c r="BFK91" t="s">
        <v>428</v>
      </c>
      <c r="BFM91" t="s">
        <v>146</v>
      </c>
      <c r="BFN91" t="s">
        <v>145</v>
      </c>
      <c r="BFO91" t="s">
        <v>398</v>
      </c>
      <c r="BFP91">
        <v>1</v>
      </c>
      <c r="BFQ91" t="s">
        <v>436</v>
      </c>
      <c r="BFR91" t="s">
        <v>437</v>
      </c>
      <c r="BFS91" t="s">
        <v>428</v>
      </c>
      <c r="BFU91" t="s">
        <v>146</v>
      </c>
      <c r="BFV91" t="s">
        <v>145</v>
      </c>
      <c r="BFW91" t="s">
        <v>398</v>
      </c>
      <c r="BFX91">
        <v>1</v>
      </c>
      <c r="BFY91" t="s">
        <v>436</v>
      </c>
      <c r="BFZ91" t="s">
        <v>437</v>
      </c>
      <c r="BGA91" t="s">
        <v>428</v>
      </c>
      <c r="BGC91" t="s">
        <v>146</v>
      </c>
      <c r="BGD91" t="s">
        <v>145</v>
      </c>
      <c r="BGE91" t="s">
        <v>398</v>
      </c>
      <c r="BGF91">
        <v>1</v>
      </c>
      <c r="BGG91" t="s">
        <v>436</v>
      </c>
      <c r="BGH91" t="s">
        <v>437</v>
      </c>
      <c r="BGI91" t="s">
        <v>428</v>
      </c>
      <c r="BGK91" t="s">
        <v>146</v>
      </c>
      <c r="BGL91" t="s">
        <v>145</v>
      </c>
      <c r="BGM91" t="s">
        <v>398</v>
      </c>
      <c r="BGN91">
        <v>1</v>
      </c>
      <c r="BGO91" t="s">
        <v>436</v>
      </c>
      <c r="BGP91" t="s">
        <v>437</v>
      </c>
      <c r="BGQ91" t="s">
        <v>428</v>
      </c>
      <c r="BGS91" t="s">
        <v>146</v>
      </c>
      <c r="BGT91" t="s">
        <v>145</v>
      </c>
      <c r="BGU91" t="s">
        <v>398</v>
      </c>
      <c r="BGV91">
        <v>1</v>
      </c>
      <c r="BGW91" t="s">
        <v>436</v>
      </c>
      <c r="BGX91" t="s">
        <v>437</v>
      </c>
      <c r="BGY91" t="s">
        <v>428</v>
      </c>
      <c r="BHA91" t="s">
        <v>146</v>
      </c>
      <c r="BHB91" t="s">
        <v>145</v>
      </c>
      <c r="BHC91" t="s">
        <v>398</v>
      </c>
      <c r="BHD91">
        <v>1</v>
      </c>
      <c r="BHE91" t="s">
        <v>436</v>
      </c>
      <c r="BHF91" t="s">
        <v>437</v>
      </c>
      <c r="BHG91" t="s">
        <v>428</v>
      </c>
      <c r="BHI91" t="s">
        <v>146</v>
      </c>
      <c r="BHJ91" t="s">
        <v>145</v>
      </c>
      <c r="BHK91" t="s">
        <v>398</v>
      </c>
      <c r="BHL91">
        <v>1</v>
      </c>
      <c r="BHM91" t="s">
        <v>436</v>
      </c>
      <c r="BHN91" t="s">
        <v>437</v>
      </c>
      <c r="BHO91" t="s">
        <v>428</v>
      </c>
      <c r="BHQ91" t="s">
        <v>146</v>
      </c>
      <c r="BHR91" t="s">
        <v>145</v>
      </c>
      <c r="BHS91" t="s">
        <v>398</v>
      </c>
      <c r="BHT91">
        <v>1</v>
      </c>
      <c r="BHU91" t="s">
        <v>436</v>
      </c>
      <c r="BHV91" t="s">
        <v>437</v>
      </c>
      <c r="BHW91" t="s">
        <v>428</v>
      </c>
      <c r="BHY91" t="s">
        <v>146</v>
      </c>
      <c r="BHZ91" t="s">
        <v>145</v>
      </c>
      <c r="BIA91" t="s">
        <v>398</v>
      </c>
      <c r="BIB91">
        <v>1</v>
      </c>
      <c r="BIC91" t="s">
        <v>436</v>
      </c>
      <c r="BID91" t="s">
        <v>437</v>
      </c>
      <c r="BIE91" t="s">
        <v>428</v>
      </c>
      <c r="BIG91" t="s">
        <v>146</v>
      </c>
      <c r="BIH91" t="s">
        <v>145</v>
      </c>
      <c r="BII91" t="s">
        <v>398</v>
      </c>
      <c r="BIJ91">
        <v>1</v>
      </c>
      <c r="BIK91" t="s">
        <v>436</v>
      </c>
      <c r="BIL91" t="s">
        <v>437</v>
      </c>
      <c r="BIM91" t="s">
        <v>428</v>
      </c>
      <c r="BIO91" t="s">
        <v>146</v>
      </c>
      <c r="BIP91" t="s">
        <v>145</v>
      </c>
      <c r="BIQ91" t="s">
        <v>398</v>
      </c>
      <c r="BIR91">
        <v>1</v>
      </c>
      <c r="BIS91" t="s">
        <v>436</v>
      </c>
      <c r="BIT91" t="s">
        <v>437</v>
      </c>
      <c r="BIU91" t="s">
        <v>428</v>
      </c>
      <c r="BIW91" t="s">
        <v>146</v>
      </c>
      <c r="BIX91" t="s">
        <v>145</v>
      </c>
      <c r="BIY91" t="s">
        <v>398</v>
      </c>
      <c r="BIZ91">
        <v>1</v>
      </c>
      <c r="BJA91" t="s">
        <v>436</v>
      </c>
      <c r="BJB91" t="s">
        <v>437</v>
      </c>
      <c r="BJC91" t="s">
        <v>428</v>
      </c>
      <c r="BJE91" t="s">
        <v>146</v>
      </c>
      <c r="BJF91" t="s">
        <v>145</v>
      </c>
      <c r="BJG91" t="s">
        <v>398</v>
      </c>
      <c r="BJH91">
        <v>1</v>
      </c>
      <c r="BJI91" t="s">
        <v>436</v>
      </c>
      <c r="BJJ91" t="s">
        <v>437</v>
      </c>
      <c r="BJK91" t="s">
        <v>428</v>
      </c>
      <c r="BJM91" t="s">
        <v>146</v>
      </c>
      <c r="BJN91" t="s">
        <v>145</v>
      </c>
      <c r="BJO91" t="s">
        <v>398</v>
      </c>
      <c r="BJP91">
        <v>1</v>
      </c>
      <c r="BJQ91" t="s">
        <v>436</v>
      </c>
      <c r="BJR91" t="s">
        <v>437</v>
      </c>
      <c r="BJS91" t="s">
        <v>428</v>
      </c>
      <c r="BJU91" t="s">
        <v>146</v>
      </c>
      <c r="BJV91" t="s">
        <v>145</v>
      </c>
      <c r="BJW91" t="s">
        <v>398</v>
      </c>
      <c r="BJX91">
        <v>1</v>
      </c>
      <c r="BJY91" t="s">
        <v>436</v>
      </c>
      <c r="BJZ91" t="s">
        <v>437</v>
      </c>
      <c r="BKA91" t="s">
        <v>428</v>
      </c>
      <c r="BKC91" t="s">
        <v>146</v>
      </c>
      <c r="BKD91" t="s">
        <v>145</v>
      </c>
      <c r="BKE91" t="s">
        <v>398</v>
      </c>
      <c r="BKF91">
        <v>1</v>
      </c>
      <c r="BKG91" t="s">
        <v>436</v>
      </c>
      <c r="BKH91" t="s">
        <v>437</v>
      </c>
      <c r="BKI91" t="s">
        <v>428</v>
      </c>
      <c r="BKK91" t="s">
        <v>146</v>
      </c>
      <c r="BKL91" t="s">
        <v>145</v>
      </c>
      <c r="BKM91" t="s">
        <v>398</v>
      </c>
      <c r="BKN91">
        <v>1</v>
      </c>
      <c r="BKO91" t="s">
        <v>436</v>
      </c>
      <c r="BKP91" t="s">
        <v>437</v>
      </c>
      <c r="BKQ91" t="s">
        <v>428</v>
      </c>
      <c r="BKS91" t="s">
        <v>146</v>
      </c>
      <c r="BKT91" t="s">
        <v>145</v>
      </c>
      <c r="BKU91" t="s">
        <v>398</v>
      </c>
      <c r="BKV91">
        <v>1</v>
      </c>
      <c r="BKW91" t="s">
        <v>436</v>
      </c>
      <c r="BKX91" t="s">
        <v>437</v>
      </c>
      <c r="BKY91" t="s">
        <v>428</v>
      </c>
      <c r="BLA91" t="s">
        <v>146</v>
      </c>
      <c r="BLB91" t="s">
        <v>145</v>
      </c>
      <c r="BLC91" t="s">
        <v>398</v>
      </c>
      <c r="BLD91">
        <v>1</v>
      </c>
      <c r="BLE91" t="s">
        <v>436</v>
      </c>
      <c r="BLF91" t="s">
        <v>437</v>
      </c>
      <c r="BLG91" t="s">
        <v>428</v>
      </c>
      <c r="BLI91" t="s">
        <v>146</v>
      </c>
      <c r="BLJ91" t="s">
        <v>145</v>
      </c>
      <c r="BLK91" t="s">
        <v>398</v>
      </c>
      <c r="BLL91">
        <v>1</v>
      </c>
      <c r="BLM91" t="s">
        <v>436</v>
      </c>
      <c r="BLN91" t="s">
        <v>437</v>
      </c>
      <c r="BLO91" t="s">
        <v>428</v>
      </c>
      <c r="BLQ91" t="s">
        <v>146</v>
      </c>
      <c r="BLR91" t="s">
        <v>145</v>
      </c>
      <c r="BLS91" t="s">
        <v>398</v>
      </c>
      <c r="BLT91">
        <v>1</v>
      </c>
      <c r="BLU91" t="s">
        <v>436</v>
      </c>
      <c r="BLV91" t="s">
        <v>437</v>
      </c>
      <c r="BLW91" t="s">
        <v>428</v>
      </c>
      <c r="BLY91" t="s">
        <v>146</v>
      </c>
      <c r="BLZ91" t="s">
        <v>145</v>
      </c>
      <c r="BMA91" t="s">
        <v>398</v>
      </c>
      <c r="BMB91">
        <v>1</v>
      </c>
      <c r="BMC91" t="s">
        <v>436</v>
      </c>
      <c r="BMD91" t="s">
        <v>437</v>
      </c>
      <c r="BME91" t="s">
        <v>428</v>
      </c>
      <c r="BMG91" t="s">
        <v>146</v>
      </c>
      <c r="BMH91" t="s">
        <v>145</v>
      </c>
      <c r="BMI91" t="s">
        <v>398</v>
      </c>
      <c r="BMJ91">
        <v>1</v>
      </c>
      <c r="BMK91" t="s">
        <v>436</v>
      </c>
      <c r="BML91" t="s">
        <v>437</v>
      </c>
      <c r="BMM91" t="s">
        <v>428</v>
      </c>
      <c r="BMO91" t="s">
        <v>146</v>
      </c>
      <c r="BMP91" t="s">
        <v>145</v>
      </c>
      <c r="BMQ91" t="s">
        <v>398</v>
      </c>
      <c r="BMR91">
        <v>1</v>
      </c>
      <c r="BMS91" t="s">
        <v>436</v>
      </c>
      <c r="BMT91" t="s">
        <v>437</v>
      </c>
      <c r="BMU91" t="s">
        <v>428</v>
      </c>
      <c r="BMW91" t="s">
        <v>146</v>
      </c>
      <c r="BMX91" t="s">
        <v>145</v>
      </c>
      <c r="BMY91" t="s">
        <v>398</v>
      </c>
      <c r="BMZ91">
        <v>1</v>
      </c>
      <c r="BNA91" t="s">
        <v>436</v>
      </c>
      <c r="BNB91" t="s">
        <v>437</v>
      </c>
      <c r="BNC91" t="s">
        <v>428</v>
      </c>
      <c r="BNE91" t="s">
        <v>146</v>
      </c>
      <c r="BNF91" t="s">
        <v>145</v>
      </c>
      <c r="BNG91" t="s">
        <v>398</v>
      </c>
      <c r="BNH91">
        <v>1</v>
      </c>
      <c r="BNI91" t="s">
        <v>436</v>
      </c>
      <c r="BNJ91" t="s">
        <v>437</v>
      </c>
      <c r="BNK91" t="s">
        <v>428</v>
      </c>
      <c r="BNM91" t="s">
        <v>146</v>
      </c>
      <c r="BNN91" t="s">
        <v>145</v>
      </c>
      <c r="BNO91" t="s">
        <v>398</v>
      </c>
      <c r="BNP91">
        <v>1</v>
      </c>
      <c r="BNQ91" t="s">
        <v>436</v>
      </c>
      <c r="BNR91" t="s">
        <v>437</v>
      </c>
      <c r="BNS91" t="s">
        <v>428</v>
      </c>
      <c r="BNU91" t="s">
        <v>146</v>
      </c>
      <c r="BNV91" t="s">
        <v>145</v>
      </c>
      <c r="BNW91" t="s">
        <v>398</v>
      </c>
      <c r="BNX91">
        <v>1</v>
      </c>
      <c r="BNY91" t="s">
        <v>436</v>
      </c>
      <c r="BNZ91" t="s">
        <v>437</v>
      </c>
      <c r="BOA91" t="s">
        <v>428</v>
      </c>
      <c r="BOC91" t="s">
        <v>146</v>
      </c>
      <c r="BOD91" t="s">
        <v>145</v>
      </c>
      <c r="BOE91" t="s">
        <v>398</v>
      </c>
      <c r="BOF91">
        <v>1</v>
      </c>
      <c r="BOG91" t="s">
        <v>436</v>
      </c>
      <c r="BOH91" t="s">
        <v>437</v>
      </c>
      <c r="BOI91" t="s">
        <v>428</v>
      </c>
      <c r="BOK91" t="s">
        <v>146</v>
      </c>
      <c r="BOL91" t="s">
        <v>145</v>
      </c>
      <c r="BOM91" t="s">
        <v>398</v>
      </c>
      <c r="BON91">
        <v>1</v>
      </c>
      <c r="BOO91" t="s">
        <v>436</v>
      </c>
      <c r="BOP91" t="s">
        <v>437</v>
      </c>
      <c r="BOQ91" t="s">
        <v>428</v>
      </c>
      <c r="BOS91" t="s">
        <v>146</v>
      </c>
      <c r="BOT91" t="s">
        <v>145</v>
      </c>
      <c r="BOU91" t="s">
        <v>398</v>
      </c>
      <c r="BOV91">
        <v>1</v>
      </c>
      <c r="BOW91" t="s">
        <v>436</v>
      </c>
      <c r="BOX91" t="s">
        <v>437</v>
      </c>
      <c r="BOY91" t="s">
        <v>428</v>
      </c>
      <c r="BPA91" t="s">
        <v>146</v>
      </c>
      <c r="BPB91" t="s">
        <v>145</v>
      </c>
      <c r="BPC91" t="s">
        <v>398</v>
      </c>
      <c r="BPD91">
        <v>1</v>
      </c>
      <c r="BPE91" t="s">
        <v>436</v>
      </c>
      <c r="BPF91" t="s">
        <v>437</v>
      </c>
      <c r="BPG91" t="s">
        <v>428</v>
      </c>
      <c r="BPI91" t="s">
        <v>146</v>
      </c>
      <c r="BPJ91" t="s">
        <v>145</v>
      </c>
      <c r="BPK91" t="s">
        <v>398</v>
      </c>
      <c r="BPL91">
        <v>1</v>
      </c>
      <c r="BPM91" t="s">
        <v>436</v>
      </c>
      <c r="BPN91" t="s">
        <v>437</v>
      </c>
      <c r="BPO91" t="s">
        <v>428</v>
      </c>
      <c r="BPQ91" t="s">
        <v>146</v>
      </c>
      <c r="BPR91" t="s">
        <v>145</v>
      </c>
      <c r="BPS91" t="s">
        <v>398</v>
      </c>
      <c r="BPT91">
        <v>1</v>
      </c>
      <c r="BPU91" t="s">
        <v>436</v>
      </c>
      <c r="BPV91" t="s">
        <v>437</v>
      </c>
      <c r="BPW91" t="s">
        <v>428</v>
      </c>
      <c r="BPY91" t="s">
        <v>146</v>
      </c>
      <c r="BPZ91" t="s">
        <v>145</v>
      </c>
      <c r="BQA91" t="s">
        <v>398</v>
      </c>
      <c r="BQB91">
        <v>1</v>
      </c>
      <c r="BQC91" t="s">
        <v>436</v>
      </c>
      <c r="BQD91" t="s">
        <v>437</v>
      </c>
      <c r="BQE91" t="s">
        <v>428</v>
      </c>
      <c r="BQG91" t="s">
        <v>146</v>
      </c>
      <c r="BQH91" t="s">
        <v>145</v>
      </c>
      <c r="BQI91" t="s">
        <v>398</v>
      </c>
      <c r="BQJ91">
        <v>1</v>
      </c>
      <c r="BQK91" t="s">
        <v>436</v>
      </c>
      <c r="BQL91" t="s">
        <v>437</v>
      </c>
      <c r="BQM91" t="s">
        <v>428</v>
      </c>
      <c r="BQO91" t="s">
        <v>146</v>
      </c>
      <c r="BQP91" t="s">
        <v>145</v>
      </c>
      <c r="BQQ91" t="s">
        <v>398</v>
      </c>
      <c r="BQR91">
        <v>1</v>
      </c>
      <c r="BQS91" t="s">
        <v>436</v>
      </c>
      <c r="BQT91" t="s">
        <v>437</v>
      </c>
      <c r="BQU91" t="s">
        <v>428</v>
      </c>
      <c r="BQW91" t="s">
        <v>146</v>
      </c>
      <c r="BQX91" t="s">
        <v>145</v>
      </c>
      <c r="BQY91" t="s">
        <v>398</v>
      </c>
      <c r="BQZ91">
        <v>1</v>
      </c>
      <c r="BRA91" t="s">
        <v>436</v>
      </c>
      <c r="BRB91" t="s">
        <v>437</v>
      </c>
      <c r="BRC91" t="s">
        <v>428</v>
      </c>
      <c r="BRE91" t="s">
        <v>146</v>
      </c>
      <c r="BRF91" t="s">
        <v>145</v>
      </c>
      <c r="BRG91" t="s">
        <v>398</v>
      </c>
      <c r="BRH91">
        <v>1</v>
      </c>
      <c r="BRI91" t="s">
        <v>436</v>
      </c>
      <c r="BRJ91" t="s">
        <v>437</v>
      </c>
      <c r="BRK91" t="s">
        <v>428</v>
      </c>
      <c r="BRM91" t="s">
        <v>146</v>
      </c>
      <c r="BRN91" t="s">
        <v>145</v>
      </c>
      <c r="BRO91" t="s">
        <v>398</v>
      </c>
      <c r="BRP91">
        <v>1</v>
      </c>
      <c r="BRQ91" t="s">
        <v>436</v>
      </c>
      <c r="BRR91" t="s">
        <v>437</v>
      </c>
      <c r="BRS91" t="s">
        <v>428</v>
      </c>
      <c r="BRU91" t="s">
        <v>146</v>
      </c>
      <c r="BRV91" t="s">
        <v>145</v>
      </c>
      <c r="BRW91" t="s">
        <v>398</v>
      </c>
      <c r="BRX91">
        <v>1</v>
      </c>
      <c r="BRY91" t="s">
        <v>436</v>
      </c>
      <c r="BRZ91" t="s">
        <v>437</v>
      </c>
      <c r="BSA91" t="s">
        <v>428</v>
      </c>
      <c r="BSC91" t="s">
        <v>146</v>
      </c>
      <c r="BSD91" t="s">
        <v>145</v>
      </c>
      <c r="BSE91" t="s">
        <v>398</v>
      </c>
      <c r="BSF91">
        <v>1</v>
      </c>
      <c r="BSG91" t="s">
        <v>436</v>
      </c>
      <c r="BSH91" t="s">
        <v>437</v>
      </c>
      <c r="BSI91" t="s">
        <v>428</v>
      </c>
      <c r="BSK91" t="s">
        <v>146</v>
      </c>
      <c r="BSL91" t="s">
        <v>145</v>
      </c>
      <c r="BSM91" t="s">
        <v>398</v>
      </c>
      <c r="BSN91">
        <v>1</v>
      </c>
      <c r="BSO91" t="s">
        <v>436</v>
      </c>
      <c r="BSP91" t="s">
        <v>437</v>
      </c>
      <c r="BSQ91" t="s">
        <v>428</v>
      </c>
      <c r="BSS91" t="s">
        <v>146</v>
      </c>
      <c r="BST91" t="s">
        <v>145</v>
      </c>
      <c r="BSU91" t="s">
        <v>398</v>
      </c>
      <c r="BSV91">
        <v>1</v>
      </c>
      <c r="BSW91" t="s">
        <v>436</v>
      </c>
      <c r="BSX91" t="s">
        <v>437</v>
      </c>
      <c r="BSY91" t="s">
        <v>428</v>
      </c>
      <c r="BTA91" t="s">
        <v>146</v>
      </c>
      <c r="BTB91" t="s">
        <v>145</v>
      </c>
      <c r="BTC91" t="s">
        <v>398</v>
      </c>
      <c r="BTD91">
        <v>1</v>
      </c>
      <c r="BTE91" t="s">
        <v>436</v>
      </c>
      <c r="BTF91" t="s">
        <v>437</v>
      </c>
      <c r="BTG91" t="s">
        <v>428</v>
      </c>
      <c r="BTI91" t="s">
        <v>146</v>
      </c>
      <c r="BTJ91" t="s">
        <v>145</v>
      </c>
      <c r="BTK91" t="s">
        <v>398</v>
      </c>
      <c r="BTL91">
        <v>1</v>
      </c>
      <c r="BTM91" t="s">
        <v>436</v>
      </c>
      <c r="BTN91" t="s">
        <v>437</v>
      </c>
      <c r="BTO91" t="s">
        <v>428</v>
      </c>
      <c r="BTQ91" t="s">
        <v>146</v>
      </c>
      <c r="BTR91" t="s">
        <v>145</v>
      </c>
      <c r="BTS91" t="s">
        <v>398</v>
      </c>
      <c r="BTT91">
        <v>1</v>
      </c>
      <c r="BTU91" t="s">
        <v>436</v>
      </c>
      <c r="BTV91" t="s">
        <v>437</v>
      </c>
      <c r="BTW91" t="s">
        <v>428</v>
      </c>
      <c r="BTY91" t="s">
        <v>146</v>
      </c>
      <c r="BTZ91" t="s">
        <v>145</v>
      </c>
      <c r="BUA91" t="s">
        <v>398</v>
      </c>
      <c r="BUB91">
        <v>1</v>
      </c>
      <c r="BUC91" t="s">
        <v>436</v>
      </c>
      <c r="BUD91" t="s">
        <v>437</v>
      </c>
      <c r="BUE91" t="s">
        <v>428</v>
      </c>
      <c r="BUG91" t="s">
        <v>146</v>
      </c>
      <c r="BUH91" t="s">
        <v>145</v>
      </c>
      <c r="BUI91" t="s">
        <v>398</v>
      </c>
      <c r="BUJ91">
        <v>1</v>
      </c>
      <c r="BUK91" t="s">
        <v>436</v>
      </c>
      <c r="BUL91" t="s">
        <v>437</v>
      </c>
      <c r="BUM91" t="s">
        <v>428</v>
      </c>
      <c r="BUO91" t="s">
        <v>146</v>
      </c>
      <c r="BUP91" t="s">
        <v>145</v>
      </c>
      <c r="BUQ91" t="s">
        <v>398</v>
      </c>
      <c r="BUR91">
        <v>1</v>
      </c>
      <c r="BUS91" t="s">
        <v>436</v>
      </c>
      <c r="BUT91" t="s">
        <v>437</v>
      </c>
      <c r="BUU91" t="s">
        <v>428</v>
      </c>
      <c r="BUW91" t="s">
        <v>146</v>
      </c>
      <c r="BUX91" t="s">
        <v>145</v>
      </c>
      <c r="BUY91" t="s">
        <v>398</v>
      </c>
      <c r="BUZ91">
        <v>1</v>
      </c>
      <c r="BVA91" t="s">
        <v>436</v>
      </c>
      <c r="BVB91" t="s">
        <v>437</v>
      </c>
      <c r="BVC91" t="s">
        <v>428</v>
      </c>
      <c r="BVE91" t="s">
        <v>146</v>
      </c>
      <c r="BVF91" t="s">
        <v>145</v>
      </c>
      <c r="BVG91" t="s">
        <v>398</v>
      </c>
      <c r="BVH91">
        <v>1</v>
      </c>
      <c r="BVI91" t="s">
        <v>436</v>
      </c>
      <c r="BVJ91" t="s">
        <v>437</v>
      </c>
      <c r="BVK91" t="s">
        <v>428</v>
      </c>
      <c r="BVM91" t="s">
        <v>146</v>
      </c>
      <c r="BVN91" t="s">
        <v>145</v>
      </c>
      <c r="BVO91" t="s">
        <v>398</v>
      </c>
      <c r="BVP91">
        <v>1</v>
      </c>
      <c r="BVQ91" t="s">
        <v>436</v>
      </c>
      <c r="BVR91" t="s">
        <v>437</v>
      </c>
      <c r="BVS91" t="s">
        <v>428</v>
      </c>
      <c r="BVU91" t="s">
        <v>146</v>
      </c>
      <c r="BVV91" t="s">
        <v>145</v>
      </c>
      <c r="BVW91" t="s">
        <v>398</v>
      </c>
      <c r="BVX91">
        <v>1</v>
      </c>
      <c r="BVY91" t="s">
        <v>436</v>
      </c>
      <c r="BVZ91" t="s">
        <v>437</v>
      </c>
      <c r="BWA91" t="s">
        <v>428</v>
      </c>
      <c r="BWC91" t="s">
        <v>146</v>
      </c>
      <c r="BWD91" t="s">
        <v>145</v>
      </c>
      <c r="BWE91" t="s">
        <v>398</v>
      </c>
      <c r="BWF91">
        <v>1</v>
      </c>
      <c r="BWG91" t="s">
        <v>436</v>
      </c>
      <c r="BWH91" t="s">
        <v>437</v>
      </c>
      <c r="BWI91" t="s">
        <v>428</v>
      </c>
      <c r="BWK91" t="s">
        <v>146</v>
      </c>
      <c r="BWL91" t="s">
        <v>145</v>
      </c>
      <c r="BWM91" t="s">
        <v>398</v>
      </c>
      <c r="BWN91">
        <v>1</v>
      </c>
      <c r="BWO91" t="s">
        <v>436</v>
      </c>
      <c r="BWP91" t="s">
        <v>437</v>
      </c>
      <c r="BWQ91" t="s">
        <v>428</v>
      </c>
      <c r="BWS91" t="s">
        <v>146</v>
      </c>
      <c r="BWT91" t="s">
        <v>145</v>
      </c>
      <c r="BWU91" t="s">
        <v>398</v>
      </c>
      <c r="BWV91">
        <v>1</v>
      </c>
      <c r="BWW91" t="s">
        <v>436</v>
      </c>
      <c r="BWX91" t="s">
        <v>437</v>
      </c>
      <c r="BWY91" t="s">
        <v>428</v>
      </c>
      <c r="BXA91" t="s">
        <v>146</v>
      </c>
      <c r="BXB91" t="s">
        <v>145</v>
      </c>
      <c r="BXC91" t="s">
        <v>398</v>
      </c>
      <c r="BXD91">
        <v>1</v>
      </c>
      <c r="BXE91" t="s">
        <v>436</v>
      </c>
      <c r="BXF91" t="s">
        <v>437</v>
      </c>
      <c r="BXG91" t="s">
        <v>428</v>
      </c>
      <c r="BXI91" t="s">
        <v>146</v>
      </c>
      <c r="BXJ91" t="s">
        <v>145</v>
      </c>
      <c r="BXK91" t="s">
        <v>398</v>
      </c>
      <c r="BXL91">
        <v>1</v>
      </c>
      <c r="BXM91" t="s">
        <v>436</v>
      </c>
      <c r="BXN91" t="s">
        <v>437</v>
      </c>
      <c r="BXO91" t="s">
        <v>428</v>
      </c>
      <c r="BXQ91" t="s">
        <v>146</v>
      </c>
      <c r="BXR91" t="s">
        <v>145</v>
      </c>
      <c r="BXS91" t="s">
        <v>398</v>
      </c>
      <c r="BXT91">
        <v>1</v>
      </c>
      <c r="BXU91" t="s">
        <v>436</v>
      </c>
      <c r="BXV91" t="s">
        <v>437</v>
      </c>
      <c r="BXW91" t="s">
        <v>428</v>
      </c>
      <c r="BXY91" t="s">
        <v>146</v>
      </c>
      <c r="BXZ91" t="s">
        <v>145</v>
      </c>
      <c r="BYA91" t="s">
        <v>398</v>
      </c>
      <c r="BYB91">
        <v>1</v>
      </c>
      <c r="BYC91" t="s">
        <v>436</v>
      </c>
      <c r="BYD91" t="s">
        <v>437</v>
      </c>
      <c r="BYE91" t="s">
        <v>428</v>
      </c>
      <c r="BYG91" t="s">
        <v>146</v>
      </c>
      <c r="BYH91" t="s">
        <v>145</v>
      </c>
      <c r="BYI91" t="s">
        <v>398</v>
      </c>
      <c r="BYJ91">
        <v>1</v>
      </c>
      <c r="BYK91" t="s">
        <v>436</v>
      </c>
      <c r="BYL91" t="s">
        <v>437</v>
      </c>
      <c r="BYM91" t="s">
        <v>428</v>
      </c>
      <c r="BYO91" t="s">
        <v>146</v>
      </c>
      <c r="BYP91" t="s">
        <v>145</v>
      </c>
      <c r="BYQ91" t="s">
        <v>398</v>
      </c>
      <c r="BYR91">
        <v>1</v>
      </c>
      <c r="BYS91" t="s">
        <v>436</v>
      </c>
      <c r="BYT91" t="s">
        <v>437</v>
      </c>
      <c r="BYU91" t="s">
        <v>428</v>
      </c>
      <c r="BYW91" t="s">
        <v>146</v>
      </c>
      <c r="BYX91" t="s">
        <v>145</v>
      </c>
      <c r="BYY91" t="s">
        <v>398</v>
      </c>
      <c r="BYZ91">
        <v>1</v>
      </c>
      <c r="BZA91" t="s">
        <v>436</v>
      </c>
      <c r="BZB91" t="s">
        <v>437</v>
      </c>
      <c r="BZC91" t="s">
        <v>428</v>
      </c>
      <c r="BZE91" t="s">
        <v>146</v>
      </c>
      <c r="BZF91" t="s">
        <v>145</v>
      </c>
      <c r="BZG91" t="s">
        <v>398</v>
      </c>
      <c r="BZH91">
        <v>1</v>
      </c>
      <c r="BZI91" t="s">
        <v>436</v>
      </c>
      <c r="BZJ91" t="s">
        <v>437</v>
      </c>
      <c r="BZK91" t="s">
        <v>428</v>
      </c>
      <c r="BZM91" t="s">
        <v>146</v>
      </c>
      <c r="BZN91" t="s">
        <v>145</v>
      </c>
      <c r="BZO91" t="s">
        <v>398</v>
      </c>
      <c r="BZP91">
        <v>1</v>
      </c>
      <c r="BZQ91" t="s">
        <v>436</v>
      </c>
      <c r="BZR91" t="s">
        <v>437</v>
      </c>
      <c r="BZS91" t="s">
        <v>428</v>
      </c>
      <c r="BZU91" t="s">
        <v>146</v>
      </c>
      <c r="BZV91" t="s">
        <v>145</v>
      </c>
      <c r="BZW91" t="s">
        <v>398</v>
      </c>
      <c r="BZX91">
        <v>1</v>
      </c>
      <c r="BZY91" t="s">
        <v>436</v>
      </c>
      <c r="BZZ91" t="s">
        <v>437</v>
      </c>
      <c r="CAA91" t="s">
        <v>428</v>
      </c>
      <c r="CAC91" t="s">
        <v>146</v>
      </c>
      <c r="CAD91" t="s">
        <v>145</v>
      </c>
      <c r="CAE91" t="s">
        <v>398</v>
      </c>
      <c r="CAF91">
        <v>1</v>
      </c>
      <c r="CAG91" t="s">
        <v>436</v>
      </c>
      <c r="CAH91" t="s">
        <v>437</v>
      </c>
      <c r="CAI91" t="s">
        <v>428</v>
      </c>
      <c r="CAK91" t="s">
        <v>146</v>
      </c>
      <c r="CAL91" t="s">
        <v>145</v>
      </c>
      <c r="CAM91" t="s">
        <v>398</v>
      </c>
      <c r="CAN91">
        <v>1</v>
      </c>
      <c r="CAO91" t="s">
        <v>436</v>
      </c>
      <c r="CAP91" t="s">
        <v>437</v>
      </c>
      <c r="CAQ91" t="s">
        <v>428</v>
      </c>
      <c r="CAS91" t="s">
        <v>146</v>
      </c>
      <c r="CAT91" t="s">
        <v>145</v>
      </c>
      <c r="CAU91" t="s">
        <v>398</v>
      </c>
      <c r="CAV91">
        <v>1</v>
      </c>
      <c r="CAW91" t="s">
        <v>436</v>
      </c>
      <c r="CAX91" t="s">
        <v>437</v>
      </c>
      <c r="CAY91" t="s">
        <v>428</v>
      </c>
      <c r="CBA91" t="s">
        <v>146</v>
      </c>
      <c r="CBB91" t="s">
        <v>145</v>
      </c>
      <c r="CBC91" t="s">
        <v>398</v>
      </c>
      <c r="CBD91">
        <v>1</v>
      </c>
      <c r="CBE91" t="s">
        <v>436</v>
      </c>
      <c r="CBF91" t="s">
        <v>437</v>
      </c>
      <c r="CBG91" t="s">
        <v>428</v>
      </c>
      <c r="CBI91" t="s">
        <v>146</v>
      </c>
      <c r="CBJ91" t="s">
        <v>145</v>
      </c>
      <c r="CBK91" t="s">
        <v>398</v>
      </c>
      <c r="CBL91">
        <v>1</v>
      </c>
      <c r="CBM91" t="s">
        <v>436</v>
      </c>
      <c r="CBN91" t="s">
        <v>437</v>
      </c>
      <c r="CBO91" t="s">
        <v>428</v>
      </c>
      <c r="CBQ91" t="s">
        <v>146</v>
      </c>
      <c r="CBR91" t="s">
        <v>145</v>
      </c>
      <c r="CBS91" t="s">
        <v>398</v>
      </c>
      <c r="CBT91">
        <v>1</v>
      </c>
      <c r="CBU91" t="s">
        <v>436</v>
      </c>
      <c r="CBV91" t="s">
        <v>437</v>
      </c>
      <c r="CBW91" t="s">
        <v>428</v>
      </c>
      <c r="CBY91" t="s">
        <v>146</v>
      </c>
      <c r="CBZ91" t="s">
        <v>145</v>
      </c>
      <c r="CCA91" t="s">
        <v>398</v>
      </c>
      <c r="CCB91">
        <v>1</v>
      </c>
      <c r="CCC91" t="s">
        <v>436</v>
      </c>
      <c r="CCD91" t="s">
        <v>437</v>
      </c>
      <c r="CCE91" t="s">
        <v>428</v>
      </c>
      <c r="CCG91" t="s">
        <v>146</v>
      </c>
      <c r="CCH91" t="s">
        <v>145</v>
      </c>
      <c r="CCI91" t="s">
        <v>398</v>
      </c>
      <c r="CCJ91">
        <v>1</v>
      </c>
      <c r="CCK91" t="s">
        <v>436</v>
      </c>
      <c r="CCL91" t="s">
        <v>437</v>
      </c>
      <c r="CCM91" t="s">
        <v>428</v>
      </c>
      <c r="CCO91" t="s">
        <v>146</v>
      </c>
      <c r="CCP91" t="s">
        <v>145</v>
      </c>
      <c r="CCQ91" t="s">
        <v>398</v>
      </c>
      <c r="CCR91">
        <v>1</v>
      </c>
      <c r="CCS91" t="s">
        <v>436</v>
      </c>
      <c r="CCT91" t="s">
        <v>437</v>
      </c>
      <c r="CCU91" t="s">
        <v>428</v>
      </c>
      <c r="CCW91" t="s">
        <v>146</v>
      </c>
      <c r="CCX91" t="s">
        <v>145</v>
      </c>
      <c r="CCY91" t="s">
        <v>398</v>
      </c>
      <c r="CCZ91">
        <v>1</v>
      </c>
      <c r="CDA91" t="s">
        <v>436</v>
      </c>
      <c r="CDB91" t="s">
        <v>437</v>
      </c>
      <c r="CDC91" t="s">
        <v>428</v>
      </c>
      <c r="CDE91" t="s">
        <v>146</v>
      </c>
      <c r="CDF91" t="s">
        <v>145</v>
      </c>
      <c r="CDG91" t="s">
        <v>398</v>
      </c>
      <c r="CDH91">
        <v>1</v>
      </c>
      <c r="CDI91" t="s">
        <v>436</v>
      </c>
      <c r="CDJ91" t="s">
        <v>437</v>
      </c>
      <c r="CDK91" t="s">
        <v>428</v>
      </c>
      <c r="CDM91" t="s">
        <v>146</v>
      </c>
      <c r="CDN91" t="s">
        <v>145</v>
      </c>
      <c r="CDO91" t="s">
        <v>398</v>
      </c>
      <c r="CDP91">
        <v>1</v>
      </c>
      <c r="CDQ91" t="s">
        <v>436</v>
      </c>
      <c r="CDR91" t="s">
        <v>437</v>
      </c>
      <c r="CDS91" t="s">
        <v>428</v>
      </c>
      <c r="CDU91" t="s">
        <v>146</v>
      </c>
      <c r="CDV91" t="s">
        <v>145</v>
      </c>
      <c r="CDW91" t="s">
        <v>398</v>
      </c>
      <c r="CDX91">
        <v>1</v>
      </c>
      <c r="CDY91" t="s">
        <v>436</v>
      </c>
      <c r="CDZ91" t="s">
        <v>437</v>
      </c>
      <c r="CEA91" t="s">
        <v>428</v>
      </c>
      <c r="CEC91" t="s">
        <v>146</v>
      </c>
      <c r="CED91" t="s">
        <v>145</v>
      </c>
      <c r="CEE91" t="s">
        <v>398</v>
      </c>
      <c r="CEF91">
        <v>1</v>
      </c>
      <c r="CEG91" t="s">
        <v>436</v>
      </c>
      <c r="CEH91" t="s">
        <v>437</v>
      </c>
      <c r="CEI91" t="s">
        <v>428</v>
      </c>
      <c r="CEK91" t="s">
        <v>146</v>
      </c>
      <c r="CEL91" t="s">
        <v>145</v>
      </c>
      <c r="CEM91" t="s">
        <v>398</v>
      </c>
      <c r="CEN91">
        <v>1</v>
      </c>
      <c r="CEO91" t="s">
        <v>436</v>
      </c>
      <c r="CEP91" t="s">
        <v>437</v>
      </c>
      <c r="CEQ91" t="s">
        <v>428</v>
      </c>
      <c r="CES91" t="s">
        <v>146</v>
      </c>
      <c r="CET91" t="s">
        <v>145</v>
      </c>
      <c r="CEU91" t="s">
        <v>398</v>
      </c>
      <c r="CEV91">
        <v>1</v>
      </c>
      <c r="CEW91" t="s">
        <v>436</v>
      </c>
      <c r="CEX91" t="s">
        <v>437</v>
      </c>
      <c r="CEY91" t="s">
        <v>428</v>
      </c>
      <c r="CFA91" t="s">
        <v>146</v>
      </c>
      <c r="CFB91" t="s">
        <v>145</v>
      </c>
      <c r="CFC91" t="s">
        <v>398</v>
      </c>
      <c r="CFD91">
        <v>1</v>
      </c>
      <c r="CFE91" t="s">
        <v>436</v>
      </c>
      <c r="CFF91" t="s">
        <v>437</v>
      </c>
      <c r="CFG91" t="s">
        <v>428</v>
      </c>
      <c r="CFI91" t="s">
        <v>146</v>
      </c>
      <c r="CFJ91" t="s">
        <v>145</v>
      </c>
      <c r="CFK91" t="s">
        <v>398</v>
      </c>
      <c r="CFL91">
        <v>1</v>
      </c>
      <c r="CFM91" t="s">
        <v>436</v>
      </c>
      <c r="CFN91" t="s">
        <v>437</v>
      </c>
      <c r="CFO91" t="s">
        <v>428</v>
      </c>
      <c r="CFQ91" t="s">
        <v>146</v>
      </c>
      <c r="CFR91" t="s">
        <v>145</v>
      </c>
      <c r="CFS91" t="s">
        <v>398</v>
      </c>
      <c r="CFT91">
        <v>1</v>
      </c>
      <c r="CFU91" t="s">
        <v>436</v>
      </c>
      <c r="CFV91" t="s">
        <v>437</v>
      </c>
      <c r="CFW91" t="s">
        <v>428</v>
      </c>
      <c r="CFY91" t="s">
        <v>146</v>
      </c>
      <c r="CFZ91" t="s">
        <v>145</v>
      </c>
      <c r="CGA91" t="s">
        <v>398</v>
      </c>
      <c r="CGB91">
        <v>1</v>
      </c>
      <c r="CGC91" t="s">
        <v>436</v>
      </c>
      <c r="CGD91" t="s">
        <v>437</v>
      </c>
      <c r="CGE91" t="s">
        <v>428</v>
      </c>
      <c r="CGG91" t="s">
        <v>146</v>
      </c>
      <c r="CGH91" t="s">
        <v>145</v>
      </c>
      <c r="CGI91" t="s">
        <v>398</v>
      </c>
      <c r="CGJ91">
        <v>1</v>
      </c>
      <c r="CGK91" t="s">
        <v>436</v>
      </c>
      <c r="CGL91" t="s">
        <v>437</v>
      </c>
      <c r="CGM91" t="s">
        <v>428</v>
      </c>
      <c r="CGO91" t="s">
        <v>146</v>
      </c>
      <c r="CGP91" t="s">
        <v>145</v>
      </c>
      <c r="CGQ91" t="s">
        <v>398</v>
      </c>
      <c r="CGR91">
        <v>1</v>
      </c>
      <c r="CGS91" t="s">
        <v>436</v>
      </c>
      <c r="CGT91" t="s">
        <v>437</v>
      </c>
      <c r="CGU91" t="s">
        <v>428</v>
      </c>
      <c r="CGW91" t="s">
        <v>146</v>
      </c>
      <c r="CGX91" t="s">
        <v>145</v>
      </c>
      <c r="CGY91" t="s">
        <v>398</v>
      </c>
      <c r="CGZ91">
        <v>1</v>
      </c>
      <c r="CHA91" t="s">
        <v>436</v>
      </c>
      <c r="CHB91" t="s">
        <v>437</v>
      </c>
      <c r="CHC91" t="s">
        <v>428</v>
      </c>
      <c r="CHE91" t="s">
        <v>146</v>
      </c>
      <c r="CHF91" t="s">
        <v>145</v>
      </c>
      <c r="CHG91" t="s">
        <v>398</v>
      </c>
      <c r="CHH91">
        <v>1</v>
      </c>
      <c r="CHI91" t="s">
        <v>436</v>
      </c>
      <c r="CHJ91" t="s">
        <v>437</v>
      </c>
      <c r="CHK91" t="s">
        <v>428</v>
      </c>
      <c r="CHM91" t="s">
        <v>146</v>
      </c>
      <c r="CHN91" t="s">
        <v>145</v>
      </c>
      <c r="CHO91" t="s">
        <v>398</v>
      </c>
      <c r="CHP91">
        <v>1</v>
      </c>
      <c r="CHQ91" t="s">
        <v>436</v>
      </c>
      <c r="CHR91" t="s">
        <v>437</v>
      </c>
      <c r="CHS91" t="s">
        <v>428</v>
      </c>
      <c r="CHU91" t="s">
        <v>146</v>
      </c>
      <c r="CHV91" t="s">
        <v>145</v>
      </c>
      <c r="CHW91" t="s">
        <v>398</v>
      </c>
      <c r="CHX91">
        <v>1</v>
      </c>
      <c r="CHY91" t="s">
        <v>436</v>
      </c>
      <c r="CHZ91" t="s">
        <v>437</v>
      </c>
      <c r="CIA91" t="s">
        <v>428</v>
      </c>
      <c r="CIC91" t="s">
        <v>146</v>
      </c>
      <c r="CID91" t="s">
        <v>145</v>
      </c>
      <c r="CIE91" t="s">
        <v>398</v>
      </c>
      <c r="CIF91">
        <v>1</v>
      </c>
      <c r="CIG91" t="s">
        <v>436</v>
      </c>
      <c r="CIH91" t="s">
        <v>437</v>
      </c>
      <c r="CII91" t="s">
        <v>428</v>
      </c>
      <c r="CIK91" t="s">
        <v>146</v>
      </c>
      <c r="CIL91" t="s">
        <v>145</v>
      </c>
      <c r="CIM91" t="s">
        <v>398</v>
      </c>
      <c r="CIN91">
        <v>1</v>
      </c>
      <c r="CIO91" t="s">
        <v>436</v>
      </c>
      <c r="CIP91" t="s">
        <v>437</v>
      </c>
      <c r="CIQ91" t="s">
        <v>428</v>
      </c>
      <c r="CIS91" t="s">
        <v>146</v>
      </c>
      <c r="CIT91" t="s">
        <v>145</v>
      </c>
      <c r="CIU91" t="s">
        <v>398</v>
      </c>
      <c r="CIV91">
        <v>1</v>
      </c>
      <c r="CIW91" t="s">
        <v>436</v>
      </c>
      <c r="CIX91" t="s">
        <v>437</v>
      </c>
      <c r="CIY91" t="s">
        <v>428</v>
      </c>
      <c r="CJA91" t="s">
        <v>146</v>
      </c>
      <c r="CJB91" t="s">
        <v>145</v>
      </c>
      <c r="CJC91" t="s">
        <v>398</v>
      </c>
      <c r="CJD91">
        <v>1</v>
      </c>
      <c r="CJE91" t="s">
        <v>436</v>
      </c>
      <c r="CJF91" t="s">
        <v>437</v>
      </c>
      <c r="CJG91" t="s">
        <v>428</v>
      </c>
      <c r="CJI91" t="s">
        <v>146</v>
      </c>
      <c r="CJJ91" t="s">
        <v>145</v>
      </c>
      <c r="CJK91" t="s">
        <v>398</v>
      </c>
      <c r="CJL91">
        <v>1</v>
      </c>
      <c r="CJM91" t="s">
        <v>436</v>
      </c>
      <c r="CJN91" t="s">
        <v>437</v>
      </c>
      <c r="CJO91" t="s">
        <v>428</v>
      </c>
      <c r="CJQ91" t="s">
        <v>146</v>
      </c>
      <c r="CJR91" t="s">
        <v>145</v>
      </c>
      <c r="CJS91" t="s">
        <v>398</v>
      </c>
      <c r="CJT91">
        <v>1</v>
      </c>
      <c r="CJU91" t="s">
        <v>436</v>
      </c>
      <c r="CJV91" t="s">
        <v>437</v>
      </c>
      <c r="CJW91" t="s">
        <v>428</v>
      </c>
      <c r="CJY91" t="s">
        <v>146</v>
      </c>
      <c r="CJZ91" t="s">
        <v>145</v>
      </c>
      <c r="CKA91" t="s">
        <v>398</v>
      </c>
      <c r="CKB91">
        <v>1</v>
      </c>
      <c r="CKC91" t="s">
        <v>436</v>
      </c>
      <c r="CKD91" t="s">
        <v>437</v>
      </c>
      <c r="CKE91" t="s">
        <v>428</v>
      </c>
      <c r="CKG91" t="s">
        <v>146</v>
      </c>
      <c r="CKH91" t="s">
        <v>145</v>
      </c>
      <c r="CKI91" t="s">
        <v>398</v>
      </c>
      <c r="CKJ91">
        <v>1</v>
      </c>
      <c r="CKK91" t="s">
        <v>436</v>
      </c>
      <c r="CKL91" t="s">
        <v>437</v>
      </c>
      <c r="CKM91" t="s">
        <v>428</v>
      </c>
      <c r="CKO91" t="s">
        <v>146</v>
      </c>
      <c r="CKP91" t="s">
        <v>145</v>
      </c>
      <c r="CKQ91" t="s">
        <v>398</v>
      </c>
      <c r="CKR91">
        <v>1</v>
      </c>
      <c r="CKS91" t="s">
        <v>436</v>
      </c>
      <c r="CKT91" t="s">
        <v>437</v>
      </c>
      <c r="CKU91" t="s">
        <v>428</v>
      </c>
      <c r="CKW91" t="s">
        <v>146</v>
      </c>
      <c r="CKX91" t="s">
        <v>145</v>
      </c>
      <c r="CKY91" t="s">
        <v>398</v>
      </c>
      <c r="CKZ91">
        <v>1</v>
      </c>
      <c r="CLA91" t="s">
        <v>436</v>
      </c>
      <c r="CLB91" t="s">
        <v>437</v>
      </c>
      <c r="CLC91" t="s">
        <v>428</v>
      </c>
      <c r="CLE91" t="s">
        <v>146</v>
      </c>
      <c r="CLF91" t="s">
        <v>145</v>
      </c>
      <c r="CLG91" t="s">
        <v>398</v>
      </c>
      <c r="CLH91">
        <v>1</v>
      </c>
      <c r="CLI91" t="s">
        <v>436</v>
      </c>
      <c r="CLJ91" t="s">
        <v>437</v>
      </c>
      <c r="CLK91" t="s">
        <v>428</v>
      </c>
      <c r="CLM91" t="s">
        <v>146</v>
      </c>
      <c r="CLN91" t="s">
        <v>145</v>
      </c>
      <c r="CLO91" t="s">
        <v>398</v>
      </c>
      <c r="CLP91">
        <v>1</v>
      </c>
      <c r="CLQ91" t="s">
        <v>436</v>
      </c>
      <c r="CLR91" t="s">
        <v>437</v>
      </c>
      <c r="CLS91" t="s">
        <v>428</v>
      </c>
      <c r="CLU91" t="s">
        <v>146</v>
      </c>
      <c r="CLV91" t="s">
        <v>145</v>
      </c>
      <c r="CLW91" t="s">
        <v>398</v>
      </c>
      <c r="CLX91">
        <v>1</v>
      </c>
      <c r="CLY91" t="s">
        <v>436</v>
      </c>
      <c r="CLZ91" t="s">
        <v>437</v>
      </c>
      <c r="CMA91" t="s">
        <v>428</v>
      </c>
      <c r="CMC91" t="s">
        <v>146</v>
      </c>
      <c r="CMD91" t="s">
        <v>145</v>
      </c>
      <c r="CME91" t="s">
        <v>398</v>
      </c>
      <c r="CMF91">
        <v>1</v>
      </c>
      <c r="CMG91" t="s">
        <v>436</v>
      </c>
      <c r="CMH91" t="s">
        <v>437</v>
      </c>
      <c r="CMI91" t="s">
        <v>428</v>
      </c>
      <c r="CMK91" t="s">
        <v>146</v>
      </c>
      <c r="CML91" t="s">
        <v>145</v>
      </c>
      <c r="CMM91" t="s">
        <v>398</v>
      </c>
      <c r="CMN91">
        <v>1</v>
      </c>
      <c r="CMO91" t="s">
        <v>436</v>
      </c>
      <c r="CMP91" t="s">
        <v>437</v>
      </c>
      <c r="CMQ91" t="s">
        <v>428</v>
      </c>
      <c r="CMS91" t="s">
        <v>146</v>
      </c>
      <c r="CMT91" t="s">
        <v>145</v>
      </c>
      <c r="CMU91" t="s">
        <v>398</v>
      </c>
      <c r="CMV91">
        <v>1</v>
      </c>
      <c r="CMW91" t="s">
        <v>436</v>
      </c>
      <c r="CMX91" t="s">
        <v>437</v>
      </c>
      <c r="CMY91" t="s">
        <v>428</v>
      </c>
      <c r="CNA91" t="s">
        <v>146</v>
      </c>
      <c r="CNB91" t="s">
        <v>145</v>
      </c>
      <c r="CNC91" t="s">
        <v>398</v>
      </c>
      <c r="CND91">
        <v>1</v>
      </c>
      <c r="CNE91" t="s">
        <v>436</v>
      </c>
      <c r="CNF91" t="s">
        <v>437</v>
      </c>
      <c r="CNG91" t="s">
        <v>428</v>
      </c>
      <c r="CNI91" t="s">
        <v>146</v>
      </c>
      <c r="CNJ91" t="s">
        <v>145</v>
      </c>
      <c r="CNK91" t="s">
        <v>398</v>
      </c>
      <c r="CNL91">
        <v>1</v>
      </c>
      <c r="CNM91" t="s">
        <v>436</v>
      </c>
      <c r="CNN91" t="s">
        <v>437</v>
      </c>
      <c r="CNO91" t="s">
        <v>428</v>
      </c>
      <c r="CNQ91" t="s">
        <v>146</v>
      </c>
      <c r="CNR91" t="s">
        <v>145</v>
      </c>
      <c r="CNS91" t="s">
        <v>398</v>
      </c>
      <c r="CNT91">
        <v>1</v>
      </c>
      <c r="CNU91" t="s">
        <v>436</v>
      </c>
      <c r="CNV91" t="s">
        <v>437</v>
      </c>
      <c r="CNW91" t="s">
        <v>428</v>
      </c>
      <c r="CNY91" t="s">
        <v>146</v>
      </c>
      <c r="CNZ91" t="s">
        <v>145</v>
      </c>
      <c r="COA91" t="s">
        <v>398</v>
      </c>
      <c r="COB91">
        <v>1</v>
      </c>
      <c r="COC91" t="s">
        <v>436</v>
      </c>
      <c r="COD91" t="s">
        <v>437</v>
      </c>
      <c r="COE91" t="s">
        <v>428</v>
      </c>
      <c r="COG91" t="s">
        <v>146</v>
      </c>
      <c r="COH91" t="s">
        <v>145</v>
      </c>
      <c r="COI91" t="s">
        <v>398</v>
      </c>
      <c r="COJ91">
        <v>1</v>
      </c>
      <c r="COK91" t="s">
        <v>436</v>
      </c>
      <c r="COL91" t="s">
        <v>437</v>
      </c>
      <c r="COM91" t="s">
        <v>428</v>
      </c>
      <c r="COO91" t="s">
        <v>146</v>
      </c>
      <c r="COP91" t="s">
        <v>145</v>
      </c>
      <c r="COQ91" t="s">
        <v>398</v>
      </c>
      <c r="COR91">
        <v>1</v>
      </c>
      <c r="COS91" t="s">
        <v>436</v>
      </c>
      <c r="COT91" t="s">
        <v>437</v>
      </c>
      <c r="COU91" t="s">
        <v>428</v>
      </c>
      <c r="COW91" t="s">
        <v>146</v>
      </c>
      <c r="COX91" t="s">
        <v>145</v>
      </c>
      <c r="COY91" t="s">
        <v>398</v>
      </c>
      <c r="COZ91">
        <v>1</v>
      </c>
      <c r="CPA91" t="s">
        <v>436</v>
      </c>
      <c r="CPB91" t="s">
        <v>437</v>
      </c>
      <c r="CPC91" t="s">
        <v>428</v>
      </c>
      <c r="CPE91" t="s">
        <v>146</v>
      </c>
      <c r="CPF91" t="s">
        <v>145</v>
      </c>
      <c r="CPG91" t="s">
        <v>398</v>
      </c>
      <c r="CPH91">
        <v>1</v>
      </c>
      <c r="CPI91" t="s">
        <v>436</v>
      </c>
      <c r="CPJ91" t="s">
        <v>437</v>
      </c>
      <c r="CPK91" t="s">
        <v>428</v>
      </c>
      <c r="CPM91" t="s">
        <v>146</v>
      </c>
      <c r="CPN91" t="s">
        <v>145</v>
      </c>
      <c r="CPO91" t="s">
        <v>398</v>
      </c>
      <c r="CPP91">
        <v>1</v>
      </c>
      <c r="CPQ91" t="s">
        <v>436</v>
      </c>
      <c r="CPR91" t="s">
        <v>437</v>
      </c>
      <c r="CPS91" t="s">
        <v>428</v>
      </c>
      <c r="CPU91" t="s">
        <v>146</v>
      </c>
      <c r="CPV91" t="s">
        <v>145</v>
      </c>
      <c r="CPW91" t="s">
        <v>398</v>
      </c>
      <c r="CPX91">
        <v>1</v>
      </c>
      <c r="CPY91" t="s">
        <v>436</v>
      </c>
      <c r="CPZ91" t="s">
        <v>437</v>
      </c>
      <c r="CQA91" t="s">
        <v>428</v>
      </c>
      <c r="CQC91" t="s">
        <v>146</v>
      </c>
      <c r="CQD91" t="s">
        <v>145</v>
      </c>
      <c r="CQE91" t="s">
        <v>398</v>
      </c>
      <c r="CQF91">
        <v>1</v>
      </c>
      <c r="CQG91" t="s">
        <v>436</v>
      </c>
      <c r="CQH91" t="s">
        <v>437</v>
      </c>
      <c r="CQI91" t="s">
        <v>428</v>
      </c>
      <c r="CQK91" t="s">
        <v>146</v>
      </c>
      <c r="CQL91" t="s">
        <v>145</v>
      </c>
      <c r="CQM91" t="s">
        <v>398</v>
      </c>
      <c r="CQN91">
        <v>1</v>
      </c>
      <c r="CQO91" t="s">
        <v>436</v>
      </c>
      <c r="CQP91" t="s">
        <v>437</v>
      </c>
      <c r="CQQ91" t="s">
        <v>428</v>
      </c>
      <c r="CQS91" t="s">
        <v>146</v>
      </c>
      <c r="CQT91" t="s">
        <v>145</v>
      </c>
      <c r="CQU91" t="s">
        <v>398</v>
      </c>
      <c r="CQV91">
        <v>1</v>
      </c>
      <c r="CQW91" t="s">
        <v>436</v>
      </c>
      <c r="CQX91" t="s">
        <v>437</v>
      </c>
      <c r="CQY91" t="s">
        <v>428</v>
      </c>
      <c r="CRA91" t="s">
        <v>146</v>
      </c>
      <c r="CRB91" t="s">
        <v>145</v>
      </c>
      <c r="CRC91" t="s">
        <v>398</v>
      </c>
      <c r="CRD91">
        <v>1</v>
      </c>
      <c r="CRE91" t="s">
        <v>436</v>
      </c>
      <c r="CRF91" t="s">
        <v>437</v>
      </c>
      <c r="CRG91" t="s">
        <v>428</v>
      </c>
      <c r="CRI91" t="s">
        <v>146</v>
      </c>
      <c r="CRJ91" t="s">
        <v>145</v>
      </c>
      <c r="CRK91" t="s">
        <v>398</v>
      </c>
      <c r="CRL91">
        <v>1</v>
      </c>
      <c r="CRM91" t="s">
        <v>436</v>
      </c>
      <c r="CRN91" t="s">
        <v>437</v>
      </c>
      <c r="CRO91" t="s">
        <v>428</v>
      </c>
      <c r="CRQ91" t="s">
        <v>146</v>
      </c>
      <c r="CRR91" t="s">
        <v>145</v>
      </c>
      <c r="CRS91" t="s">
        <v>398</v>
      </c>
      <c r="CRT91">
        <v>1</v>
      </c>
      <c r="CRU91" t="s">
        <v>436</v>
      </c>
      <c r="CRV91" t="s">
        <v>437</v>
      </c>
      <c r="CRW91" t="s">
        <v>428</v>
      </c>
      <c r="CRY91" t="s">
        <v>146</v>
      </c>
      <c r="CRZ91" t="s">
        <v>145</v>
      </c>
      <c r="CSA91" t="s">
        <v>398</v>
      </c>
      <c r="CSB91">
        <v>1</v>
      </c>
      <c r="CSC91" t="s">
        <v>436</v>
      </c>
      <c r="CSD91" t="s">
        <v>437</v>
      </c>
      <c r="CSE91" t="s">
        <v>428</v>
      </c>
      <c r="CSG91" t="s">
        <v>146</v>
      </c>
      <c r="CSH91" t="s">
        <v>145</v>
      </c>
      <c r="CSI91" t="s">
        <v>398</v>
      </c>
      <c r="CSJ91">
        <v>1</v>
      </c>
      <c r="CSK91" t="s">
        <v>436</v>
      </c>
      <c r="CSL91" t="s">
        <v>437</v>
      </c>
      <c r="CSM91" t="s">
        <v>428</v>
      </c>
      <c r="CSO91" t="s">
        <v>146</v>
      </c>
      <c r="CSP91" t="s">
        <v>145</v>
      </c>
      <c r="CSQ91" t="s">
        <v>398</v>
      </c>
      <c r="CSR91">
        <v>1</v>
      </c>
      <c r="CSS91" t="s">
        <v>436</v>
      </c>
      <c r="CST91" t="s">
        <v>437</v>
      </c>
      <c r="CSU91" t="s">
        <v>428</v>
      </c>
      <c r="CSW91" t="s">
        <v>146</v>
      </c>
      <c r="CSX91" t="s">
        <v>145</v>
      </c>
      <c r="CSY91" t="s">
        <v>398</v>
      </c>
      <c r="CSZ91">
        <v>1</v>
      </c>
      <c r="CTA91" t="s">
        <v>436</v>
      </c>
      <c r="CTB91" t="s">
        <v>437</v>
      </c>
      <c r="CTC91" t="s">
        <v>428</v>
      </c>
      <c r="CTE91" t="s">
        <v>146</v>
      </c>
      <c r="CTF91" t="s">
        <v>145</v>
      </c>
      <c r="CTG91" t="s">
        <v>398</v>
      </c>
      <c r="CTH91">
        <v>1</v>
      </c>
      <c r="CTI91" t="s">
        <v>436</v>
      </c>
      <c r="CTJ91" t="s">
        <v>437</v>
      </c>
      <c r="CTK91" t="s">
        <v>428</v>
      </c>
      <c r="CTM91" t="s">
        <v>146</v>
      </c>
      <c r="CTN91" t="s">
        <v>145</v>
      </c>
      <c r="CTO91" t="s">
        <v>398</v>
      </c>
      <c r="CTP91">
        <v>1</v>
      </c>
      <c r="CTQ91" t="s">
        <v>436</v>
      </c>
      <c r="CTR91" t="s">
        <v>437</v>
      </c>
      <c r="CTS91" t="s">
        <v>428</v>
      </c>
      <c r="CTU91" t="s">
        <v>146</v>
      </c>
      <c r="CTV91" t="s">
        <v>145</v>
      </c>
      <c r="CTW91" t="s">
        <v>398</v>
      </c>
      <c r="CTX91">
        <v>1</v>
      </c>
      <c r="CTY91" t="s">
        <v>436</v>
      </c>
      <c r="CTZ91" t="s">
        <v>437</v>
      </c>
      <c r="CUA91" t="s">
        <v>428</v>
      </c>
      <c r="CUC91" t="s">
        <v>146</v>
      </c>
      <c r="CUD91" t="s">
        <v>145</v>
      </c>
      <c r="CUE91" t="s">
        <v>398</v>
      </c>
      <c r="CUF91">
        <v>1</v>
      </c>
      <c r="CUG91" t="s">
        <v>436</v>
      </c>
      <c r="CUH91" t="s">
        <v>437</v>
      </c>
      <c r="CUI91" t="s">
        <v>428</v>
      </c>
      <c r="CUK91" t="s">
        <v>146</v>
      </c>
      <c r="CUL91" t="s">
        <v>145</v>
      </c>
      <c r="CUM91" t="s">
        <v>398</v>
      </c>
      <c r="CUN91">
        <v>1</v>
      </c>
      <c r="CUO91" t="s">
        <v>436</v>
      </c>
      <c r="CUP91" t="s">
        <v>437</v>
      </c>
      <c r="CUQ91" t="s">
        <v>428</v>
      </c>
      <c r="CUS91" t="s">
        <v>146</v>
      </c>
      <c r="CUT91" t="s">
        <v>145</v>
      </c>
      <c r="CUU91" t="s">
        <v>398</v>
      </c>
      <c r="CUV91">
        <v>1</v>
      </c>
      <c r="CUW91" t="s">
        <v>436</v>
      </c>
      <c r="CUX91" t="s">
        <v>437</v>
      </c>
      <c r="CUY91" t="s">
        <v>428</v>
      </c>
      <c r="CVA91" t="s">
        <v>146</v>
      </c>
      <c r="CVB91" t="s">
        <v>145</v>
      </c>
      <c r="CVC91" t="s">
        <v>398</v>
      </c>
      <c r="CVD91">
        <v>1</v>
      </c>
      <c r="CVE91" t="s">
        <v>436</v>
      </c>
      <c r="CVF91" t="s">
        <v>437</v>
      </c>
      <c r="CVG91" t="s">
        <v>428</v>
      </c>
      <c r="CVI91" t="s">
        <v>146</v>
      </c>
      <c r="CVJ91" t="s">
        <v>145</v>
      </c>
      <c r="CVK91" t="s">
        <v>398</v>
      </c>
      <c r="CVL91">
        <v>1</v>
      </c>
      <c r="CVM91" t="s">
        <v>436</v>
      </c>
      <c r="CVN91" t="s">
        <v>437</v>
      </c>
      <c r="CVO91" t="s">
        <v>428</v>
      </c>
      <c r="CVQ91" t="s">
        <v>146</v>
      </c>
      <c r="CVR91" t="s">
        <v>145</v>
      </c>
      <c r="CVS91" t="s">
        <v>398</v>
      </c>
      <c r="CVT91">
        <v>1</v>
      </c>
      <c r="CVU91" t="s">
        <v>436</v>
      </c>
      <c r="CVV91" t="s">
        <v>437</v>
      </c>
      <c r="CVW91" t="s">
        <v>428</v>
      </c>
      <c r="CVY91" t="s">
        <v>146</v>
      </c>
      <c r="CVZ91" t="s">
        <v>145</v>
      </c>
      <c r="CWA91" t="s">
        <v>398</v>
      </c>
      <c r="CWB91">
        <v>1</v>
      </c>
      <c r="CWC91" t="s">
        <v>436</v>
      </c>
      <c r="CWD91" t="s">
        <v>437</v>
      </c>
      <c r="CWE91" t="s">
        <v>428</v>
      </c>
      <c r="CWG91" t="s">
        <v>146</v>
      </c>
      <c r="CWH91" t="s">
        <v>145</v>
      </c>
      <c r="CWI91" t="s">
        <v>398</v>
      </c>
      <c r="CWJ91">
        <v>1</v>
      </c>
      <c r="CWK91" t="s">
        <v>436</v>
      </c>
      <c r="CWL91" t="s">
        <v>437</v>
      </c>
      <c r="CWM91" t="s">
        <v>428</v>
      </c>
      <c r="CWO91" t="s">
        <v>146</v>
      </c>
      <c r="CWP91" t="s">
        <v>145</v>
      </c>
      <c r="CWQ91" t="s">
        <v>398</v>
      </c>
      <c r="CWR91">
        <v>1</v>
      </c>
      <c r="CWS91" t="s">
        <v>436</v>
      </c>
      <c r="CWT91" t="s">
        <v>437</v>
      </c>
      <c r="CWU91" t="s">
        <v>428</v>
      </c>
      <c r="CWW91" t="s">
        <v>146</v>
      </c>
      <c r="CWX91" t="s">
        <v>145</v>
      </c>
      <c r="CWY91" t="s">
        <v>398</v>
      </c>
      <c r="CWZ91">
        <v>1</v>
      </c>
      <c r="CXA91" t="s">
        <v>436</v>
      </c>
      <c r="CXB91" t="s">
        <v>437</v>
      </c>
      <c r="CXC91" t="s">
        <v>428</v>
      </c>
      <c r="CXE91" t="s">
        <v>146</v>
      </c>
      <c r="CXF91" t="s">
        <v>145</v>
      </c>
      <c r="CXG91" t="s">
        <v>398</v>
      </c>
      <c r="CXH91">
        <v>1</v>
      </c>
      <c r="CXI91" t="s">
        <v>436</v>
      </c>
      <c r="CXJ91" t="s">
        <v>437</v>
      </c>
      <c r="CXK91" t="s">
        <v>428</v>
      </c>
      <c r="CXM91" t="s">
        <v>146</v>
      </c>
      <c r="CXN91" t="s">
        <v>145</v>
      </c>
      <c r="CXO91" t="s">
        <v>398</v>
      </c>
      <c r="CXP91">
        <v>1</v>
      </c>
      <c r="CXQ91" t="s">
        <v>436</v>
      </c>
      <c r="CXR91" t="s">
        <v>437</v>
      </c>
      <c r="CXS91" t="s">
        <v>428</v>
      </c>
      <c r="CXU91" t="s">
        <v>146</v>
      </c>
      <c r="CXV91" t="s">
        <v>145</v>
      </c>
      <c r="CXW91" t="s">
        <v>398</v>
      </c>
      <c r="CXX91">
        <v>1</v>
      </c>
      <c r="CXY91" t="s">
        <v>436</v>
      </c>
      <c r="CXZ91" t="s">
        <v>437</v>
      </c>
      <c r="CYA91" t="s">
        <v>428</v>
      </c>
      <c r="CYC91" t="s">
        <v>146</v>
      </c>
      <c r="CYD91" t="s">
        <v>145</v>
      </c>
      <c r="CYE91" t="s">
        <v>398</v>
      </c>
      <c r="CYF91">
        <v>1</v>
      </c>
      <c r="CYG91" t="s">
        <v>436</v>
      </c>
      <c r="CYH91" t="s">
        <v>437</v>
      </c>
      <c r="CYI91" t="s">
        <v>428</v>
      </c>
      <c r="CYK91" t="s">
        <v>146</v>
      </c>
      <c r="CYL91" t="s">
        <v>145</v>
      </c>
      <c r="CYM91" t="s">
        <v>398</v>
      </c>
      <c r="CYN91">
        <v>1</v>
      </c>
      <c r="CYO91" t="s">
        <v>436</v>
      </c>
      <c r="CYP91" t="s">
        <v>437</v>
      </c>
      <c r="CYQ91" t="s">
        <v>428</v>
      </c>
      <c r="CYS91" t="s">
        <v>146</v>
      </c>
      <c r="CYT91" t="s">
        <v>145</v>
      </c>
      <c r="CYU91" t="s">
        <v>398</v>
      </c>
      <c r="CYV91">
        <v>1</v>
      </c>
      <c r="CYW91" t="s">
        <v>436</v>
      </c>
      <c r="CYX91" t="s">
        <v>437</v>
      </c>
      <c r="CYY91" t="s">
        <v>428</v>
      </c>
      <c r="CZA91" t="s">
        <v>146</v>
      </c>
      <c r="CZB91" t="s">
        <v>145</v>
      </c>
      <c r="CZC91" t="s">
        <v>398</v>
      </c>
      <c r="CZD91">
        <v>1</v>
      </c>
      <c r="CZE91" t="s">
        <v>436</v>
      </c>
      <c r="CZF91" t="s">
        <v>437</v>
      </c>
      <c r="CZG91" t="s">
        <v>428</v>
      </c>
      <c r="CZI91" t="s">
        <v>146</v>
      </c>
      <c r="CZJ91" t="s">
        <v>145</v>
      </c>
      <c r="CZK91" t="s">
        <v>398</v>
      </c>
      <c r="CZL91">
        <v>1</v>
      </c>
      <c r="CZM91" t="s">
        <v>436</v>
      </c>
      <c r="CZN91" t="s">
        <v>437</v>
      </c>
      <c r="CZO91" t="s">
        <v>428</v>
      </c>
      <c r="CZQ91" t="s">
        <v>146</v>
      </c>
      <c r="CZR91" t="s">
        <v>145</v>
      </c>
      <c r="CZS91" t="s">
        <v>398</v>
      </c>
      <c r="CZT91">
        <v>1</v>
      </c>
      <c r="CZU91" t="s">
        <v>436</v>
      </c>
      <c r="CZV91" t="s">
        <v>437</v>
      </c>
      <c r="CZW91" t="s">
        <v>428</v>
      </c>
      <c r="CZY91" t="s">
        <v>146</v>
      </c>
      <c r="CZZ91" t="s">
        <v>145</v>
      </c>
      <c r="DAA91" t="s">
        <v>398</v>
      </c>
      <c r="DAB91">
        <v>1</v>
      </c>
      <c r="DAC91" t="s">
        <v>436</v>
      </c>
      <c r="DAD91" t="s">
        <v>437</v>
      </c>
      <c r="DAE91" t="s">
        <v>428</v>
      </c>
      <c r="DAG91" t="s">
        <v>146</v>
      </c>
      <c r="DAH91" t="s">
        <v>145</v>
      </c>
      <c r="DAI91" t="s">
        <v>398</v>
      </c>
      <c r="DAJ91">
        <v>1</v>
      </c>
      <c r="DAK91" t="s">
        <v>436</v>
      </c>
      <c r="DAL91" t="s">
        <v>437</v>
      </c>
      <c r="DAM91" t="s">
        <v>428</v>
      </c>
      <c r="DAO91" t="s">
        <v>146</v>
      </c>
      <c r="DAP91" t="s">
        <v>145</v>
      </c>
      <c r="DAQ91" t="s">
        <v>398</v>
      </c>
      <c r="DAR91">
        <v>1</v>
      </c>
      <c r="DAS91" t="s">
        <v>436</v>
      </c>
      <c r="DAT91" t="s">
        <v>437</v>
      </c>
      <c r="DAU91" t="s">
        <v>428</v>
      </c>
      <c r="DAW91" t="s">
        <v>146</v>
      </c>
      <c r="DAX91" t="s">
        <v>145</v>
      </c>
      <c r="DAY91" t="s">
        <v>398</v>
      </c>
      <c r="DAZ91">
        <v>1</v>
      </c>
      <c r="DBA91" t="s">
        <v>436</v>
      </c>
      <c r="DBB91" t="s">
        <v>437</v>
      </c>
      <c r="DBC91" t="s">
        <v>428</v>
      </c>
      <c r="DBE91" t="s">
        <v>146</v>
      </c>
      <c r="DBF91" t="s">
        <v>145</v>
      </c>
      <c r="DBG91" t="s">
        <v>398</v>
      </c>
      <c r="DBH91">
        <v>1</v>
      </c>
      <c r="DBI91" t="s">
        <v>436</v>
      </c>
      <c r="DBJ91" t="s">
        <v>437</v>
      </c>
      <c r="DBK91" t="s">
        <v>428</v>
      </c>
      <c r="DBM91" t="s">
        <v>146</v>
      </c>
      <c r="DBN91" t="s">
        <v>145</v>
      </c>
      <c r="DBO91" t="s">
        <v>398</v>
      </c>
      <c r="DBP91">
        <v>1</v>
      </c>
      <c r="DBQ91" t="s">
        <v>436</v>
      </c>
      <c r="DBR91" t="s">
        <v>437</v>
      </c>
      <c r="DBS91" t="s">
        <v>428</v>
      </c>
      <c r="DBU91" t="s">
        <v>146</v>
      </c>
      <c r="DBV91" t="s">
        <v>145</v>
      </c>
      <c r="DBW91" t="s">
        <v>398</v>
      </c>
      <c r="DBX91">
        <v>1</v>
      </c>
      <c r="DBY91" t="s">
        <v>436</v>
      </c>
      <c r="DBZ91" t="s">
        <v>437</v>
      </c>
      <c r="DCA91" t="s">
        <v>428</v>
      </c>
      <c r="DCC91" t="s">
        <v>146</v>
      </c>
      <c r="DCD91" t="s">
        <v>145</v>
      </c>
      <c r="DCE91" t="s">
        <v>398</v>
      </c>
      <c r="DCF91">
        <v>1</v>
      </c>
      <c r="DCG91" t="s">
        <v>436</v>
      </c>
      <c r="DCH91" t="s">
        <v>437</v>
      </c>
      <c r="DCI91" t="s">
        <v>428</v>
      </c>
      <c r="DCK91" t="s">
        <v>146</v>
      </c>
      <c r="DCL91" t="s">
        <v>145</v>
      </c>
      <c r="DCM91" t="s">
        <v>398</v>
      </c>
      <c r="DCN91">
        <v>1</v>
      </c>
      <c r="DCO91" t="s">
        <v>436</v>
      </c>
      <c r="DCP91" t="s">
        <v>437</v>
      </c>
      <c r="DCQ91" t="s">
        <v>428</v>
      </c>
      <c r="DCS91" t="s">
        <v>146</v>
      </c>
      <c r="DCT91" t="s">
        <v>145</v>
      </c>
      <c r="DCU91" t="s">
        <v>398</v>
      </c>
      <c r="DCV91">
        <v>1</v>
      </c>
      <c r="DCW91" t="s">
        <v>436</v>
      </c>
      <c r="DCX91" t="s">
        <v>437</v>
      </c>
      <c r="DCY91" t="s">
        <v>428</v>
      </c>
      <c r="DDA91" t="s">
        <v>146</v>
      </c>
      <c r="DDB91" t="s">
        <v>145</v>
      </c>
      <c r="DDC91" t="s">
        <v>398</v>
      </c>
      <c r="DDD91">
        <v>1</v>
      </c>
      <c r="DDE91" t="s">
        <v>436</v>
      </c>
      <c r="DDF91" t="s">
        <v>437</v>
      </c>
      <c r="DDG91" t="s">
        <v>428</v>
      </c>
      <c r="DDI91" t="s">
        <v>146</v>
      </c>
      <c r="DDJ91" t="s">
        <v>145</v>
      </c>
      <c r="DDK91" t="s">
        <v>398</v>
      </c>
      <c r="DDL91">
        <v>1</v>
      </c>
      <c r="DDM91" t="s">
        <v>436</v>
      </c>
      <c r="DDN91" t="s">
        <v>437</v>
      </c>
      <c r="DDO91" t="s">
        <v>428</v>
      </c>
      <c r="DDQ91" t="s">
        <v>146</v>
      </c>
      <c r="DDR91" t="s">
        <v>145</v>
      </c>
      <c r="DDS91" t="s">
        <v>398</v>
      </c>
      <c r="DDT91">
        <v>1</v>
      </c>
      <c r="DDU91" t="s">
        <v>436</v>
      </c>
      <c r="DDV91" t="s">
        <v>437</v>
      </c>
      <c r="DDW91" t="s">
        <v>428</v>
      </c>
      <c r="DDY91" t="s">
        <v>146</v>
      </c>
      <c r="DDZ91" t="s">
        <v>145</v>
      </c>
      <c r="DEA91" t="s">
        <v>398</v>
      </c>
      <c r="DEB91">
        <v>1</v>
      </c>
      <c r="DEC91" t="s">
        <v>436</v>
      </c>
      <c r="DED91" t="s">
        <v>437</v>
      </c>
      <c r="DEE91" t="s">
        <v>428</v>
      </c>
      <c r="DEG91" t="s">
        <v>146</v>
      </c>
      <c r="DEH91" t="s">
        <v>145</v>
      </c>
      <c r="DEI91" t="s">
        <v>398</v>
      </c>
      <c r="DEJ91">
        <v>1</v>
      </c>
      <c r="DEK91" t="s">
        <v>436</v>
      </c>
      <c r="DEL91" t="s">
        <v>437</v>
      </c>
      <c r="DEM91" t="s">
        <v>428</v>
      </c>
      <c r="DEO91" t="s">
        <v>146</v>
      </c>
      <c r="DEP91" t="s">
        <v>145</v>
      </c>
      <c r="DEQ91" t="s">
        <v>398</v>
      </c>
      <c r="DER91">
        <v>1</v>
      </c>
      <c r="DES91" t="s">
        <v>436</v>
      </c>
      <c r="DET91" t="s">
        <v>437</v>
      </c>
      <c r="DEU91" t="s">
        <v>428</v>
      </c>
      <c r="DEW91" t="s">
        <v>146</v>
      </c>
      <c r="DEX91" t="s">
        <v>145</v>
      </c>
      <c r="DEY91" t="s">
        <v>398</v>
      </c>
      <c r="DEZ91">
        <v>1</v>
      </c>
      <c r="DFA91" t="s">
        <v>436</v>
      </c>
      <c r="DFB91" t="s">
        <v>437</v>
      </c>
      <c r="DFC91" t="s">
        <v>428</v>
      </c>
      <c r="DFE91" t="s">
        <v>146</v>
      </c>
      <c r="DFF91" t="s">
        <v>145</v>
      </c>
      <c r="DFG91" t="s">
        <v>398</v>
      </c>
      <c r="DFH91">
        <v>1</v>
      </c>
      <c r="DFI91" t="s">
        <v>436</v>
      </c>
      <c r="DFJ91" t="s">
        <v>437</v>
      </c>
      <c r="DFK91" t="s">
        <v>428</v>
      </c>
      <c r="DFM91" t="s">
        <v>146</v>
      </c>
      <c r="DFN91" t="s">
        <v>145</v>
      </c>
      <c r="DFO91" t="s">
        <v>398</v>
      </c>
      <c r="DFP91">
        <v>1</v>
      </c>
      <c r="DFQ91" t="s">
        <v>436</v>
      </c>
      <c r="DFR91" t="s">
        <v>437</v>
      </c>
      <c r="DFS91" t="s">
        <v>428</v>
      </c>
      <c r="DFU91" t="s">
        <v>146</v>
      </c>
      <c r="DFV91" t="s">
        <v>145</v>
      </c>
      <c r="DFW91" t="s">
        <v>398</v>
      </c>
      <c r="DFX91">
        <v>1</v>
      </c>
      <c r="DFY91" t="s">
        <v>436</v>
      </c>
      <c r="DFZ91" t="s">
        <v>437</v>
      </c>
      <c r="DGA91" t="s">
        <v>428</v>
      </c>
      <c r="DGC91" t="s">
        <v>146</v>
      </c>
      <c r="DGD91" t="s">
        <v>145</v>
      </c>
      <c r="DGE91" t="s">
        <v>398</v>
      </c>
      <c r="DGF91">
        <v>1</v>
      </c>
      <c r="DGG91" t="s">
        <v>436</v>
      </c>
      <c r="DGH91" t="s">
        <v>437</v>
      </c>
      <c r="DGI91" t="s">
        <v>428</v>
      </c>
      <c r="DGK91" t="s">
        <v>146</v>
      </c>
      <c r="DGL91" t="s">
        <v>145</v>
      </c>
      <c r="DGM91" t="s">
        <v>398</v>
      </c>
      <c r="DGN91">
        <v>1</v>
      </c>
      <c r="DGO91" t="s">
        <v>436</v>
      </c>
      <c r="DGP91" t="s">
        <v>437</v>
      </c>
      <c r="DGQ91" t="s">
        <v>428</v>
      </c>
      <c r="DGS91" t="s">
        <v>146</v>
      </c>
      <c r="DGT91" t="s">
        <v>145</v>
      </c>
      <c r="DGU91" t="s">
        <v>398</v>
      </c>
      <c r="DGV91">
        <v>1</v>
      </c>
      <c r="DGW91" t="s">
        <v>436</v>
      </c>
      <c r="DGX91" t="s">
        <v>437</v>
      </c>
      <c r="DGY91" t="s">
        <v>428</v>
      </c>
      <c r="DHA91" t="s">
        <v>146</v>
      </c>
      <c r="DHB91" t="s">
        <v>145</v>
      </c>
      <c r="DHC91" t="s">
        <v>398</v>
      </c>
      <c r="DHD91">
        <v>1</v>
      </c>
      <c r="DHE91" t="s">
        <v>436</v>
      </c>
      <c r="DHF91" t="s">
        <v>437</v>
      </c>
      <c r="DHG91" t="s">
        <v>428</v>
      </c>
      <c r="DHI91" t="s">
        <v>146</v>
      </c>
      <c r="DHJ91" t="s">
        <v>145</v>
      </c>
      <c r="DHK91" t="s">
        <v>398</v>
      </c>
      <c r="DHL91">
        <v>1</v>
      </c>
      <c r="DHM91" t="s">
        <v>436</v>
      </c>
      <c r="DHN91" t="s">
        <v>437</v>
      </c>
      <c r="DHO91" t="s">
        <v>428</v>
      </c>
      <c r="DHQ91" t="s">
        <v>146</v>
      </c>
      <c r="DHR91" t="s">
        <v>145</v>
      </c>
      <c r="DHS91" t="s">
        <v>398</v>
      </c>
      <c r="DHT91">
        <v>1</v>
      </c>
      <c r="DHU91" t="s">
        <v>436</v>
      </c>
      <c r="DHV91" t="s">
        <v>437</v>
      </c>
      <c r="DHW91" t="s">
        <v>428</v>
      </c>
      <c r="DHY91" t="s">
        <v>146</v>
      </c>
      <c r="DHZ91" t="s">
        <v>145</v>
      </c>
      <c r="DIA91" t="s">
        <v>398</v>
      </c>
      <c r="DIB91">
        <v>1</v>
      </c>
      <c r="DIC91" t="s">
        <v>436</v>
      </c>
      <c r="DID91" t="s">
        <v>437</v>
      </c>
      <c r="DIE91" t="s">
        <v>428</v>
      </c>
      <c r="DIG91" t="s">
        <v>146</v>
      </c>
      <c r="DIH91" t="s">
        <v>145</v>
      </c>
      <c r="DII91" t="s">
        <v>398</v>
      </c>
      <c r="DIJ91">
        <v>1</v>
      </c>
      <c r="DIK91" t="s">
        <v>436</v>
      </c>
      <c r="DIL91" t="s">
        <v>437</v>
      </c>
      <c r="DIM91" t="s">
        <v>428</v>
      </c>
      <c r="DIO91" t="s">
        <v>146</v>
      </c>
      <c r="DIP91" t="s">
        <v>145</v>
      </c>
      <c r="DIQ91" t="s">
        <v>398</v>
      </c>
      <c r="DIR91">
        <v>1</v>
      </c>
      <c r="DIS91" t="s">
        <v>436</v>
      </c>
      <c r="DIT91" t="s">
        <v>437</v>
      </c>
      <c r="DIU91" t="s">
        <v>428</v>
      </c>
      <c r="DIW91" t="s">
        <v>146</v>
      </c>
      <c r="DIX91" t="s">
        <v>145</v>
      </c>
      <c r="DIY91" t="s">
        <v>398</v>
      </c>
      <c r="DIZ91">
        <v>1</v>
      </c>
      <c r="DJA91" t="s">
        <v>436</v>
      </c>
      <c r="DJB91" t="s">
        <v>437</v>
      </c>
      <c r="DJC91" t="s">
        <v>428</v>
      </c>
      <c r="DJE91" t="s">
        <v>146</v>
      </c>
      <c r="DJF91" t="s">
        <v>145</v>
      </c>
      <c r="DJG91" t="s">
        <v>398</v>
      </c>
      <c r="DJH91">
        <v>1</v>
      </c>
      <c r="DJI91" t="s">
        <v>436</v>
      </c>
      <c r="DJJ91" t="s">
        <v>437</v>
      </c>
      <c r="DJK91" t="s">
        <v>428</v>
      </c>
      <c r="DJM91" t="s">
        <v>146</v>
      </c>
      <c r="DJN91" t="s">
        <v>145</v>
      </c>
      <c r="DJO91" t="s">
        <v>398</v>
      </c>
      <c r="DJP91">
        <v>1</v>
      </c>
      <c r="DJQ91" t="s">
        <v>436</v>
      </c>
      <c r="DJR91" t="s">
        <v>437</v>
      </c>
      <c r="DJS91" t="s">
        <v>428</v>
      </c>
      <c r="DJU91" t="s">
        <v>146</v>
      </c>
      <c r="DJV91" t="s">
        <v>145</v>
      </c>
      <c r="DJW91" t="s">
        <v>398</v>
      </c>
      <c r="DJX91">
        <v>1</v>
      </c>
      <c r="DJY91" t="s">
        <v>436</v>
      </c>
      <c r="DJZ91" t="s">
        <v>437</v>
      </c>
      <c r="DKA91" t="s">
        <v>428</v>
      </c>
      <c r="DKC91" t="s">
        <v>146</v>
      </c>
      <c r="DKD91" t="s">
        <v>145</v>
      </c>
      <c r="DKE91" t="s">
        <v>398</v>
      </c>
      <c r="DKF91">
        <v>1</v>
      </c>
      <c r="DKG91" t="s">
        <v>436</v>
      </c>
      <c r="DKH91" t="s">
        <v>437</v>
      </c>
      <c r="DKI91" t="s">
        <v>428</v>
      </c>
      <c r="DKK91" t="s">
        <v>146</v>
      </c>
      <c r="DKL91" t="s">
        <v>145</v>
      </c>
      <c r="DKM91" t="s">
        <v>398</v>
      </c>
      <c r="DKN91">
        <v>1</v>
      </c>
      <c r="DKO91" t="s">
        <v>436</v>
      </c>
      <c r="DKP91" t="s">
        <v>437</v>
      </c>
      <c r="DKQ91" t="s">
        <v>428</v>
      </c>
      <c r="DKS91" t="s">
        <v>146</v>
      </c>
      <c r="DKT91" t="s">
        <v>145</v>
      </c>
      <c r="DKU91" t="s">
        <v>398</v>
      </c>
      <c r="DKV91">
        <v>1</v>
      </c>
      <c r="DKW91" t="s">
        <v>436</v>
      </c>
      <c r="DKX91" t="s">
        <v>437</v>
      </c>
      <c r="DKY91" t="s">
        <v>428</v>
      </c>
      <c r="DLA91" t="s">
        <v>146</v>
      </c>
      <c r="DLB91" t="s">
        <v>145</v>
      </c>
      <c r="DLC91" t="s">
        <v>398</v>
      </c>
      <c r="DLD91">
        <v>1</v>
      </c>
      <c r="DLE91" t="s">
        <v>436</v>
      </c>
      <c r="DLF91" t="s">
        <v>437</v>
      </c>
      <c r="DLG91" t="s">
        <v>428</v>
      </c>
      <c r="DLI91" t="s">
        <v>146</v>
      </c>
      <c r="DLJ91" t="s">
        <v>145</v>
      </c>
      <c r="DLK91" t="s">
        <v>398</v>
      </c>
      <c r="DLL91">
        <v>1</v>
      </c>
      <c r="DLM91" t="s">
        <v>436</v>
      </c>
      <c r="DLN91" t="s">
        <v>437</v>
      </c>
      <c r="DLO91" t="s">
        <v>428</v>
      </c>
      <c r="DLQ91" t="s">
        <v>146</v>
      </c>
      <c r="DLR91" t="s">
        <v>145</v>
      </c>
      <c r="DLS91" t="s">
        <v>398</v>
      </c>
      <c r="DLT91">
        <v>1</v>
      </c>
      <c r="DLU91" t="s">
        <v>436</v>
      </c>
      <c r="DLV91" t="s">
        <v>437</v>
      </c>
      <c r="DLW91" t="s">
        <v>428</v>
      </c>
      <c r="DLY91" t="s">
        <v>146</v>
      </c>
      <c r="DLZ91" t="s">
        <v>145</v>
      </c>
      <c r="DMA91" t="s">
        <v>398</v>
      </c>
      <c r="DMB91">
        <v>1</v>
      </c>
      <c r="DMC91" t="s">
        <v>436</v>
      </c>
      <c r="DMD91" t="s">
        <v>437</v>
      </c>
      <c r="DME91" t="s">
        <v>428</v>
      </c>
      <c r="DMG91" t="s">
        <v>146</v>
      </c>
      <c r="DMH91" t="s">
        <v>145</v>
      </c>
      <c r="DMI91" t="s">
        <v>398</v>
      </c>
      <c r="DMJ91">
        <v>1</v>
      </c>
      <c r="DMK91" t="s">
        <v>436</v>
      </c>
      <c r="DML91" t="s">
        <v>437</v>
      </c>
      <c r="DMM91" t="s">
        <v>428</v>
      </c>
      <c r="DMO91" t="s">
        <v>146</v>
      </c>
      <c r="DMP91" t="s">
        <v>145</v>
      </c>
      <c r="DMQ91" t="s">
        <v>398</v>
      </c>
      <c r="DMR91">
        <v>1</v>
      </c>
      <c r="DMS91" t="s">
        <v>436</v>
      </c>
      <c r="DMT91" t="s">
        <v>437</v>
      </c>
      <c r="DMU91" t="s">
        <v>428</v>
      </c>
      <c r="DMW91" t="s">
        <v>146</v>
      </c>
      <c r="DMX91" t="s">
        <v>145</v>
      </c>
      <c r="DMY91" t="s">
        <v>398</v>
      </c>
      <c r="DMZ91">
        <v>1</v>
      </c>
      <c r="DNA91" t="s">
        <v>436</v>
      </c>
      <c r="DNB91" t="s">
        <v>437</v>
      </c>
      <c r="DNC91" t="s">
        <v>428</v>
      </c>
      <c r="DNE91" t="s">
        <v>146</v>
      </c>
      <c r="DNF91" t="s">
        <v>145</v>
      </c>
      <c r="DNG91" t="s">
        <v>398</v>
      </c>
      <c r="DNH91">
        <v>1</v>
      </c>
      <c r="DNI91" t="s">
        <v>436</v>
      </c>
      <c r="DNJ91" t="s">
        <v>437</v>
      </c>
      <c r="DNK91" t="s">
        <v>428</v>
      </c>
      <c r="DNM91" t="s">
        <v>146</v>
      </c>
      <c r="DNN91" t="s">
        <v>145</v>
      </c>
      <c r="DNO91" t="s">
        <v>398</v>
      </c>
      <c r="DNP91">
        <v>1</v>
      </c>
      <c r="DNQ91" t="s">
        <v>436</v>
      </c>
      <c r="DNR91" t="s">
        <v>437</v>
      </c>
      <c r="DNS91" t="s">
        <v>428</v>
      </c>
      <c r="DNU91" t="s">
        <v>146</v>
      </c>
      <c r="DNV91" t="s">
        <v>145</v>
      </c>
      <c r="DNW91" t="s">
        <v>398</v>
      </c>
      <c r="DNX91">
        <v>1</v>
      </c>
      <c r="DNY91" t="s">
        <v>436</v>
      </c>
      <c r="DNZ91" t="s">
        <v>437</v>
      </c>
      <c r="DOA91" t="s">
        <v>428</v>
      </c>
      <c r="DOC91" t="s">
        <v>146</v>
      </c>
      <c r="DOD91" t="s">
        <v>145</v>
      </c>
      <c r="DOE91" t="s">
        <v>398</v>
      </c>
      <c r="DOF91">
        <v>1</v>
      </c>
      <c r="DOG91" t="s">
        <v>436</v>
      </c>
      <c r="DOH91" t="s">
        <v>437</v>
      </c>
      <c r="DOI91" t="s">
        <v>428</v>
      </c>
      <c r="DOK91" t="s">
        <v>146</v>
      </c>
      <c r="DOL91" t="s">
        <v>145</v>
      </c>
      <c r="DOM91" t="s">
        <v>398</v>
      </c>
      <c r="DON91">
        <v>1</v>
      </c>
      <c r="DOO91" t="s">
        <v>436</v>
      </c>
      <c r="DOP91" t="s">
        <v>437</v>
      </c>
      <c r="DOQ91" t="s">
        <v>428</v>
      </c>
      <c r="DOS91" t="s">
        <v>146</v>
      </c>
      <c r="DOT91" t="s">
        <v>145</v>
      </c>
      <c r="DOU91" t="s">
        <v>398</v>
      </c>
      <c r="DOV91">
        <v>1</v>
      </c>
      <c r="DOW91" t="s">
        <v>436</v>
      </c>
      <c r="DOX91" t="s">
        <v>437</v>
      </c>
      <c r="DOY91" t="s">
        <v>428</v>
      </c>
      <c r="DPA91" t="s">
        <v>146</v>
      </c>
      <c r="DPB91" t="s">
        <v>145</v>
      </c>
      <c r="DPC91" t="s">
        <v>398</v>
      </c>
      <c r="DPD91">
        <v>1</v>
      </c>
      <c r="DPE91" t="s">
        <v>436</v>
      </c>
      <c r="DPF91" t="s">
        <v>437</v>
      </c>
      <c r="DPG91" t="s">
        <v>428</v>
      </c>
      <c r="DPI91" t="s">
        <v>146</v>
      </c>
      <c r="DPJ91" t="s">
        <v>145</v>
      </c>
      <c r="DPK91" t="s">
        <v>398</v>
      </c>
      <c r="DPL91">
        <v>1</v>
      </c>
      <c r="DPM91" t="s">
        <v>436</v>
      </c>
      <c r="DPN91" t="s">
        <v>437</v>
      </c>
      <c r="DPO91" t="s">
        <v>428</v>
      </c>
      <c r="DPQ91" t="s">
        <v>146</v>
      </c>
      <c r="DPR91" t="s">
        <v>145</v>
      </c>
      <c r="DPS91" t="s">
        <v>398</v>
      </c>
      <c r="DPT91">
        <v>1</v>
      </c>
      <c r="DPU91" t="s">
        <v>436</v>
      </c>
      <c r="DPV91" t="s">
        <v>437</v>
      </c>
      <c r="DPW91" t="s">
        <v>428</v>
      </c>
      <c r="DPY91" t="s">
        <v>146</v>
      </c>
      <c r="DPZ91" t="s">
        <v>145</v>
      </c>
      <c r="DQA91" t="s">
        <v>398</v>
      </c>
      <c r="DQB91">
        <v>1</v>
      </c>
      <c r="DQC91" t="s">
        <v>436</v>
      </c>
      <c r="DQD91" t="s">
        <v>437</v>
      </c>
      <c r="DQE91" t="s">
        <v>428</v>
      </c>
      <c r="DQG91" t="s">
        <v>146</v>
      </c>
      <c r="DQH91" t="s">
        <v>145</v>
      </c>
      <c r="DQI91" t="s">
        <v>398</v>
      </c>
      <c r="DQJ91">
        <v>1</v>
      </c>
      <c r="DQK91" t="s">
        <v>436</v>
      </c>
      <c r="DQL91" t="s">
        <v>437</v>
      </c>
      <c r="DQM91" t="s">
        <v>428</v>
      </c>
      <c r="DQO91" t="s">
        <v>146</v>
      </c>
      <c r="DQP91" t="s">
        <v>145</v>
      </c>
      <c r="DQQ91" t="s">
        <v>398</v>
      </c>
      <c r="DQR91">
        <v>1</v>
      </c>
      <c r="DQS91" t="s">
        <v>436</v>
      </c>
      <c r="DQT91" t="s">
        <v>437</v>
      </c>
      <c r="DQU91" t="s">
        <v>428</v>
      </c>
      <c r="DQW91" t="s">
        <v>146</v>
      </c>
      <c r="DQX91" t="s">
        <v>145</v>
      </c>
      <c r="DQY91" t="s">
        <v>398</v>
      </c>
      <c r="DQZ91">
        <v>1</v>
      </c>
      <c r="DRA91" t="s">
        <v>436</v>
      </c>
      <c r="DRB91" t="s">
        <v>437</v>
      </c>
      <c r="DRC91" t="s">
        <v>428</v>
      </c>
      <c r="DRE91" t="s">
        <v>146</v>
      </c>
      <c r="DRF91" t="s">
        <v>145</v>
      </c>
      <c r="DRG91" t="s">
        <v>398</v>
      </c>
      <c r="DRH91">
        <v>1</v>
      </c>
      <c r="DRI91" t="s">
        <v>436</v>
      </c>
      <c r="DRJ91" t="s">
        <v>437</v>
      </c>
      <c r="DRK91" t="s">
        <v>428</v>
      </c>
      <c r="DRM91" t="s">
        <v>146</v>
      </c>
      <c r="DRN91" t="s">
        <v>145</v>
      </c>
      <c r="DRO91" t="s">
        <v>398</v>
      </c>
      <c r="DRP91">
        <v>1</v>
      </c>
      <c r="DRQ91" t="s">
        <v>436</v>
      </c>
      <c r="DRR91" t="s">
        <v>437</v>
      </c>
      <c r="DRS91" t="s">
        <v>428</v>
      </c>
      <c r="DRU91" t="s">
        <v>146</v>
      </c>
      <c r="DRV91" t="s">
        <v>145</v>
      </c>
      <c r="DRW91" t="s">
        <v>398</v>
      </c>
      <c r="DRX91">
        <v>1</v>
      </c>
      <c r="DRY91" t="s">
        <v>436</v>
      </c>
      <c r="DRZ91" t="s">
        <v>437</v>
      </c>
      <c r="DSA91" t="s">
        <v>428</v>
      </c>
      <c r="DSC91" t="s">
        <v>146</v>
      </c>
      <c r="DSD91" t="s">
        <v>145</v>
      </c>
      <c r="DSE91" t="s">
        <v>398</v>
      </c>
      <c r="DSF91">
        <v>1</v>
      </c>
      <c r="DSG91" t="s">
        <v>436</v>
      </c>
      <c r="DSH91" t="s">
        <v>437</v>
      </c>
      <c r="DSI91" t="s">
        <v>428</v>
      </c>
      <c r="DSK91" t="s">
        <v>146</v>
      </c>
      <c r="DSL91" t="s">
        <v>145</v>
      </c>
      <c r="DSM91" t="s">
        <v>398</v>
      </c>
      <c r="DSN91">
        <v>1</v>
      </c>
      <c r="DSO91" t="s">
        <v>436</v>
      </c>
      <c r="DSP91" t="s">
        <v>437</v>
      </c>
      <c r="DSQ91" t="s">
        <v>428</v>
      </c>
      <c r="DSS91" t="s">
        <v>146</v>
      </c>
      <c r="DST91" t="s">
        <v>145</v>
      </c>
      <c r="DSU91" t="s">
        <v>398</v>
      </c>
      <c r="DSV91">
        <v>1</v>
      </c>
      <c r="DSW91" t="s">
        <v>436</v>
      </c>
      <c r="DSX91" t="s">
        <v>437</v>
      </c>
      <c r="DSY91" t="s">
        <v>428</v>
      </c>
      <c r="DTA91" t="s">
        <v>146</v>
      </c>
      <c r="DTB91" t="s">
        <v>145</v>
      </c>
      <c r="DTC91" t="s">
        <v>398</v>
      </c>
      <c r="DTD91">
        <v>1</v>
      </c>
      <c r="DTE91" t="s">
        <v>436</v>
      </c>
      <c r="DTF91" t="s">
        <v>437</v>
      </c>
      <c r="DTG91" t="s">
        <v>428</v>
      </c>
      <c r="DTI91" t="s">
        <v>146</v>
      </c>
      <c r="DTJ91" t="s">
        <v>145</v>
      </c>
      <c r="DTK91" t="s">
        <v>398</v>
      </c>
      <c r="DTL91">
        <v>1</v>
      </c>
      <c r="DTM91" t="s">
        <v>436</v>
      </c>
      <c r="DTN91" t="s">
        <v>437</v>
      </c>
      <c r="DTO91" t="s">
        <v>428</v>
      </c>
      <c r="DTQ91" t="s">
        <v>146</v>
      </c>
      <c r="DTR91" t="s">
        <v>145</v>
      </c>
      <c r="DTS91" t="s">
        <v>398</v>
      </c>
      <c r="DTT91">
        <v>1</v>
      </c>
      <c r="DTU91" t="s">
        <v>436</v>
      </c>
      <c r="DTV91" t="s">
        <v>437</v>
      </c>
      <c r="DTW91" t="s">
        <v>428</v>
      </c>
      <c r="DTY91" t="s">
        <v>146</v>
      </c>
      <c r="DTZ91" t="s">
        <v>145</v>
      </c>
      <c r="DUA91" t="s">
        <v>398</v>
      </c>
      <c r="DUB91">
        <v>1</v>
      </c>
      <c r="DUC91" t="s">
        <v>436</v>
      </c>
      <c r="DUD91" t="s">
        <v>437</v>
      </c>
      <c r="DUE91" t="s">
        <v>428</v>
      </c>
      <c r="DUG91" t="s">
        <v>146</v>
      </c>
      <c r="DUH91" t="s">
        <v>145</v>
      </c>
      <c r="DUI91" t="s">
        <v>398</v>
      </c>
      <c r="DUJ91">
        <v>1</v>
      </c>
      <c r="DUK91" t="s">
        <v>436</v>
      </c>
      <c r="DUL91" t="s">
        <v>437</v>
      </c>
      <c r="DUM91" t="s">
        <v>428</v>
      </c>
      <c r="DUO91" t="s">
        <v>146</v>
      </c>
      <c r="DUP91" t="s">
        <v>145</v>
      </c>
      <c r="DUQ91" t="s">
        <v>398</v>
      </c>
      <c r="DUR91">
        <v>1</v>
      </c>
      <c r="DUS91" t="s">
        <v>436</v>
      </c>
      <c r="DUT91" t="s">
        <v>437</v>
      </c>
      <c r="DUU91" t="s">
        <v>428</v>
      </c>
      <c r="DUW91" t="s">
        <v>146</v>
      </c>
      <c r="DUX91" t="s">
        <v>145</v>
      </c>
      <c r="DUY91" t="s">
        <v>398</v>
      </c>
      <c r="DUZ91">
        <v>1</v>
      </c>
      <c r="DVA91" t="s">
        <v>436</v>
      </c>
      <c r="DVB91" t="s">
        <v>437</v>
      </c>
      <c r="DVC91" t="s">
        <v>428</v>
      </c>
      <c r="DVE91" t="s">
        <v>146</v>
      </c>
      <c r="DVF91" t="s">
        <v>145</v>
      </c>
      <c r="DVG91" t="s">
        <v>398</v>
      </c>
      <c r="DVH91">
        <v>1</v>
      </c>
      <c r="DVI91" t="s">
        <v>436</v>
      </c>
      <c r="DVJ91" t="s">
        <v>437</v>
      </c>
      <c r="DVK91" t="s">
        <v>428</v>
      </c>
      <c r="DVM91" t="s">
        <v>146</v>
      </c>
      <c r="DVN91" t="s">
        <v>145</v>
      </c>
      <c r="DVO91" t="s">
        <v>398</v>
      </c>
      <c r="DVP91">
        <v>1</v>
      </c>
      <c r="DVQ91" t="s">
        <v>436</v>
      </c>
      <c r="DVR91" t="s">
        <v>437</v>
      </c>
      <c r="DVS91" t="s">
        <v>428</v>
      </c>
      <c r="DVU91" t="s">
        <v>146</v>
      </c>
      <c r="DVV91" t="s">
        <v>145</v>
      </c>
      <c r="DVW91" t="s">
        <v>398</v>
      </c>
      <c r="DVX91">
        <v>1</v>
      </c>
      <c r="DVY91" t="s">
        <v>436</v>
      </c>
      <c r="DVZ91" t="s">
        <v>437</v>
      </c>
      <c r="DWA91" t="s">
        <v>428</v>
      </c>
      <c r="DWC91" t="s">
        <v>146</v>
      </c>
      <c r="DWD91" t="s">
        <v>145</v>
      </c>
      <c r="DWE91" t="s">
        <v>398</v>
      </c>
      <c r="DWF91">
        <v>1</v>
      </c>
      <c r="DWG91" t="s">
        <v>436</v>
      </c>
      <c r="DWH91" t="s">
        <v>437</v>
      </c>
      <c r="DWI91" t="s">
        <v>428</v>
      </c>
      <c r="DWK91" t="s">
        <v>146</v>
      </c>
      <c r="DWL91" t="s">
        <v>145</v>
      </c>
      <c r="DWM91" t="s">
        <v>398</v>
      </c>
      <c r="DWN91">
        <v>1</v>
      </c>
      <c r="DWO91" t="s">
        <v>436</v>
      </c>
      <c r="DWP91" t="s">
        <v>437</v>
      </c>
      <c r="DWQ91" t="s">
        <v>428</v>
      </c>
      <c r="DWS91" t="s">
        <v>146</v>
      </c>
      <c r="DWT91" t="s">
        <v>145</v>
      </c>
      <c r="DWU91" t="s">
        <v>398</v>
      </c>
      <c r="DWV91">
        <v>1</v>
      </c>
      <c r="DWW91" t="s">
        <v>436</v>
      </c>
      <c r="DWX91" t="s">
        <v>437</v>
      </c>
      <c r="DWY91" t="s">
        <v>428</v>
      </c>
      <c r="DXA91" t="s">
        <v>146</v>
      </c>
      <c r="DXB91" t="s">
        <v>145</v>
      </c>
      <c r="DXC91" t="s">
        <v>398</v>
      </c>
      <c r="DXD91">
        <v>1</v>
      </c>
      <c r="DXE91" t="s">
        <v>436</v>
      </c>
      <c r="DXF91" t="s">
        <v>437</v>
      </c>
      <c r="DXG91" t="s">
        <v>428</v>
      </c>
      <c r="DXI91" t="s">
        <v>146</v>
      </c>
      <c r="DXJ91" t="s">
        <v>145</v>
      </c>
      <c r="DXK91" t="s">
        <v>398</v>
      </c>
      <c r="DXL91">
        <v>1</v>
      </c>
      <c r="DXM91" t="s">
        <v>436</v>
      </c>
      <c r="DXN91" t="s">
        <v>437</v>
      </c>
      <c r="DXO91" t="s">
        <v>428</v>
      </c>
      <c r="DXQ91" t="s">
        <v>146</v>
      </c>
      <c r="DXR91" t="s">
        <v>145</v>
      </c>
      <c r="DXS91" t="s">
        <v>398</v>
      </c>
      <c r="DXT91">
        <v>1</v>
      </c>
      <c r="DXU91" t="s">
        <v>436</v>
      </c>
      <c r="DXV91" t="s">
        <v>437</v>
      </c>
      <c r="DXW91" t="s">
        <v>428</v>
      </c>
      <c r="DXY91" t="s">
        <v>146</v>
      </c>
      <c r="DXZ91" t="s">
        <v>145</v>
      </c>
      <c r="DYA91" t="s">
        <v>398</v>
      </c>
      <c r="DYB91">
        <v>1</v>
      </c>
      <c r="DYC91" t="s">
        <v>436</v>
      </c>
      <c r="DYD91" t="s">
        <v>437</v>
      </c>
      <c r="DYE91" t="s">
        <v>428</v>
      </c>
      <c r="DYG91" t="s">
        <v>146</v>
      </c>
      <c r="DYH91" t="s">
        <v>145</v>
      </c>
      <c r="DYI91" t="s">
        <v>398</v>
      </c>
      <c r="DYJ91">
        <v>1</v>
      </c>
      <c r="DYK91" t="s">
        <v>436</v>
      </c>
      <c r="DYL91" t="s">
        <v>437</v>
      </c>
      <c r="DYM91" t="s">
        <v>428</v>
      </c>
      <c r="DYO91" t="s">
        <v>146</v>
      </c>
      <c r="DYP91" t="s">
        <v>145</v>
      </c>
      <c r="DYQ91" t="s">
        <v>398</v>
      </c>
      <c r="DYR91">
        <v>1</v>
      </c>
      <c r="DYS91" t="s">
        <v>436</v>
      </c>
      <c r="DYT91" t="s">
        <v>437</v>
      </c>
      <c r="DYU91" t="s">
        <v>428</v>
      </c>
      <c r="DYW91" t="s">
        <v>146</v>
      </c>
      <c r="DYX91" t="s">
        <v>145</v>
      </c>
      <c r="DYY91" t="s">
        <v>398</v>
      </c>
      <c r="DYZ91">
        <v>1</v>
      </c>
      <c r="DZA91" t="s">
        <v>436</v>
      </c>
      <c r="DZB91" t="s">
        <v>437</v>
      </c>
      <c r="DZC91" t="s">
        <v>428</v>
      </c>
      <c r="DZE91" t="s">
        <v>146</v>
      </c>
      <c r="DZF91" t="s">
        <v>145</v>
      </c>
      <c r="DZG91" t="s">
        <v>398</v>
      </c>
      <c r="DZH91">
        <v>1</v>
      </c>
      <c r="DZI91" t="s">
        <v>436</v>
      </c>
      <c r="DZJ91" t="s">
        <v>437</v>
      </c>
      <c r="DZK91" t="s">
        <v>428</v>
      </c>
      <c r="DZM91" t="s">
        <v>146</v>
      </c>
      <c r="DZN91" t="s">
        <v>145</v>
      </c>
      <c r="DZO91" t="s">
        <v>398</v>
      </c>
      <c r="DZP91">
        <v>1</v>
      </c>
      <c r="DZQ91" t="s">
        <v>436</v>
      </c>
      <c r="DZR91" t="s">
        <v>437</v>
      </c>
      <c r="DZS91" t="s">
        <v>428</v>
      </c>
      <c r="DZU91" t="s">
        <v>146</v>
      </c>
      <c r="DZV91" t="s">
        <v>145</v>
      </c>
      <c r="DZW91" t="s">
        <v>398</v>
      </c>
      <c r="DZX91">
        <v>1</v>
      </c>
      <c r="DZY91" t="s">
        <v>436</v>
      </c>
      <c r="DZZ91" t="s">
        <v>437</v>
      </c>
      <c r="EAA91" t="s">
        <v>428</v>
      </c>
      <c r="EAC91" t="s">
        <v>146</v>
      </c>
      <c r="EAD91" t="s">
        <v>145</v>
      </c>
      <c r="EAE91" t="s">
        <v>398</v>
      </c>
      <c r="EAF91">
        <v>1</v>
      </c>
      <c r="EAG91" t="s">
        <v>436</v>
      </c>
      <c r="EAH91" t="s">
        <v>437</v>
      </c>
      <c r="EAI91" t="s">
        <v>428</v>
      </c>
      <c r="EAK91" t="s">
        <v>146</v>
      </c>
      <c r="EAL91" t="s">
        <v>145</v>
      </c>
      <c r="EAM91" t="s">
        <v>398</v>
      </c>
      <c r="EAN91">
        <v>1</v>
      </c>
      <c r="EAO91" t="s">
        <v>436</v>
      </c>
      <c r="EAP91" t="s">
        <v>437</v>
      </c>
      <c r="EAQ91" t="s">
        <v>428</v>
      </c>
      <c r="EAS91" t="s">
        <v>146</v>
      </c>
      <c r="EAT91" t="s">
        <v>145</v>
      </c>
      <c r="EAU91" t="s">
        <v>398</v>
      </c>
      <c r="EAV91">
        <v>1</v>
      </c>
      <c r="EAW91" t="s">
        <v>436</v>
      </c>
      <c r="EAX91" t="s">
        <v>437</v>
      </c>
      <c r="EAY91" t="s">
        <v>428</v>
      </c>
      <c r="EBA91" t="s">
        <v>146</v>
      </c>
      <c r="EBB91" t="s">
        <v>145</v>
      </c>
      <c r="EBC91" t="s">
        <v>398</v>
      </c>
      <c r="EBD91">
        <v>1</v>
      </c>
      <c r="EBE91" t="s">
        <v>436</v>
      </c>
      <c r="EBF91" t="s">
        <v>437</v>
      </c>
      <c r="EBG91" t="s">
        <v>428</v>
      </c>
      <c r="EBI91" t="s">
        <v>146</v>
      </c>
      <c r="EBJ91" t="s">
        <v>145</v>
      </c>
      <c r="EBK91" t="s">
        <v>398</v>
      </c>
      <c r="EBL91">
        <v>1</v>
      </c>
      <c r="EBM91" t="s">
        <v>436</v>
      </c>
      <c r="EBN91" t="s">
        <v>437</v>
      </c>
      <c r="EBO91" t="s">
        <v>428</v>
      </c>
      <c r="EBQ91" t="s">
        <v>146</v>
      </c>
      <c r="EBR91" t="s">
        <v>145</v>
      </c>
      <c r="EBS91" t="s">
        <v>398</v>
      </c>
      <c r="EBT91">
        <v>1</v>
      </c>
      <c r="EBU91" t="s">
        <v>436</v>
      </c>
      <c r="EBV91" t="s">
        <v>437</v>
      </c>
      <c r="EBW91" t="s">
        <v>428</v>
      </c>
      <c r="EBY91" t="s">
        <v>146</v>
      </c>
      <c r="EBZ91" t="s">
        <v>145</v>
      </c>
      <c r="ECA91" t="s">
        <v>398</v>
      </c>
      <c r="ECB91">
        <v>1</v>
      </c>
      <c r="ECC91" t="s">
        <v>436</v>
      </c>
      <c r="ECD91" t="s">
        <v>437</v>
      </c>
      <c r="ECE91" t="s">
        <v>428</v>
      </c>
      <c r="ECG91" t="s">
        <v>146</v>
      </c>
      <c r="ECH91" t="s">
        <v>145</v>
      </c>
      <c r="ECI91" t="s">
        <v>398</v>
      </c>
      <c r="ECJ91">
        <v>1</v>
      </c>
      <c r="ECK91" t="s">
        <v>436</v>
      </c>
      <c r="ECL91" t="s">
        <v>437</v>
      </c>
      <c r="ECM91" t="s">
        <v>428</v>
      </c>
      <c r="ECO91" t="s">
        <v>146</v>
      </c>
      <c r="ECP91" t="s">
        <v>145</v>
      </c>
      <c r="ECQ91" t="s">
        <v>398</v>
      </c>
      <c r="ECR91">
        <v>1</v>
      </c>
      <c r="ECS91" t="s">
        <v>436</v>
      </c>
      <c r="ECT91" t="s">
        <v>437</v>
      </c>
      <c r="ECU91" t="s">
        <v>428</v>
      </c>
      <c r="ECW91" t="s">
        <v>146</v>
      </c>
      <c r="ECX91" t="s">
        <v>145</v>
      </c>
      <c r="ECY91" t="s">
        <v>398</v>
      </c>
      <c r="ECZ91">
        <v>1</v>
      </c>
      <c r="EDA91" t="s">
        <v>436</v>
      </c>
      <c r="EDB91" t="s">
        <v>437</v>
      </c>
      <c r="EDC91" t="s">
        <v>428</v>
      </c>
      <c r="EDE91" t="s">
        <v>146</v>
      </c>
      <c r="EDF91" t="s">
        <v>145</v>
      </c>
      <c r="EDG91" t="s">
        <v>398</v>
      </c>
      <c r="EDH91">
        <v>1</v>
      </c>
      <c r="EDI91" t="s">
        <v>436</v>
      </c>
      <c r="EDJ91" t="s">
        <v>437</v>
      </c>
      <c r="EDK91" t="s">
        <v>428</v>
      </c>
      <c r="EDM91" t="s">
        <v>146</v>
      </c>
      <c r="EDN91" t="s">
        <v>145</v>
      </c>
      <c r="EDO91" t="s">
        <v>398</v>
      </c>
      <c r="EDP91">
        <v>1</v>
      </c>
      <c r="EDQ91" t="s">
        <v>436</v>
      </c>
      <c r="EDR91" t="s">
        <v>437</v>
      </c>
      <c r="EDS91" t="s">
        <v>428</v>
      </c>
      <c r="EDU91" t="s">
        <v>146</v>
      </c>
      <c r="EDV91" t="s">
        <v>145</v>
      </c>
      <c r="EDW91" t="s">
        <v>398</v>
      </c>
      <c r="EDX91">
        <v>1</v>
      </c>
      <c r="EDY91" t="s">
        <v>436</v>
      </c>
      <c r="EDZ91" t="s">
        <v>437</v>
      </c>
      <c r="EEA91" t="s">
        <v>428</v>
      </c>
      <c r="EEC91" t="s">
        <v>146</v>
      </c>
      <c r="EED91" t="s">
        <v>145</v>
      </c>
      <c r="EEE91" t="s">
        <v>398</v>
      </c>
      <c r="EEF91">
        <v>1</v>
      </c>
      <c r="EEG91" t="s">
        <v>436</v>
      </c>
      <c r="EEH91" t="s">
        <v>437</v>
      </c>
      <c r="EEI91" t="s">
        <v>428</v>
      </c>
      <c r="EEK91" t="s">
        <v>146</v>
      </c>
      <c r="EEL91" t="s">
        <v>145</v>
      </c>
      <c r="EEM91" t="s">
        <v>398</v>
      </c>
      <c r="EEN91">
        <v>1</v>
      </c>
      <c r="EEO91" t="s">
        <v>436</v>
      </c>
      <c r="EEP91" t="s">
        <v>437</v>
      </c>
      <c r="EEQ91" t="s">
        <v>428</v>
      </c>
      <c r="EES91" t="s">
        <v>146</v>
      </c>
      <c r="EET91" t="s">
        <v>145</v>
      </c>
      <c r="EEU91" t="s">
        <v>398</v>
      </c>
      <c r="EEV91">
        <v>1</v>
      </c>
      <c r="EEW91" t="s">
        <v>436</v>
      </c>
      <c r="EEX91" t="s">
        <v>437</v>
      </c>
      <c r="EEY91" t="s">
        <v>428</v>
      </c>
      <c r="EFA91" t="s">
        <v>146</v>
      </c>
      <c r="EFB91" t="s">
        <v>145</v>
      </c>
      <c r="EFC91" t="s">
        <v>398</v>
      </c>
      <c r="EFD91">
        <v>1</v>
      </c>
      <c r="EFE91" t="s">
        <v>436</v>
      </c>
      <c r="EFF91" t="s">
        <v>437</v>
      </c>
      <c r="EFG91" t="s">
        <v>428</v>
      </c>
      <c r="EFI91" t="s">
        <v>146</v>
      </c>
      <c r="EFJ91" t="s">
        <v>145</v>
      </c>
      <c r="EFK91" t="s">
        <v>398</v>
      </c>
      <c r="EFL91">
        <v>1</v>
      </c>
      <c r="EFM91" t="s">
        <v>436</v>
      </c>
      <c r="EFN91" t="s">
        <v>437</v>
      </c>
      <c r="EFO91" t="s">
        <v>428</v>
      </c>
      <c r="EFQ91" t="s">
        <v>146</v>
      </c>
      <c r="EFR91" t="s">
        <v>145</v>
      </c>
      <c r="EFS91" t="s">
        <v>398</v>
      </c>
      <c r="EFT91">
        <v>1</v>
      </c>
      <c r="EFU91" t="s">
        <v>436</v>
      </c>
      <c r="EFV91" t="s">
        <v>437</v>
      </c>
      <c r="EFW91" t="s">
        <v>428</v>
      </c>
      <c r="EFY91" t="s">
        <v>146</v>
      </c>
      <c r="EFZ91" t="s">
        <v>145</v>
      </c>
      <c r="EGA91" t="s">
        <v>398</v>
      </c>
      <c r="EGB91">
        <v>1</v>
      </c>
      <c r="EGC91" t="s">
        <v>436</v>
      </c>
      <c r="EGD91" t="s">
        <v>437</v>
      </c>
      <c r="EGE91" t="s">
        <v>428</v>
      </c>
      <c r="EGG91" t="s">
        <v>146</v>
      </c>
      <c r="EGH91" t="s">
        <v>145</v>
      </c>
      <c r="EGI91" t="s">
        <v>398</v>
      </c>
      <c r="EGJ91">
        <v>1</v>
      </c>
      <c r="EGK91" t="s">
        <v>436</v>
      </c>
      <c r="EGL91" t="s">
        <v>437</v>
      </c>
      <c r="EGM91" t="s">
        <v>428</v>
      </c>
      <c r="EGO91" t="s">
        <v>146</v>
      </c>
      <c r="EGP91" t="s">
        <v>145</v>
      </c>
      <c r="EGQ91" t="s">
        <v>398</v>
      </c>
      <c r="EGR91">
        <v>1</v>
      </c>
      <c r="EGS91" t="s">
        <v>436</v>
      </c>
      <c r="EGT91" t="s">
        <v>437</v>
      </c>
      <c r="EGU91" t="s">
        <v>428</v>
      </c>
      <c r="EGW91" t="s">
        <v>146</v>
      </c>
      <c r="EGX91" t="s">
        <v>145</v>
      </c>
      <c r="EGY91" t="s">
        <v>398</v>
      </c>
      <c r="EGZ91">
        <v>1</v>
      </c>
      <c r="EHA91" t="s">
        <v>436</v>
      </c>
      <c r="EHB91" t="s">
        <v>437</v>
      </c>
      <c r="EHC91" t="s">
        <v>428</v>
      </c>
      <c r="EHE91" t="s">
        <v>146</v>
      </c>
      <c r="EHF91" t="s">
        <v>145</v>
      </c>
      <c r="EHG91" t="s">
        <v>398</v>
      </c>
      <c r="EHH91">
        <v>1</v>
      </c>
      <c r="EHI91" t="s">
        <v>436</v>
      </c>
      <c r="EHJ91" t="s">
        <v>437</v>
      </c>
      <c r="EHK91" t="s">
        <v>428</v>
      </c>
      <c r="EHM91" t="s">
        <v>146</v>
      </c>
      <c r="EHN91" t="s">
        <v>145</v>
      </c>
      <c r="EHO91" t="s">
        <v>398</v>
      </c>
      <c r="EHP91">
        <v>1</v>
      </c>
      <c r="EHQ91" t="s">
        <v>436</v>
      </c>
      <c r="EHR91" t="s">
        <v>437</v>
      </c>
      <c r="EHS91" t="s">
        <v>428</v>
      </c>
      <c r="EHU91" t="s">
        <v>146</v>
      </c>
      <c r="EHV91" t="s">
        <v>145</v>
      </c>
      <c r="EHW91" t="s">
        <v>398</v>
      </c>
      <c r="EHX91">
        <v>1</v>
      </c>
      <c r="EHY91" t="s">
        <v>436</v>
      </c>
      <c r="EHZ91" t="s">
        <v>437</v>
      </c>
      <c r="EIA91" t="s">
        <v>428</v>
      </c>
      <c r="EIC91" t="s">
        <v>146</v>
      </c>
      <c r="EID91" t="s">
        <v>145</v>
      </c>
      <c r="EIE91" t="s">
        <v>398</v>
      </c>
      <c r="EIF91">
        <v>1</v>
      </c>
      <c r="EIG91" t="s">
        <v>436</v>
      </c>
      <c r="EIH91" t="s">
        <v>437</v>
      </c>
      <c r="EII91" t="s">
        <v>428</v>
      </c>
      <c r="EIK91" t="s">
        <v>146</v>
      </c>
      <c r="EIL91" t="s">
        <v>145</v>
      </c>
      <c r="EIM91" t="s">
        <v>398</v>
      </c>
      <c r="EIN91">
        <v>1</v>
      </c>
      <c r="EIO91" t="s">
        <v>436</v>
      </c>
      <c r="EIP91" t="s">
        <v>437</v>
      </c>
      <c r="EIQ91" t="s">
        <v>428</v>
      </c>
      <c r="EIS91" t="s">
        <v>146</v>
      </c>
      <c r="EIT91" t="s">
        <v>145</v>
      </c>
      <c r="EIU91" t="s">
        <v>398</v>
      </c>
      <c r="EIV91">
        <v>1</v>
      </c>
      <c r="EIW91" t="s">
        <v>436</v>
      </c>
      <c r="EIX91" t="s">
        <v>437</v>
      </c>
      <c r="EIY91" t="s">
        <v>428</v>
      </c>
      <c r="EJA91" t="s">
        <v>146</v>
      </c>
      <c r="EJB91" t="s">
        <v>145</v>
      </c>
      <c r="EJC91" t="s">
        <v>398</v>
      </c>
      <c r="EJD91">
        <v>1</v>
      </c>
      <c r="EJE91" t="s">
        <v>436</v>
      </c>
      <c r="EJF91" t="s">
        <v>437</v>
      </c>
      <c r="EJG91" t="s">
        <v>428</v>
      </c>
      <c r="EJI91" t="s">
        <v>146</v>
      </c>
      <c r="EJJ91" t="s">
        <v>145</v>
      </c>
      <c r="EJK91" t="s">
        <v>398</v>
      </c>
      <c r="EJL91">
        <v>1</v>
      </c>
      <c r="EJM91" t="s">
        <v>436</v>
      </c>
      <c r="EJN91" t="s">
        <v>437</v>
      </c>
      <c r="EJO91" t="s">
        <v>428</v>
      </c>
      <c r="EJQ91" t="s">
        <v>146</v>
      </c>
      <c r="EJR91" t="s">
        <v>145</v>
      </c>
      <c r="EJS91" t="s">
        <v>398</v>
      </c>
      <c r="EJT91">
        <v>1</v>
      </c>
      <c r="EJU91" t="s">
        <v>436</v>
      </c>
      <c r="EJV91" t="s">
        <v>437</v>
      </c>
      <c r="EJW91" t="s">
        <v>428</v>
      </c>
      <c r="EJY91" t="s">
        <v>146</v>
      </c>
      <c r="EJZ91" t="s">
        <v>145</v>
      </c>
      <c r="EKA91" t="s">
        <v>398</v>
      </c>
      <c r="EKB91">
        <v>1</v>
      </c>
      <c r="EKC91" t="s">
        <v>436</v>
      </c>
      <c r="EKD91" t="s">
        <v>437</v>
      </c>
      <c r="EKE91" t="s">
        <v>428</v>
      </c>
      <c r="EKG91" t="s">
        <v>146</v>
      </c>
      <c r="EKH91" t="s">
        <v>145</v>
      </c>
      <c r="EKI91" t="s">
        <v>398</v>
      </c>
      <c r="EKJ91">
        <v>1</v>
      </c>
      <c r="EKK91" t="s">
        <v>436</v>
      </c>
      <c r="EKL91" t="s">
        <v>437</v>
      </c>
      <c r="EKM91" t="s">
        <v>428</v>
      </c>
      <c r="EKO91" t="s">
        <v>146</v>
      </c>
      <c r="EKP91" t="s">
        <v>145</v>
      </c>
      <c r="EKQ91" t="s">
        <v>398</v>
      </c>
      <c r="EKR91">
        <v>1</v>
      </c>
      <c r="EKS91" t="s">
        <v>436</v>
      </c>
      <c r="EKT91" t="s">
        <v>437</v>
      </c>
      <c r="EKU91" t="s">
        <v>428</v>
      </c>
      <c r="EKW91" t="s">
        <v>146</v>
      </c>
      <c r="EKX91" t="s">
        <v>145</v>
      </c>
      <c r="EKY91" t="s">
        <v>398</v>
      </c>
      <c r="EKZ91">
        <v>1</v>
      </c>
      <c r="ELA91" t="s">
        <v>436</v>
      </c>
      <c r="ELB91" t="s">
        <v>437</v>
      </c>
      <c r="ELC91" t="s">
        <v>428</v>
      </c>
      <c r="ELE91" t="s">
        <v>146</v>
      </c>
      <c r="ELF91" t="s">
        <v>145</v>
      </c>
      <c r="ELG91" t="s">
        <v>398</v>
      </c>
      <c r="ELH91">
        <v>1</v>
      </c>
      <c r="ELI91" t="s">
        <v>436</v>
      </c>
      <c r="ELJ91" t="s">
        <v>437</v>
      </c>
      <c r="ELK91" t="s">
        <v>428</v>
      </c>
      <c r="ELM91" t="s">
        <v>146</v>
      </c>
      <c r="ELN91" t="s">
        <v>145</v>
      </c>
      <c r="ELO91" t="s">
        <v>398</v>
      </c>
      <c r="ELP91">
        <v>1</v>
      </c>
      <c r="ELQ91" t="s">
        <v>436</v>
      </c>
      <c r="ELR91" t="s">
        <v>437</v>
      </c>
      <c r="ELS91" t="s">
        <v>428</v>
      </c>
      <c r="ELU91" t="s">
        <v>146</v>
      </c>
      <c r="ELV91" t="s">
        <v>145</v>
      </c>
      <c r="ELW91" t="s">
        <v>398</v>
      </c>
      <c r="ELX91">
        <v>1</v>
      </c>
      <c r="ELY91" t="s">
        <v>436</v>
      </c>
      <c r="ELZ91" t="s">
        <v>437</v>
      </c>
      <c r="EMA91" t="s">
        <v>428</v>
      </c>
      <c r="EMC91" t="s">
        <v>146</v>
      </c>
      <c r="EMD91" t="s">
        <v>145</v>
      </c>
      <c r="EME91" t="s">
        <v>398</v>
      </c>
      <c r="EMF91">
        <v>1</v>
      </c>
      <c r="EMG91" t="s">
        <v>436</v>
      </c>
      <c r="EMH91" t="s">
        <v>437</v>
      </c>
      <c r="EMI91" t="s">
        <v>428</v>
      </c>
      <c r="EMK91" t="s">
        <v>146</v>
      </c>
      <c r="EML91" t="s">
        <v>145</v>
      </c>
      <c r="EMM91" t="s">
        <v>398</v>
      </c>
      <c r="EMN91">
        <v>1</v>
      </c>
      <c r="EMO91" t="s">
        <v>436</v>
      </c>
      <c r="EMP91" t="s">
        <v>437</v>
      </c>
      <c r="EMQ91" t="s">
        <v>428</v>
      </c>
      <c r="EMS91" t="s">
        <v>146</v>
      </c>
      <c r="EMT91" t="s">
        <v>145</v>
      </c>
      <c r="EMU91" t="s">
        <v>398</v>
      </c>
      <c r="EMV91">
        <v>1</v>
      </c>
      <c r="EMW91" t="s">
        <v>436</v>
      </c>
      <c r="EMX91" t="s">
        <v>437</v>
      </c>
      <c r="EMY91" t="s">
        <v>428</v>
      </c>
      <c r="ENA91" t="s">
        <v>146</v>
      </c>
      <c r="ENB91" t="s">
        <v>145</v>
      </c>
      <c r="ENC91" t="s">
        <v>398</v>
      </c>
      <c r="END91">
        <v>1</v>
      </c>
      <c r="ENE91" t="s">
        <v>436</v>
      </c>
      <c r="ENF91" t="s">
        <v>437</v>
      </c>
      <c r="ENG91" t="s">
        <v>428</v>
      </c>
      <c r="ENI91" t="s">
        <v>146</v>
      </c>
      <c r="ENJ91" t="s">
        <v>145</v>
      </c>
      <c r="ENK91" t="s">
        <v>398</v>
      </c>
      <c r="ENL91">
        <v>1</v>
      </c>
      <c r="ENM91" t="s">
        <v>436</v>
      </c>
      <c r="ENN91" t="s">
        <v>437</v>
      </c>
      <c r="ENO91" t="s">
        <v>428</v>
      </c>
      <c r="ENQ91" t="s">
        <v>146</v>
      </c>
      <c r="ENR91" t="s">
        <v>145</v>
      </c>
      <c r="ENS91" t="s">
        <v>398</v>
      </c>
      <c r="ENT91">
        <v>1</v>
      </c>
      <c r="ENU91" t="s">
        <v>436</v>
      </c>
      <c r="ENV91" t="s">
        <v>437</v>
      </c>
      <c r="ENW91" t="s">
        <v>428</v>
      </c>
      <c r="ENY91" t="s">
        <v>146</v>
      </c>
      <c r="ENZ91" t="s">
        <v>145</v>
      </c>
      <c r="EOA91" t="s">
        <v>398</v>
      </c>
      <c r="EOB91">
        <v>1</v>
      </c>
      <c r="EOC91" t="s">
        <v>436</v>
      </c>
      <c r="EOD91" t="s">
        <v>437</v>
      </c>
      <c r="EOE91" t="s">
        <v>428</v>
      </c>
      <c r="EOG91" t="s">
        <v>146</v>
      </c>
      <c r="EOH91" t="s">
        <v>145</v>
      </c>
      <c r="EOI91" t="s">
        <v>398</v>
      </c>
      <c r="EOJ91">
        <v>1</v>
      </c>
      <c r="EOK91" t="s">
        <v>436</v>
      </c>
      <c r="EOL91" t="s">
        <v>437</v>
      </c>
      <c r="EOM91" t="s">
        <v>428</v>
      </c>
      <c r="EOO91" t="s">
        <v>146</v>
      </c>
      <c r="EOP91" t="s">
        <v>145</v>
      </c>
      <c r="EOQ91" t="s">
        <v>398</v>
      </c>
      <c r="EOR91">
        <v>1</v>
      </c>
      <c r="EOS91" t="s">
        <v>436</v>
      </c>
      <c r="EOT91" t="s">
        <v>437</v>
      </c>
      <c r="EOU91" t="s">
        <v>428</v>
      </c>
      <c r="EOW91" t="s">
        <v>146</v>
      </c>
      <c r="EOX91" t="s">
        <v>145</v>
      </c>
      <c r="EOY91" t="s">
        <v>398</v>
      </c>
      <c r="EOZ91">
        <v>1</v>
      </c>
      <c r="EPA91" t="s">
        <v>436</v>
      </c>
      <c r="EPB91" t="s">
        <v>437</v>
      </c>
      <c r="EPC91" t="s">
        <v>428</v>
      </c>
      <c r="EPE91" t="s">
        <v>146</v>
      </c>
      <c r="EPF91" t="s">
        <v>145</v>
      </c>
      <c r="EPG91" t="s">
        <v>398</v>
      </c>
      <c r="EPH91">
        <v>1</v>
      </c>
      <c r="EPI91" t="s">
        <v>436</v>
      </c>
      <c r="EPJ91" t="s">
        <v>437</v>
      </c>
      <c r="EPK91" t="s">
        <v>428</v>
      </c>
      <c r="EPM91" t="s">
        <v>146</v>
      </c>
      <c r="EPN91" t="s">
        <v>145</v>
      </c>
      <c r="EPO91" t="s">
        <v>398</v>
      </c>
      <c r="EPP91">
        <v>1</v>
      </c>
      <c r="EPQ91" t="s">
        <v>436</v>
      </c>
      <c r="EPR91" t="s">
        <v>437</v>
      </c>
      <c r="EPS91" t="s">
        <v>428</v>
      </c>
      <c r="EPU91" t="s">
        <v>146</v>
      </c>
      <c r="EPV91" t="s">
        <v>145</v>
      </c>
      <c r="EPW91" t="s">
        <v>398</v>
      </c>
      <c r="EPX91">
        <v>1</v>
      </c>
      <c r="EPY91" t="s">
        <v>436</v>
      </c>
      <c r="EPZ91" t="s">
        <v>437</v>
      </c>
      <c r="EQA91" t="s">
        <v>428</v>
      </c>
      <c r="EQC91" t="s">
        <v>146</v>
      </c>
      <c r="EQD91" t="s">
        <v>145</v>
      </c>
      <c r="EQE91" t="s">
        <v>398</v>
      </c>
      <c r="EQF91">
        <v>1</v>
      </c>
      <c r="EQG91" t="s">
        <v>436</v>
      </c>
      <c r="EQH91" t="s">
        <v>437</v>
      </c>
      <c r="EQI91" t="s">
        <v>428</v>
      </c>
      <c r="EQK91" t="s">
        <v>146</v>
      </c>
      <c r="EQL91" t="s">
        <v>145</v>
      </c>
      <c r="EQM91" t="s">
        <v>398</v>
      </c>
      <c r="EQN91">
        <v>1</v>
      </c>
      <c r="EQO91" t="s">
        <v>436</v>
      </c>
      <c r="EQP91" t="s">
        <v>437</v>
      </c>
      <c r="EQQ91" t="s">
        <v>428</v>
      </c>
      <c r="EQS91" t="s">
        <v>146</v>
      </c>
      <c r="EQT91" t="s">
        <v>145</v>
      </c>
      <c r="EQU91" t="s">
        <v>398</v>
      </c>
      <c r="EQV91">
        <v>1</v>
      </c>
      <c r="EQW91" t="s">
        <v>436</v>
      </c>
      <c r="EQX91" t="s">
        <v>437</v>
      </c>
      <c r="EQY91" t="s">
        <v>428</v>
      </c>
      <c r="ERA91" t="s">
        <v>146</v>
      </c>
      <c r="ERB91" t="s">
        <v>145</v>
      </c>
      <c r="ERC91" t="s">
        <v>398</v>
      </c>
      <c r="ERD91">
        <v>1</v>
      </c>
      <c r="ERE91" t="s">
        <v>436</v>
      </c>
      <c r="ERF91" t="s">
        <v>437</v>
      </c>
      <c r="ERG91" t="s">
        <v>428</v>
      </c>
      <c r="ERI91" t="s">
        <v>146</v>
      </c>
      <c r="ERJ91" t="s">
        <v>145</v>
      </c>
      <c r="ERK91" t="s">
        <v>398</v>
      </c>
      <c r="ERL91">
        <v>1</v>
      </c>
      <c r="ERM91" t="s">
        <v>436</v>
      </c>
      <c r="ERN91" t="s">
        <v>437</v>
      </c>
      <c r="ERO91" t="s">
        <v>428</v>
      </c>
      <c r="ERQ91" t="s">
        <v>146</v>
      </c>
      <c r="ERR91" t="s">
        <v>145</v>
      </c>
      <c r="ERS91" t="s">
        <v>398</v>
      </c>
      <c r="ERT91">
        <v>1</v>
      </c>
      <c r="ERU91" t="s">
        <v>436</v>
      </c>
      <c r="ERV91" t="s">
        <v>437</v>
      </c>
      <c r="ERW91" t="s">
        <v>428</v>
      </c>
      <c r="ERY91" t="s">
        <v>146</v>
      </c>
      <c r="ERZ91" t="s">
        <v>145</v>
      </c>
      <c r="ESA91" t="s">
        <v>398</v>
      </c>
      <c r="ESB91">
        <v>1</v>
      </c>
      <c r="ESC91" t="s">
        <v>436</v>
      </c>
      <c r="ESD91" t="s">
        <v>437</v>
      </c>
      <c r="ESE91" t="s">
        <v>428</v>
      </c>
      <c r="ESG91" t="s">
        <v>146</v>
      </c>
      <c r="ESH91" t="s">
        <v>145</v>
      </c>
      <c r="ESI91" t="s">
        <v>398</v>
      </c>
      <c r="ESJ91">
        <v>1</v>
      </c>
      <c r="ESK91" t="s">
        <v>436</v>
      </c>
      <c r="ESL91" t="s">
        <v>437</v>
      </c>
      <c r="ESM91" t="s">
        <v>428</v>
      </c>
      <c r="ESO91" t="s">
        <v>146</v>
      </c>
      <c r="ESP91" t="s">
        <v>145</v>
      </c>
      <c r="ESQ91" t="s">
        <v>398</v>
      </c>
      <c r="ESR91">
        <v>1</v>
      </c>
      <c r="ESS91" t="s">
        <v>436</v>
      </c>
      <c r="EST91" t="s">
        <v>437</v>
      </c>
      <c r="ESU91" t="s">
        <v>428</v>
      </c>
      <c r="ESW91" t="s">
        <v>146</v>
      </c>
      <c r="ESX91" t="s">
        <v>145</v>
      </c>
      <c r="ESY91" t="s">
        <v>398</v>
      </c>
      <c r="ESZ91">
        <v>1</v>
      </c>
      <c r="ETA91" t="s">
        <v>436</v>
      </c>
      <c r="ETB91" t="s">
        <v>437</v>
      </c>
      <c r="ETC91" t="s">
        <v>428</v>
      </c>
      <c r="ETE91" t="s">
        <v>146</v>
      </c>
      <c r="ETF91" t="s">
        <v>145</v>
      </c>
      <c r="ETG91" t="s">
        <v>398</v>
      </c>
      <c r="ETH91">
        <v>1</v>
      </c>
      <c r="ETI91" t="s">
        <v>436</v>
      </c>
      <c r="ETJ91" t="s">
        <v>437</v>
      </c>
      <c r="ETK91" t="s">
        <v>428</v>
      </c>
      <c r="ETM91" t="s">
        <v>146</v>
      </c>
      <c r="ETN91" t="s">
        <v>145</v>
      </c>
      <c r="ETO91" t="s">
        <v>398</v>
      </c>
      <c r="ETP91">
        <v>1</v>
      </c>
      <c r="ETQ91" t="s">
        <v>436</v>
      </c>
      <c r="ETR91" t="s">
        <v>437</v>
      </c>
      <c r="ETS91" t="s">
        <v>428</v>
      </c>
      <c r="ETU91" t="s">
        <v>146</v>
      </c>
      <c r="ETV91" t="s">
        <v>145</v>
      </c>
      <c r="ETW91" t="s">
        <v>398</v>
      </c>
      <c r="ETX91">
        <v>1</v>
      </c>
      <c r="ETY91" t="s">
        <v>436</v>
      </c>
      <c r="ETZ91" t="s">
        <v>437</v>
      </c>
      <c r="EUA91" t="s">
        <v>428</v>
      </c>
      <c r="EUC91" t="s">
        <v>146</v>
      </c>
      <c r="EUD91" t="s">
        <v>145</v>
      </c>
      <c r="EUE91" t="s">
        <v>398</v>
      </c>
      <c r="EUF91">
        <v>1</v>
      </c>
      <c r="EUG91" t="s">
        <v>436</v>
      </c>
      <c r="EUH91" t="s">
        <v>437</v>
      </c>
      <c r="EUI91" t="s">
        <v>428</v>
      </c>
      <c r="EUK91" t="s">
        <v>146</v>
      </c>
      <c r="EUL91" t="s">
        <v>145</v>
      </c>
      <c r="EUM91" t="s">
        <v>398</v>
      </c>
      <c r="EUN91">
        <v>1</v>
      </c>
      <c r="EUO91" t="s">
        <v>436</v>
      </c>
      <c r="EUP91" t="s">
        <v>437</v>
      </c>
      <c r="EUQ91" t="s">
        <v>428</v>
      </c>
      <c r="EUS91" t="s">
        <v>146</v>
      </c>
      <c r="EUT91" t="s">
        <v>145</v>
      </c>
      <c r="EUU91" t="s">
        <v>398</v>
      </c>
      <c r="EUV91">
        <v>1</v>
      </c>
      <c r="EUW91" t="s">
        <v>436</v>
      </c>
      <c r="EUX91" t="s">
        <v>437</v>
      </c>
      <c r="EUY91" t="s">
        <v>428</v>
      </c>
      <c r="EVA91" t="s">
        <v>146</v>
      </c>
      <c r="EVB91" t="s">
        <v>145</v>
      </c>
      <c r="EVC91" t="s">
        <v>398</v>
      </c>
      <c r="EVD91">
        <v>1</v>
      </c>
      <c r="EVE91" t="s">
        <v>436</v>
      </c>
      <c r="EVF91" t="s">
        <v>437</v>
      </c>
      <c r="EVG91" t="s">
        <v>428</v>
      </c>
      <c r="EVI91" t="s">
        <v>146</v>
      </c>
      <c r="EVJ91" t="s">
        <v>145</v>
      </c>
      <c r="EVK91" t="s">
        <v>398</v>
      </c>
      <c r="EVL91">
        <v>1</v>
      </c>
      <c r="EVM91" t="s">
        <v>436</v>
      </c>
      <c r="EVN91" t="s">
        <v>437</v>
      </c>
      <c r="EVO91" t="s">
        <v>428</v>
      </c>
      <c r="EVQ91" t="s">
        <v>146</v>
      </c>
      <c r="EVR91" t="s">
        <v>145</v>
      </c>
      <c r="EVS91" t="s">
        <v>398</v>
      </c>
      <c r="EVT91">
        <v>1</v>
      </c>
      <c r="EVU91" t="s">
        <v>436</v>
      </c>
      <c r="EVV91" t="s">
        <v>437</v>
      </c>
      <c r="EVW91" t="s">
        <v>428</v>
      </c>
      <c r="EVY91" t="s">
        <v>146</v>
      </c>
      <c r="EVZ91" t="s">
        <v>145</v>
      </c>
      <c r="EWA91" t="s">
        <v>398</v>
      </c>
      <c r="EWB91">
        <v>1</v>
      </c>
      <c r="EWC91" t="s">
        <v>436</v>
      </c>
      <c r="EWD91" t="s">
        <v>437</v>
      </c>
      <c r="EWE91" t="s">
        <v>428</v>
      </c>
      <c r="EWG91" t="s">
        <v>146</v>
      </c>
      <c r="EWH91" t="s">
        <v>145</v>
      </c>
      <c r="EWI91" t="s">
        <v>398</v>
      </c>
      <c r="EWJ91">
        <v>1</v>
      </c>
      <c r="EWK91" t="s">
        <v>436</v>
      </c>
      <c r="EWL91" t="s">
        <v>437</v>
      </c>
      <c r="EWM91" t="s">
        <v>428</v>
      </c>
      <c r="EWO91" t="s">
        <v>146</v>
      </c>
      <c r="EWP91" t="s">
        <v>145</v>
      </c>
      <c r="EWQ91" t="s">
        <v>398</v>
      </c>
      <c r="EWR91">
        <v>1</v>
      </c>
      <c r="EWS91" t="s">
        <v>436</v>
      </c>
      <c r="EWT91" t="s">
        <v>437</v>
      </c>
      <c r="EWU91" t="s">
        <v>428</v>
      </c>
      <c r="EWW91" t="s">
        <v>146</v>
      </c>
      <c r="EWX91" t="s">
        <v>145</v>
      </c>
      <c r="EWY91" t="s">
        <v>398</v>
      </c>
      <c r="EWZ91">
        <v>1</v>
      </c>
      <c r="EXA91" t="s">
        <v>436</v>
      </c>
      <c r="EXB91" t="s">
        <v>437</v>
      </c>
      <c r="EXC91" t="s">
        <v>428</v>
      </c>
      <c r="EXE91" t="s">
        <v>146</v>
      </c>
      <c r="EXF91" t="s">
        <v>145</v>
      </c>
      <c r="EXG91" t="s">
        <v>398</v>
      </c>
      <c r="EXH91">
        <v>1</v>
      </c>
      <c r="EXI91" t="s">
        <v>436</v>
      </c>
      <c r="EXJ91" t="s">
        <v>437</v>
      </c>
      <c r="EXK91" t="s">
        <v>428</v>
      </c>
      <c r="EXM91" t="s">
        <v>146</v>
      </c>
      <c r="EXN91" t="s">
        <v>145</v>
      </c>
      <c r="EXO91" t="s">
        <v>398</v>
      </c>
      <c r="EXP91">
        <v>1</v>
      </c>
      <c r="EXQ91" t="s">
        <v>436</v>
      </c>
      <c r="EXR91" t="s">
        <v>437</v>
      </c>
      <c r="EXS91" t="s">
        <v>428</v>
      </c>
      <c r="EXU91" t="s">
        <v>146</v>
      </c>
      <c r="EXV91" t="s">
        <v>145</v>
      </c>
      <c r="EXW91" t="s">
        <v>398</v>
      </c>
      <c r="EXX91">
        <v>1</v>
      </c>
      <c r="EXY91" t="s">
        <v>436</v>
      </c>
      <c r="EXZ91" t="s">
        <v>437</v>
      </c>
      <c r="EYA91" t="s">
        <v>428</v>
      </c>
      <c r="EYC91" t="s">
        <v>146</v>
      </c>
      <c r="EYD91" t="s">
        <v>145</v>
      </c>
      <c r="EYE91" t="s">
        <v>398</v>
      </c>
      <c r="EYF91">
        <v>1</v>
      </c>
      <c r="EYG91" t="s">
        <v>436</v>
      </c>
      <c r="EYH91" t="s">
        <v>437</v>
      </c>
      <c r="EYI91" t="s">
        <v>428</v>
      </c>
      <c r="EYK91" t="s">
        <v>146</v>
      </c>
      <c r="EYL91" t="s">
        <v>145</v>
      </c>
      <c r="EYM91" t="s">
        <v>398</v>
      </c>
      <c r="EYN91">
        <v>1</v>
      </c>
      <c r="EYO91" t="s">
        <v>436</v>
      </c>
      <c r="EYP91" t="s">
        <v>437</v>
      </c>
      <c r="EYQ91" t="s">
        <v>428</v>
      </c>
      <c r="EYS91" t="s">
        <v>146</v>
      </c>
      <c r="EYT91" t="s">
        <v>145</v>
      </c>
      <c r="EYU91" t="s">
        <v>398</v>
      </c>
      <c r="EYV91">
        <v>1</v>
      </c>
      <c r="EYW91" t="s">
        <v>436</v>
      </c>
      <c r="EYX91" t="s">
        <v>437</v>
      </c>
      <c r="EYY91" t="s">
        <v>428</v>
      </c>
      <c r="EZA91" t="s">
        <v>146</v>
      </c>
      <c r="EZB91" t="s">
        <v>145</v>
      </c>
      <c r="EZC91" t="s">
        <v>398</v>
      </c>
      <c r="EZD91">
        <v>1</v>
      </c>
      <c r="EZE91" t="s">
        <v>436</v>
      </c>
      <c r="EZF91" t="s">
        <v>437</v>
      </c>
      <c r="EZG91" t="s">
        <v>428</v>
      </c>
      <c r="EZI91" t="s">
        <v>146</v>
      </c>
      <c r="EZJ91" t="s">
        <v>145</v>
      </c>
      <c r="EZK91" t="s">
        <v>398</v>
      </c>
      <c r="EZL91">
        <v>1</v>
      </c>
      <c r="EZM91" t="s">
        <v>436</v>
      </c>
      <c r="EZN91" t="s">
        <v>437</v>
      </c>
      <c r="EZO91" t="s">
        <v>428</v>
      </c>
      <c r="EZQ91" t="s">
        <v>146</v>
      </c>
      <c r="EZR91" t="s">
        <v>145</v>
      </c>
      <c r="EZS91" t="s">
        <v>398</v>
      </c>
      <c r="EZT91">
        <v>1</v>
      </c>
      <c r="EZU91" t="s">
        <v>436</v>
      </c>
      <c r="EZV91" t="s">
        <v>437</v>
      </c>
      <c r="EZW91" t="s">
        <v>428</v>
      </c>
      <c r="EZY91" t="s">
        <v>146</v>
      </c>
      <c r="EZZ91" t="s">
        <v>145</v>
      </c>
      <c r="FAA91" t="s">
        <v>398</v>
      </c>
      <c r="FAB91">
        <v>1</v>
      </c>
      <c r="FAC91" t="s">
        <v>436</v>
      </c>
      <c r="FAD91" t="s">
        <v>437</v>
      </c>
      <c r="FAE91" t="s">
        <v>428</v>
      </c>
      <c r="FAG91" t="s">
        <v>146</v>
      </c>
      <c r="FAH91" t="s">
        <v>145</v>
      </c>
      <c r="FAI91" t="s">
        <v>398</v>
      </c>
      <c r="FAJ91">
        <v>1</v>
      </c>
      <c r="FAK91" t="s">
        <v>436</v>
      </c>
      <c r="FAL91" t="s">
        <v>437</v>
      </c>
      <c r="FAM91" t="s">
        <v>428</v>
      </c>
      <c r="FAO91" t="s">
        <v>146</v>
      </c>
      <c r="FAP91" t="s">
        <v>145</v>
      </c>
      <c r="FAQ91" t="s">
        <v>398</v>
      </c>
      <c r="FAR91">
        <v>1</v>
      </c>
      <c r="FAS91" t="s">
        <v>436</v>
      </c>
      <c r="FAT91" t="s">
        <v>437</v>
      </c>
      <c r="FAU91" t="s">
        <v>428</v>
      </c>
      <c r="FAW91" t="s">
        <v>146</v>
      </c>
      <c r="FAX91" t="s">
        <v>145</v>
      </c>
      <c r="FAY91" t="s">
        <v>398</v>
      </c>
      <c r="FAZ91">
        <v>1</v>
      </c>
      <c r="FBA91" t="s">
        <v>436</v>
      </c>
      <c r="FBB91" t="s">
        <v>437</v>
      </c>
      <c r="FBC91" t="s">
        <v>428</v>
      </c>
      <c r="FBE91" t="s">
        <v>146</v>
      </c>
      <c r="FBF91" t="s">
        <v>145</v>
      </c>
      <c r="FBG91" t="s">
        <v>398</v>
      </c>
      <c r="FBH91">
        <v>1</v>
      </c>
      <c r="FBI91" t="s">
        <v>436</v>
      </c>
      <c r="FBJ91" t="s">
        <v>437</v>
      </c>
      <c r="FBK91" t="s">
        <v>428</v>
      </c>
      <c r="FBM91" t="s">
        <v>146</v>
      </c>
      <c r="FBN91" t="s">
        <v>145</v>
      </c>
      <c r="FBO91" t="s">
        <v>398</v>
      </c>
      <c r="FBP91">
        <v>1</v>
      </c>
      <c r="FBQ91" t="s">
        <v>436</v>
      </c>
      <c r="FBR91" t="s">
        <v>437</v>
      </c>
      <c r="FBS91" t="s">
        <v>428</v>
      </c>
      <c r="FBU91" t="s">
        <v>146</v>
      </c>
      <c r="FBV91" t="s">
        <v>145</v>
      </c>
      <c r="FBW91" t="s">
        <v>398</v>
      </c>
      <c r="FBX91">
        <v>1</v>
      </c>
      <c r="FBY91" t="s">
        <v>436</v>
      </c>
      <c r="FBZ91" t="s">
        <v>437</v>
      </c>
      <c r="FCA91" t="s">
        <v>428</v>
      </c>
      <c r="FCC91" t="s">
        <v>146</v>
      </c>
      <c r="FCD91" t="s">
        <v>145</v>
      </c>
      <c r="FCE91" t="s">
        <v>398</v>
      </c>
      <c r="FCF91">
        <v>1</v>
      </c>
      <c r="FCG91" t="s">
        <v>436</v>
      </c>
      <c r="FCH91" t="s">
        <v>437</v>
      </c>
      <c r="FCI91" t="s">
        <v>428</v>
      </c>
      <c r="FCK91" t="s">
        <v>146</v>
      </c>
      <c r="FCL91" t="s">
        <v>145</v>
      </c>
      <c r="FCM91" t="s">
        <v>398</v>
      </c>
      <c r="FCN91">
        <v>1</v>
      </c>
      <c r="FCO91" t="s">
        <v>436</v>
      </c>
      <c r="FCP91" t="s">
        <v>437</v>
      </c>
      <c r="FCQ91" t="s">
        <v>428</v>
      </c>
      <c r="FCS91" t="s">
        <v>146</v>
      </c>
      <c r="FCT91" t="s">
        <v>145</v>
      </c>
      <c r="FCU91" t="s">
        <v>398</v>
      </c>
      <c r="FCV91">
        <v>1</v>
      </c>
      <c r="FCW91" t="s">
        <v>436</v>
      </c>
      <c r="FCX91" t="s">
        <v>437</v>
      </c>
      <c r="FCY91" t="s">
        <v>428</v>
      </c>
      <c r="FDA91" t="s">
        <v>146</v>
      </c>
      <c r="FDB91" t="s">
        <v>145</v>
      </c>
      <c r="FDC91" t="s">
        <v>398</v>
      </c>
      <c r="FDD91">
        <v>1</v>
      </c>
      <c r="FDE91" t="s">
        <v>436</v>
      </c>
      <c r="FDF91" t="s">
        <v>437</v>
      </c>
      <c r="FDG91" t="s">
        <v>428</v>
      </c>
      <c r="FDI91" t="s">
        <v>146</v>
      </c>
      <c r="FDJ91" t="s">
        <v>145</v>
      </c>
      <c r="FDK91" t="s">
        <v>398</v>
      </c>
      <c r="FDL91">
        <v>1</v>
      </c>
      <c r="FDM91" t="s">
        <v>436</v>
      </c>
      <c r="FDN91" t="s">
        <v>437</v>
      </c>
      <c r="FDO91" t="s">
        <v>428</v>
      </c>
      <c r="FDQ91" t="s">
        <v>146</v>
      </c>
      <c r="FDR91" t="s">
        <v>145</v>
      </c>
      <c r="FDS91" t="s">
        <v>398</v>
      </c>
      <c r="FDT91">
        <v>1</v>
      </c>
      <c r="FDU91" t="s">
        <v>436</v>
      </c>
      <c r="FDV91" t="s">
        <v>437</v>
      </c>
      <c r="FDW91" t="s">
        <v>428</v>
      </c>
      <c r="FDY91" t="s">
        <v>146</v>
      </c>
      <c r="FDZ91" t="s">
        <v>145</v>
      </c>
      <c r="FEA91" t="s">
        <v>398</v>
      </c>
      <c r="FEB91">
        <v>1</v>
      </c>
      <c r="FEC91" t="s">
        <v>436</v>
      </c>
      <c r="FED91" t="s">
        <v>437</v>
      </c>
      <c r="FEE91" t="s">
        <v>428</v>
      </c>
      <c r="FEG91" t="s">
        <v>146</v>
      </c>
      <c r="FEH91" t="s">
        <v>145</v>
      </c>
      <c r="FEI91" t="s">
        <v>398</v>
      </c>
      <c r="FEJ91">
        <v>1</v>
      </c>
      <c r="FEK91" t="s">
        <v>436</v>
      </c>
      <c r="FEL91" t="s">
        <v>437</v>
      </c>
      <c r="FEM91" t="s">
        <v>428</v>
      </c>
      <c r="FEO91" t="s">
        <v>146</v>
      </c>
      <c r="FEP91" t="s">
        <v>145</v>
      </c>
      <c r="FEQ91" t="s">
        <v>398</v>
      </c>
      <c r="FER91">
        <v>1</v>
      </c>
      <c r="FES91" t="s">
        <v>436</v>
      </c>
      <c r="FET91" t="s">
        <v>437</v>
      </c>
      <c r="FEU91" t="s">
        <v>428</v>
      </c>
      <c r="FEW91" t="s">
        <v>146</v>
      </c>
      <c r="FEX91" t="s">
        <v>145</v>
      </c>
      <c r="FEY91" t="s">
        <v>398</v>
      </c>
      <c r="FEZ91">
        <v>1</v>
      </c>
      <c r="FFA91" t="s">
        <v>436</v>
      </c>
      <c r="FFB91" t="s">
        <v>437</v>
      </c>
      <c r="FFC91" t="s">
        <v>428</v>
      </c>
      <c r="FFE91" t="s">
        <v>146</v>
      </c>
      <c r="FFF91" t="s">
        <v>145</v>
      </c>
      <c r="FFG91" t="s">
        <v>398</v>
      </c>
      <c r="FFH91">
        <v>1</v>
      </c>
      <c r="FFI91" t="s">
        <v>436</v>
      </c>
      <c r="FFJ91" t="s">
        <v>437</v>
      </c>
      <c r="FFK91" t="s">
        <v>428</v>
      </c>
      <c r="FFM91" t="s">
        <v>146</v>
      </c>
      <c r="FFN91" t="s">
        <v>145</v>
      </c>
      <c r="FFO91" t="s">
        <v>398</v>
      </c>
      <c r="FFP91">
        <v>1</v>
      </c>
      <c r="FFQ91" t="s">
        <v>436</v>
      </c>
      <c r="FFR91" t="s">
        <v>437</v>
      </c>
      <c r="FFS91" t="s">
        <v>428</v>
      </c>
      <c r="FFU91" t="s">
        <v>146</v>
      </c>
      <c r="FFV91" t="s">
        <v>145</v>
      </c>
      <c r="FFW91" t="s">
        <v>398</v>
      </c>
      <c r="FFX91">
        <v>1</v>
      </c>
      <c r="FFY91" t="s">
        <v>436</v>
      </c>
      <c r="FFZ91" t="s">
        <v>437</v>
      </c>
      <c r="FGA91" t="s">
        <v>428</v>
      </c>
      <c r="FGC91" t="s">
        <v>146</v>
      </c>
      <c r="FGD91" t="s">
        <v>145</v>
      </c>
      <c r="FGE91" t="s">
        <v>398</v>
      </c>
      <c r="FGF91">
        <v>1</v>
      </c>
      <c r="FGG91" t="s">
        <v>436</v>
      </c>
      <c r="FGH91" t="s">
        <v>437</v>
      </c>
      <c r="FGI91" t="s">
        <v>428</v>
      </c>
      <c r="FGK91" t="s">
        <v>146</v>
      </c>
      <c r="FGL91" t="s">
        <v>145</v>
      </c>
      <c r="FGM91" t="s">
        <v>398</v>
      </c>
      <c r="FGN91">
        <v>1</v>
      </c>
      <c r="FGO91" t="s">
        <v>436</v>
      </c>
      <c r="FGP91" t="s">
        <v>437</v>
      </c>
      <c r="FGQ91" t="s">
        <v>428</v>
      </c>
      <c r="FGS91" t="s">
        <v>146</v>
      </c>
      <c r="FGT91" t="s">
        <v>145</v>
      </c>
      <c r="FGU91" t="s">
        <v>398</v>
      </c>
      <c r="FGV91">
        <v>1</v>
      </c>
      <c r="FGW91" t="s">
        <v>436</v>
      </c>
      <c r="FGX91" t="s">
        <v>437</v>
      </c>
      <c r="FGY91" t="s">
        <v>428</v>
      </c>
      <c r="FHA91" t="s">
        <v>146</v>
      </c>
      <c r="FHB91" t="s">
        <v>145</v>
      </c>
      <c r="FHC91" t="s">
        <v>398</v>
      </c>
      <c r="FHD91">
        <v>1</v>
      </c>
      <c r="FHE91" t="s">
        <v>436</v>
      </c>
      <c r="FHF91" t="s">
        <v>437</v>
      </c>
      <c r="FHG91" t="s">
        <v>428</v>
      </c>
      <c r="FHI91" t="s">
        <v>146</v>
      </c>
      <c r="FHJ91" t="s">
        <v>145</v>
      </c>
      <c r="FHK91" t="s">
        <v>398</v>
      </c>
      <c r="FHL91">
        <v>1</v>
      </c>
      <c r="FHM91" t="s">
        <v>436</v>
      </c>
      <c r="FHN91" t="s">
        <v>437</v>
      </c>
      <c r="FHO91" t="s">
        <v>428</v>
      </c>
      <c r="FHQ91" t="s">
        <v>146</v>
      </c>
      <c r="FHR91" t="s">
        <v>145</v>
      </c>
      <c r="FHS91" t="s">
        <v>398</v>
      </c>
      <c r="FHT91">
        <v>1</v>
      </c>
      <c r="FHU91" t="s">
        <v>436</v>
      </c>
      <c r="FHV91" t="s">
        <v>437</v>
      </c>
      <c r="FHW91" t="s">
        <v>428</v>
      </c>
      <c r="FHY91" t="s">
        <v>146</v>
      </c>
      <c r="FHZ91" t="s">
        <v>145</v>
      </c>
      <c r="FIA91" t="s">
        <v>398</v>
      </c>
      <c r="FIB91">
        <v>1</v>
      </c>
      <c r="FIC91" t="s">
        <v>436</v>
      </c>
      <c r="FID91" t="s">
        <v>437</v>
      </c>
      <c r="FIE91" t="s">
        <v>428</v>
      </c>
      <c r="FIG91" t="s">
        <v>146</v>
      </c>
      <c r="FIH91" t="s">
        <v>145</v>
      </c>
      <c r="FII91" t="s">
        <v>398</v>
      </c>
      <c r="FIJ91">
        <v>1</v>
      </c>
      <c r="FIK91" t="s">
        <v>436</v>
      </c>
      <c r="FIL91" t="s">
        <v>437</v>
      </c>
      <c r="FIM91" t="s">
        <v>428</v>
      </c>
      <c r="FIO91" t="s">
        <v>146</v>
      </c>
      <c r="FIP91" t="s">
        <v>145</v>
      </c>
      <c r="FIQ91" t="s">
        <v>398</v>
      </c>
      <c r="FIR91">
        <v>1</v>
      </c>
      <c r="FIS91" t="s">
        <v>436</v>
      </c>
      <c r="FIT91" t="s">
        <v>437</v>
      </c>
      <c r="FIU91" t="s">
        <v>428</v>
      </c>
      <c r="FIW91" t="s">
        <v>146</v>
      </c>
      <c r="FIX91" t="s">
        <v>145</v>
      </c>
      <c r="FIY91" t="s">
        <v>398</v>
      </c>
      <c r="FIZ91">
        <v>1</v>
      </c>
      <c r="FJA91" t="s">
        <v>436</v>
      </c>
      <c r="FJB91" t="s">
        <v>437</v>
      </c>
      <c r="FJC91" t="s">
        <v>428</v>
      </c>
      <c r="FJE91" t="s">
        <v>146</v>
      </c>
      <c r="FJF91" t="s">
        <v>145</v>
      </c>
      <c r="FJG91" t="s">
        <v>398</v>
      </c>
      <c r="FJH91">
        <v>1</v>
      </c>
      <c r="FJI91" t="s">
        <v>436</v>
      </c>
      <c r="FJJ91" t="s">
        <v>437</v>
      </c>
      <c r="FJK91" t="s">
        <v>428</v>
      </c>
      <c r="FJM91" t="s">
        <v>146</v>
      </c>
      <c r="FJN91" t="s">
        <v>145</v>
      </c>
      <c r="FJO91" t="s">
        <v>398</v>
      </c>
      <c r="FJP91">
        <v>1</v>
      </c>
      <c r="FJQ91" t="s">
        <v>436</v>
      </c>
      <c r="FJR91" t="s">
        <v>437</v>
      </c>
      <c r="FJS91" t="s">
        <v>428</v>
      </c>
      <c r="FJU91" t="s">
        <v>146</v>
      </c>
      <c r="FJV91" t="s">
        <v>145</v>
      </c>
      <c r="FJW91" t="s">
        <v>398</v>
      </c>
      <c r="FJX91">
        <v>1</v>
      </c>
      <c r="FJY91" t="s">
        <v>436</v>
      </c>
      <c r="FJZ91" t="s">
        <v>437</v>
      </c>
      <c r="FKA91" t="s">
        <v>428</v>
      </c>
      <c r="FKC91" t="s">
        <v>146</v>
      </c>
      <c r="FKD91" t="s">
        <v>145</v>
      </c>
      <c r="FKE91" t="s">
        <v>398</v>
      </c>
      <c r="FKF91">
        <v>1</v>
      </c>
      <c r="FKG91" t="s">
        <v>436</v>
      </c>
      <c r="FKH91" t="s">
        <v>437</v>
      </c>
      <c r="FKI91" t="s">
        <v>428</v>
      </c>
      <c r="FKK91" t="s">
        <v>146</v>
      </c>
      <c r="FKL91" t="s">
        <v>145</v>
      </c>
      <c r="FKM91" t="s">
        <v>398</v>
      </c>
      <c r="FKN91">
        <v>1</v>
      </c>
      <c r="FKO91" t="s">
        <v>436</v>
      </c>
      <c r="FKP91" t="s">
        <v>437</v>
      </c>
      <c r="FKQ91" t="s">
        <v>428</v>
      </c>
      <c r="FKS91" t="s">
        <v>146</v>
      </c>
      <c r="FKT91" t="s">
        <v>145</v>
      </c>
      <c r="FKU91" t="s">
        <v>398</v>
      </c>
      <c r="FKV91">
        <v>1</v>
      </c>
      <c r="FKW91" t="s">
        <v>436</v>
      </c>
      <c r="FKX91" t="s">
        <v>437</v>
      </c>
      <c r="FKY91" t="s">
        <v>428</v>
      </c>
      <c r="FLA91" t="s">
        <v>146</v>
      </c>
      <c r="FLB91" t="s">
        <v>145</v>
      </c>
      <c r="FLC91" t="s">
        <v>398</v>
      </c>
      <c r="FLD91">
        <v>1</v>
      </c>
      <c r="FLE91" t="s">
        <v>436</v>
      </c>
      <c r="FLF91" t="s">
        <v>437</v>
      </c>
      <c r="FLG91" t="s">
        <v>428</v>
      </c>
      <c r="FLI91" t="s">
        <v>146</v>
      </c>
      <c r="FLJ91" t="s">
        <v>145</v>
      </c>
      <c r="FLK91" t="s">
        <v>398</v>
      </c>
      <c r="FLL91">
        <v>1</v>
      </c>
      <c r="FLM91" t="s">
        <v>436</v>
      </c>
      <c r="FLN91" t="s">
        <v>437</v>
      </c>
      <c r="FLO91" t="s">
        <v>428</v>
      </c>
      <c r="FLQ91" t="s">
        <v>146</v>
      </c>
      <c r="FLR91" t="s">
        <v>145</v>
      </c>
      <c r="FLS91" t="s">
        <v>398</v>
      </c>
      <c r="FLT91">
        <v>1</v>
      </c>
      <c r="FLU91" t="s">
        <v>436</v>
      </c>
      <c r="FLV91" t="s">
        <v>437</v>
      </c>
      <c r="FLW91" t="s">
        <v>428</v>
      </c>
      <c r="FLY91" t="s">
        <v>146</v>
      </c>
      <c r="FLZ91" t="s">
        <v>145</v>
      </c>
      <c r="FMA91" t="s">
        <v>398</v>
      </c>
      <c r="FMB91">
        <v>1</v>
      </c>
      <c r="FMC91" t="s">
        <v>436</v>
      </c>
      <c r="FMD91" t="s">
        <v>437</v>
      </c>
      <c r="FME91" t="s">
        <v>428</v>
      </c>
      <c r="FMG91" t="s">
        <v>146</v>
      </c>
      <c r="FMH91" t="s">
        <v>145</v>
      </c>
      <c r="FMI91" t="s">
        <v>398</v>
      </c>
      <c r="FMJ91">
        <v>1</v>
      </c>
      <c r="FMK91" t="s">
        <v>436</v>
      </c>
      <c r="FML91" t="s">
        <v>437</v>
      </c>
      <c r="FMM91" t="s">
        <v>428</v>
      </c>
      <c r="FMO91" t="s">
        <v>146</v>
      </c>
      <c r="FMP91" t="s">
        <v>145</v>
      </c>
      <c r="FMQ91" t="s">
        <v>398</v>
      </c>
      <c r="FMR91">
        <v>1</v>
      </c>
      <c r="FMS91" t="s">
        <v>436</v>
      </c>
      <c r="FMT91" t="s">
        <v>437</v>
      </c>
      <c r="FMU91" t="s">
        <v>428</v>
      </c>
      <c r="FMW91" t="s">
        <v>146</v>
      </c>
      <c r="FMX91" t="s">
        <v>145</v>
      </c>
      <c r="FMY91" t="s">
        <v>398</v>
      </c>
      <c r="FMZ91">
        <v>1</v>
      </c>
      <c r="FNA91" t="s">
        <v>436</v>
      </c>
      <c r="FNB91" t="s">
        <v>437</v>
      </c>
      <c r="FNC91" t="s">
        <v>428</v>
      </c>
      <c r="FNE91" t="s">
        <v>146</v>
      </c>
      <c r="FNF91" t="s">
        <v>145</v>
      </c>
      <c r="FNG91" t="s">
        <v>398</v>
      </c>
      <c r="FNH91">
        <v>1</v>
      </c>
      <c r="FNI91" t="s">
        <v>436</v>
      </c>
      <c r="FNJ91" t="s">
        <v>437</v>
      </c>
      <c r="FNK91" t="s">
        <v>428</v>
      </c>
      <c r="FNM91" t="s">
        <v>146</v>
      </c>
      <c r="FNN91" t="s">
        <v>145</v>
      </c>
      <c r="FNO91" t="s">
        <v>398</v>
      </c>
      <c r="FNP91">
        <v>1</v>
      </c>
      <c r="FNQ91" t="s">
        <v>436</v>
      </c>
      <c r="FNR91" t="s">
        <v>437</v>
      </c>
      <c r="FNS91" t="s">
        <v>428</v>
      </c>
      <c r="FNU91" t="s">
        <v>146</v>
      </c>
      <c r="FNV91" t="s">
        <v>145</v>
      </c>
      <c r="FNW91" t="s">
        <v>398</v>
      </c>
      <c r="FNX91">
        <v>1</v>
      </c>
      <c r="FNY91" t="s">
        <v>436</v>
      </c>
      <c r="FNZ91" t="s">
        <v>437</v>
      </c>
      <c r="FOA91" t="s">
        <v>428</v>
      </c>
      <c r="FOC91" t="s">
        <v>146</v>
      </c>
      <c r="FOD91" t="s">
        <v>145</v>
      </c>
      <c r="FOE91" t="s">
        <v>398</v>
      </c>
      <c r="FOF91">
        <v>1</v>
      </c>
      <c r="FOG91" t="s">
        <v>436</v>
      </c>
      <c r="FOH91" t="s">
        <v>437</v>
      </c>
      <c r="FOI91" t="s">
        <v>428</v>
      </c>
      <c r="FOK91" t="s">
        <v>146</v>
      </c>
      <c r="FOL91" t="s">
        <v>145</v>
      </c>
      <c r="FOM91" t="s">
        <v>398</v>
      </c>
      <c r="FON91">
        <v>1</v>
      </c>
      <c r="FOO91" t="s">
        <v>436</v>
      </c>
      <c r="FOP91" t="s">
        <v>437</v>
      </c>
      <c r="FOQ91" t="s">
        <v>428</v>
      </c>
      <c r="FOS91" t="s">
        <v>146</v>
      </c>
      <c r="FOT91" t="s">
        <v>145</v>
      </c>
      <c r="FOU91" t="s">
        <v>398</v>
      </c>
      <c r="FOV91">
        <v>1</v>
      </c>
      <c r="FOW91" t="s">
        <v>436</v>
      </c>
      <c r="FOX91" t="s">
        <v>437</v>
      </c>
      <c r="FOY91" t="s">
        <v>428</v>
      </c>
      <c r="FPA91" t="s">
        <v>146</v>
      </c>
      <c r="FPB91" t="s">
        <v>145</v>
      </c>
      <c r="FPC91" t="s">
        <v>398</v>
      </c>
      <c r="FPD91">
        <v>1</v>
      </c>
      <c r="FPE91" t="s">
        <v>436</v>
      </c>
      <c r="FPF91" t="s">
        <v>437</v>
      </c>
      <c r="FPG91" t="s">
        <v>428</v>
      </c>
      <c r="FPI91" t="s">
        <v>146</v>
      </c>
      <c r="FPJ91" t="s">
        <v>145</v>
      </c>
      <c r="FPK91" t="s">
        <v>398</v>
      </c>
      <c r="FPL91">
        <v>1</v>
      </c>
      <c r="FPM91" t="s">
        <v>436</v>
      </c>
      <c r="FPN91" t="s">
        <v>437</v>
      </c>
      <c r="FPO91" t="s">
        <v>428</v>
      </c>
      <c r="FPQ91" t="s">
        <v>146</v>
      </c>
      <c r="FPR91" t="s">
        <v>145</v>
      </c>
      <c r="FPS91" t="s">
        <v>398</v>
      </c>
      <c r="FPT91">
        <v>1</v>
      </c>
      <c r="FPU91" t="s">
        <v>436</v>
      </c>
      <c r="FPV91" t="s">
        <v>437</v>
      </c>
      <c r="FPW91" t="s">
        <v>428</v>
      </c>
      <c r="FPY91" t="s">
        <v>146</v>
      </c>
      <c r="FPZ91" t="s">
        <v>145</v>
      </c>
      <c r="FQA91" t="s">
        <v>398</v>
      </c>
      <c r="FQB91">
        <v>1</v>
      </c>
      <c r="FQC91" t="s">
        <v>436</v>
      </c>
      <c r="FQD91" t="s">
        <v>437</v>
      </c>
      <c r="FQE91" t="s">
        <v>428</v>
      </c>
      <c r="FQG91" t="s">
        <v>146</v>
      </c>
      <c r="FQH91" t="s">
        <v>145</v>
      </c>
      <c r="FQI91" t="s">
        <v>398</v>
      </c>
      <c r="FQJ91">
        <v>1</v>
      </c>
      <c r="FQK91" t="s">
        <v>436</v>
      </c>
      <c r="FQL91" t="s">
        <v>437</v>
      </c>
      <c r="FQM91" t="s">
        <v>428</v>
      </c>
      <c r="FQO91" t="s">
        <v>146</v>
      </c>
      <c r="FQP91" t="s">
        <v>145</v>
      </c>
      <c r="FQQ91" t="s">
        <v>398</v>
      </c>
      <c r="FQR91">
        <v>1</v>
      </c>
      <c r="FQS91" t="s">
        <v>436</v>
      </c>
      <c r="FQT91" t="s">
        <v>437</v>
      </c>
      <c r="FQU91" t="s">
        <v>428</v>
      </c>
      <c r="FQW91" t="s">
        <v>146</v>
      </c>
      <c r="FQX91" t="s">
        <v>145</v>
      </c>
      <c r="FQY91" t="s">
        <v>398</v>
      </c>
      <c r="FQZ91">
        <v>1</v>
      </c>
      <c r="FRA91" t="s">
        <v>436</v>
      </c>
      <c r="FRB91" t="s">
        <v>437</v>
      </c>
      <c r="FRC91" t="s">
        <v>428</v>
      </c>
      <c r="FRE91" t="s">
        <v>146</v>
      </c>
      <c r="FRF91" t="s">
        <v>145</v>
      </c>
      <c r="FRG91" t="s">
        <v>398</v>
      </c>
      <c r="FRH91">
        <v>1</v>
      </c>
      <c r="FRI91" t="s">
        <v>436</v>
      </c>
      <c r="FRJ91" t="s">
        <v>437</v>
      </c>
      <c r="FRK91" t="s">
        <v>428</v>
      </c>
      <c r="FRM91" t="s">
        <v>146</v>
      </c>
      <c r="FRN91" t="s">
        <v>145</v>
      </c>
      <c r="FRO91" t="s">
        <v>398</v>
      </c>
      <c r="FRP91">
        <v>1</v>
      </c>
      <c r="FRQ91" t="s">
        <v>436</v>
      </c>
      <c r="FRR91" t="s">
        <v>437</v>
      </c>
      <c r="FRS91" t="s">
        <v>428</v>
      </c>
      <c r="FRU91" t="s">
        <v>146</v>
      </c>
      <c r="FRV91" t="s">
        <v>145</v>
      </c>
      <c r="FRW91" t="s">
        <v>398</v>
      </c>
      <c r="FRX91">
        <v>1</v>
      </c>
      <c r="FRY91" t="s">
        <v>436</v>
      </c>
      <c r="FRZ91" t="s">
        <v>437</v>
      </c>
      <c r="FSA91" t="s">
        <v>428</v>
      </c>
      <c r="FSC91" t="s">
        <v>146</v>
      </c>
      <c r="FSD91" t="s">
        <v>145</v>
      </c>
      <c r="FSE91" t="s">
        <v>398</v>
      </c>
      <c r="FSF91">
        <v>1</v>
      </c>
      <c r="FSG91" t="s">
        <v>436</v>
      </c>
      <c r="FSH91" t="s">
        <v>437</v>
      </c>
      <c r="FSI91" t="s">
        <v>428</v>
      </c>
      <c r="FSK91" t="s">
        <v>146</v>
      </c>
      <c r="FSL91" t="s">
        <v>145</v>
      </c>
      <c r="FSM91" t="s">
        <v>398</v>
      </c>
      <c r="FSN91">
        <v>1</v>
      </c>
      <c r="FSO91" t="s">
        <v>436</v>
      </c>
      <c r="FSP91" t="s">
        <v>437</v>
      </c>
      <c r="FSQ91" t="s">
        <v>428</v>
      </c>
      <c r="FSS91" t="s">
        <v>146</v>
      </c>
      <c r="FST91" t="s">
        <v>145</v>
      </c>
      <c r="FSU91" t="s">
        <v>398</v>
      </c>
      <c r="FSV91">
        <v>1</v>
      </c>
      <c r="FSW91" t="s">
        <v>436</v>
      </c>
      <c r="FSX91" t="s">
        <v>437</v>
      </c>
      <c r="FSY91" t="s">
        <v>428</v>
      </c>
      <c r="FTA91" t="s">
        <v>146</v>
      </c>
      <c r="FTB91" t="s">
        <v>145</v>
      </c>
      <c r="FTC91" t="s">
        <v>398</v>
      </c>
      <c r="FTD91">
        <v>1</v>
      </c>
      <c r="FTE91" t="s">
        <v>436</v>
      </c>
      <c r="FTF91" t="s">
        <v>437</v>
      </c>
      <c r="FTG91" t="s">
        <v>428</v>
      </c>
      <c r="FTI91" t="s">
        <v>146</v>
      </c>
      <c r="FTJ91" t="s">
        <v>145</v>
      </c>
      <c r="FTK91" t="s">
        <v>398</v>
      </c>
      <c r="FTL91">
        <v>1</v>
      </c>
      <c r="FTM91" t="s">
        <v>436</v>
      </c>
      <c r="FTN91" t="s">
        <v>437</v>
      </c>
      <c r="FTO91" t="s">
        <v>428</v>
      </c>
      <c r="FTQ91" t="s">
        <v>146</v>
      </c>
      <c r="FTR91" t="s">
        <v>145</v>
      </c>
      <c r="FTS91" t="s">
        <v>398</v>
      </c>
      <c r="FTT91">
        <v>1</v>
      </c>
      <c r="FTU91" t="s">
        <v>436</v>
      </c>
      <c r="FTV91" t="s">
        <v>437</v>
      </c>
      <c r="FTW91" t="s">
        <v>428</v>
      </c>
      <c r="FTY91" t="s">
        <v>146</v>
      </c>
      <c r="FTZ91" t="s">
        <v>145</v>
      </c>
      <c r="FUA91" t="s">
        <v>398</v>
      </c>
      <c r="FUB91">
        <v>1</v>
      </c>
      <c r="FUC91" t="s">
        <v>436</v>
      </c>
      <c r="FUD91" t="s">
        <v>437</v>
      </c>
      <c r="FUE91" t="s">
        <v>428</v>
      </c>
      <c r="FUG91" t="s">
        <v>146</v>
      </c>
      <c r="FUH91" t="s">
        <v>145</v>
      </c>
      <c r="FUI91" t="s">
        <v>398</v>
      </c>
      <c r="FUJ91">
        <v>1</v>
      </c>
      <c r="FUK91" t="s">
        <v>436</v>
      </c>
      <c r="FUL91" t="s">
        <v>437</v>
      </c>
      <c r="FUM91" t="s">
        <v>428</v>
      </c>
      <c r="FUO91" t="s">
        <v>146</v>
      </c>
      <c r="FUP91" t="s">
        <v>145</v>
      </c>
      <c r="FUQ91" t="s">
        <v>398</v>
      </c>
      <c r="FUR91">
        <v>1</v>
      </c>
      <c r="FUS91" t="s">
        <v>436</v>
      </c>
      <c r="FUT91" t="s">
        <v>437</v>
      </c>
      <c r="FUU91" t="s">
        <v>428</v>
      </c>
      <c r="FUW91" t="s">
        <v>146</v>
      </c>
      <c r="FUX91" t="s">
        <v>145</v>
      </c>
      <c r="FUY91" t="s">
        <v>398</v>
      </c>
      <c r="FUZ91">
        <v>1</v>
      </c>
      <c r="FVA91" t="s">
        <v>436</v>
      </c>
      <c r="FVB91" t="s">
        <v>437</v>
      </c>
      <c r="FVC91" t="s">
        <v>428</v>
      </c>
      <c r="FVE91" t="s">
        <v>146</v>
      </c>
      <c r="FVF91" t="s">
        <v>145</v>
      </c>
      <c r="FVG91" t="s">
        <v>398</v>
      </c>
      <c r="FVH91">
        <v>1</v>
      </c>
      <c r="FVI91" t="s">
        <v>436</v>
      </c>
      <c r="FVJ91" t="s">
        <v>437</v>
      </c>
      <c r="FVK91" t="s">
        <v>428</v>
      </c>
      <c r="FVM91" t="s">
        <v>146</v>
      </c>
      <c r="FVN91" t="s">
        <v>145</v>
      </c>
      <c r="FVO91" t="s">
        <v>398</v>
      </c>
      <c r="FVP91">
        <v>1</v>
      </c>
      <c r="FVQ91" t="s">
        <v>436</v>
      </c>
      <c r="FVR91" t="s">
        <v>437</v>
      </c>
      <c r="FVS91" t="s">
        <v>428</v>
      </c>
      <c r="FVU91" t="s">
        <v>146</v>
      </c>
      <c r="FVV91" t="s">
        <v>145</v>
      </c>
      <c r="FVW91" t="s">
        <v>398</v>
      </c>
      <c r="FVX91">
        <v>1</v>
      </c>
      <c r="FVY91" t="s">
        <v>436</v>
      </c>
      <c r="FVZ91" t="s">
        <v>437</v>
      </c>
      <c r="FWA91" t="s">
        <v>428</v>
      </c>
      <c r="FWC91" t="s">
        <v>146</v>
      </c>
      <c r="FWD91" t="s">
        <v>145</v>
      </c>
      <c r="FWE91" t="s">
        <v>398</v>
      </c>
      <c r="FWF91">
        <v>1</v>
      </c>
      <c r="FWG91" t="s">
        <v>436</v>
      </c>
      <c r="FWH91" t="s">
        <v>437</v>
      </c>
      <c r="FWI91" t="s">
        <v>428</v>
      </c>
      <c r="FWK91" t="s">
        <v>146</v>
      </c>
      <c r="FWL91" t="s">
        <v>145</v>
      </c>
      <c r="FWM91" t="s">
        <v>398</v>
      </c>
      <c r="FWN91">
        <v>1</v>
      </c>
      <c r="FWO91" t="s">
        <v>436</v>
      </c>
      <c r="FWP91" t="s">
        <v>437</v>
      </c>
      <c r="FWQ91" t="s">
        <v>428</v>
      </c>
      <c r="FWS91" t="s">
        <v>146</v>
      </c>
      <c r="FWT91" t="s">
        <v>145</v>
      </c>
      <c r="FWU91" t="s">
        <v>398</v>
      </c>
      <c r="FWV91">
        <v>1</v>
      </c>
      <c r="FWW91" t="s">
        <v>436</v>
      </c>
      <c r="FWX91" t="s">
        <v>437</v>
      </c>
      <c r="FWY91" t="s">
        <v>428</v>
      </c>
      <c r="FXA91" t="s">
        <v>146</v>
      </c>
      <c r="FXB91" t="s">
        <v>145</v>
      </c>
      <c r="FXC91" t="s">
        <v>398</v>
      </c>
      <c r="FXD91">
        <v>1</v>
      </c>
      <c r="FXE91" t="s">
        <v>436</v>
      </c>
      <c r="FXF91" t="s">
        <v>437</v>
      </c>
      <c r="FXG91" t="s">
        <v>428</v>
      </c>
      <c r="FXI91" t="s">
        <v>146</v>
      </c>
      <c r="FXJ91" t="s">
        <v>145</v>
      </c>
      <c r="FXK91" t="s">
        <v>398</v>
      </c>
      <c r="FXL91">
        <v>1</v>
      </c>
      <c r="FXM91" t="s">
        <v>436</v>
      </c>
      <c r="FXN91" t="s">
        <v>437</v>
      </c>
      <c r="FXO91" t="s">
        <v>428</v>
      </c>
      <c r="FXQ91" t="s">
        <v>146</v>
      </c>
      <c r="FXR91" t="s">
        <v>145</v>
      </c>
      <c r="FXS91" t="s">
        <v>398</v>
      </c>
      <c r="FXT91">
        <v>1</v>
      </c>
      <c r="FXU91" t="s">
        <v>436</v>
      </c>
      <c r="FXV91" t="s">
        <v>437</v>
      </c>
      <c r="FXW91" t="s">
        <v>428</v>
      </c>
      <c r="FXY91" t="s">
        <v>146</v>
      </c>
      <c r="FXZ91" t="s">
        <v>145</v>
      </c>
      <c r="FYA91" t="s">
        <v>398</v>
      </c>
      <c r="FYB91">
        <v>1</v>
      </c>
      <c r="FYC91" t="s">
        <v>436</v>
      </c>
      <c r="FYD91" t="s">
        <v>437</v>
      </c>
      <c r="FYE91" t="s">
        <v>428</v>
      </c>
      <c r="FYG91" t="s">
        <v>146</v>
      </c>
      <c r="FYH91" t="s">
        <v>145</v>
      </c>
      <c r="FYI91" t="s">
        <v>398</v>
      </c>
      <c r="FYJ91">
        <v>1</v>
      </c>
      <c r="FYK91" t="s">
        <v>436</v>
      </c>
      <c r="FYL91" t="s">
        <v>437</v>
      </c>
      <c r="FYM91" t="s">
        <v>428</v>
      </c>
      <c r="FYO91" t="s">
        <v>146</v>
      </c>
      <c r="FYP91" t="s">
        <v>145</v>
      </c>
      <c r="FYQ91" t="s">
        <v>398</v>
      </c>
      <c r="FYR91">
        <v>1</v>
      </c>
      <c r="FYS91" t="s">
        <v>436</v>
      </c>
      <c r="FYT91" t="s">
        <v>437</v>
      </c>
      <c r="FYU91" t="s">
        <v>428</v>
      </c>
      <c r="FYW91" t="s">
        <v>146</v>
      </c>
      <c r="FYX91" t="s">
        <v>145</v>
      </c>
      <c r="FYY91" t="s">
        <v>398</v>
      </c>
      <c r="FYZ91">
        <v>1</v>
      </c>
      <c r="FZA91" t="s">
        <v>436</v>
      </c>
      <c r="FZB91" t="s">
        <v>437</v>
      </c>
      <c r="FZC91" t="s">
        <v>428</v>
      </c>
      <c r="FZE91" t="s">
        <v>146</v>
      </c>
      <c r="FZF91" t="s">
        <v>145</v>
      </c>
      <c r="FZG91" t="s">
        <v>398</v>
      </c>
      <c r="FZH91">
        <v>1</v>
      </c>
      <c r="FZI91" t="s">
        <v>436</v>
      </c>
      <c r="FZJ91" t="s">
        <v>437</v>
      </c>
      <c r="FZK91" t="s">
        <v>428</v>
      </c>
      <c r="FZM91" t="s">
        <v>146</v>
      </c>
      <c r="FZN91" t="s">
        <v>145</v>
      </c>
      <c r="FZO91" t="s">
        <v>398</v>
      </c>
      <c r="FZP91">
        <v>1</v>
      </c>
      <c r="FZQ91" t="s">
        <v>436</v>
      </c>
      <c r="FZR91" t="s">
        <v>437</v>
      </c>
      <c r="FZS91" t="s">
        <v>428</v>
      </c>
      <c r="FZU91" t="s">
        <v>146</v>
      </c>
      <c r="FZV91" t="s">
        <v>145</v>
      </c>
      <c r="FZW91" t="s">
        <v>398</v>
      </c>
      <c r="FZX91">
        <v>1</v>
      </c>
      <c r="FZY91" t="s">
        <v>436</v>
      </c>
      <c r="FZZ91" t="s">
        <v>437</v>
      </c>
      <c r="GAA91" t="s">
        <v>428</v>
      </c>
      <c r="GAC91" t="s">
        <v>146</v>
      </c>
      <c r="GAD91" t="s">
        <v>145</v>
      </c>
      <c r="GAE91" t="s">
        <v>398</v>
      </c>
      <c r="GAF91">
        <v>1</v>
      </c>
      <c r="GAG91" t="s">
        <v>436</v>
      </c>
      <c r="GAH91" t="s">
        <v>437</v>
      </c>
      <c r="GAI91" t="s">
        <v>428</v>
      </c>
      <c r="GAK91" t="s">
        <v>146</v>
      </c>
      <c r="GAL91" t="s">
        <v>145</v>
      </c>
      <c r="GAM91" t="s">
        <v>398</v>
      </c>
      <c r="GAN91">
        <v>1</v>
      </c>
      <c r="GAO91" t="s">
        <v>436</v>
      </c>
      <c r="GAP91" t="s">
        <v>437</v>
      </c>
      <c r="GAQ91" t="s">
        <v>428</v>
      </c>
      <c r="GAS91" t="s">
        <v>146</v>
      </c>
      <c r="GAT91" t="s">
        <v>145</v>
      </c>
      <c r="GAU91" t="s">
        <v>398</v>
      </c>
      <c r="GAV91">
        <v>1</v>
      </c>
      <c r="GAW91" t="s">
        <v>436</v>
      </c>
      <c r="GAX91" t="s">
        <v>437</v>
      </c>
      <c r="GAY91" t="s">
        <v>428</v>
      </c>
      <c r="GBA91" t="s">
        <v>146</v>
      </c>
      <c r="GBB91" t="s">
        <v>145</v>
      </c>
      <c r="GBC91" t="s">
        <v>398</v>
      </c>
      <c r="GBD91">
        <v>1</v>
      </c>
      <c r="GBE91" t="s">
        <v>436</v>
      </c>
      <c r="GBF91" t="s">
        <v>437</v>
      </c>
      <c r="GBG91" t="s">
        <v>428</v>
      </c>
      <c r="GBI91" t="s">
        <v>146</v>
      </c>
      <c r="GBJ91" t="s">
        <v>145</v>
      </c>
      <c r="GBK91" t="s">
        <v>398</v>
      </c>
      <c r="GBL91">
        <v>1</v>
      </c>
      <c r="GBM91" t="s">
        <v>436</v>
      </c>
      <c r="GBN91" t="s">
        <v>437</v>
      </c>
      <c r="GBO91" t="s">
        <v>428</v>
      </c>
      <c r="GBQ91" t="s">
        <v>146</v>
      </c>
      <c r="GBR91" t="s">
        <v>145</v>
      </c>
      <c r="GBS91" t="s">
        <v>398</v>
      </c>
      <c r="GBT91">
        <v>1</v>
      </c>
      <c r="GBU91" t="s">
        <v>436</v>
      </c>
      <c r="GBV91" t="s">
        <v>437</v>
      </c>
      <c r="GBW91" t="s">
        <v>428</v>
      </c>
      <c r="GBY91" t="s">
        <v>146</v>
      </c>
      <c r="GBZ91" t="s">
        <v>145</v>
      </c>
      <c r="GCA91" t="s">
        <v>398</v>
      </c>
      <c r="GCB91">
        <v>1</v>
      </c>
      <c r="GCC91" t="s">
        <v>436</v>
      </c>
      <c r="GCD91" t="s">
        <v>437</v>
      </c>
      <c r="GCE91" t="s">
        <v>428</v>
      </c>
      <c r="GCG91" t="s">
        <v>146</v>
      </c>
      <c r="GCH91" t="s">
        <v>145</v>
      </c>
      <c r="GCI91" t="s">
        <v>398</v>
      </c>
      <c r="GCJ91">
        <v>1</v>
      </c>
      <c r="GCK91" t="s">
        <v>436</v>
      </c>
      <c r="GCL91" t="s">
        <v>437</v>
      </c>
      <c r="GCM91" t="s">
        <v>428</v>
      </c>
      <c r="GCO91" t="s">
        <v>146</v>
      </c>
      <c r="GCP91" t="s">
        <v>145</v>
      </c>
      <c r="GCQ91" t="s">
        <v>398</v>
      </c>
      <c r="GCR91">
        <v>1</v>
      </c>
      <c r="GCS91" t="s">
        <v>436</v>
      </c>
      <c r="GCT91" t="s">
        <v>437</v>
      </c>
      <c r="GCU91" t="s">
        <v>428</v>
      </c>
      <c r="GCW91" t="s">
        <v>146</v>
      </c>
      <c r="GCX91" t="s">
        <v>145</v>
      </c>
      <c r="GCY91" t="s">
        <v>398</v>
      </c>
      <c r="GCZ91">
        <v>1</v>
      </c>
      <c r="GDA91" t="s">
        <v>436</v>
      </c>
      <c r="GDB91" t="s">
        <v>437</v>
      </c>
      <c r="GDC91" t="s">
        <v>428</v>
      </c>
      <c r="GDE91" t="s">
        <v>146</v>
      </c>
      <c r="GDF91" t="s">
        <v>145</v>
      </c>
      <c r="GDG91" t="s">
        <v>398</v>
      </c>
      <c r="GDH91">
        <v>1</v>
      </c>
      <c r="GDI91" t="s">
        <v>436</v>
      </c>
      <c r="GDJ91" t="s">
        <v>437</v>
      </c>
      <c r="GDK91" t="s">
        <v>428</v>
      </c>
      <c r="GDM91" t="s">
        <v>146</v>
      </c>
      <c r="GDN91" t="s">
        <v>145</v>
      </c>
      <c r="GDO91" t="s">
        <v>398</v>
      </c>
      <c r="GDP91">
        <v>1</v>
      </c>
      <c r="GDQ91" t="s">
        <v>436</v>
      </c>
      <c r="GDR91" t="s">
        <v>437</v>
      </c>
      <c r="GDS91" t="s">
        <v>428</v>
      </c>
      <c r="GDU91" t="s">
        <v>146</v>
      </c>
      <c r="GDV91" t="s">
        <v>145</v>
      </c>
      <c r="GDW91" t="s">
        <v>398</v>
      </c>
      <c r="GDX91">
        <v>1</v>
      </c>
      <c r="GDY91" t="s">
        <v>436</v>
      </c>
      <c r="GDZ91" t="s">
        <v>437</v>
      </c>
      <c r="GEA91" t="s">
        <v>428</v>
      </c>
      <c r="GEC91" t="s">
        <v>146</v>
      </c>
      <c r="GED91" t="s">
        <v>145</v>
      </c>
      <c r="GEE91" t="s">
        <v>398</v>
      </c>
      <c r="GEF91">
        <v>1</v>
      </c>
      <c r="GEG91" t="s">
        <v>436</v>
      </c>
      <c r="GEH91" t="s">
        <v>437</v>
      </c>
      <c r="GEI91" t="s">
        <v>428</v>
      </c>
      <c r="GEK91" t="s">
        <v>146</v>
      </c>
      <c r="GEL91" t="s">
        <v>145</v>
      </c>
      <c r="GEM91" t="s">
        <v>398</v>
      </c>
      <c r="GEN91">
        <v>1</v>
      </c>
      <c r="GEO91" t="s">
        <v>436</v>
      </c>
      <c r="GEP91" t="s">
        <v>437</v>
      </c>
      <c r="GEQ91" t="s">
        <v>428</v>
      </c>
      <c r="GES91" t="s">
        <v>146</v>
      </c>
      <c r="GET91" t="s">
        <v>145</v>
      </c>
      <c r="GEU91" t="s">
        <v>398</v>
      </c>
      <c r="GEV91">
        <v>1</v>
      </c>
      <c r="GEW91" t="s">
        <v>436</v>
      </c>
      <c r="GEX91" t="s">
        <v>437</v>
      </c>
      <c r="GEY91" t="s">
        <v>428</v>
      </c>
      <c r="GFA91" t="s">
        <v>146</v>
      </c>
      <c r="GFB91" t="s">
        <v>145</v>
      </c>
      <c r="GFC91" t="s">
        <v>398</v>
      </c>
      <c r="GFD91">
        <v>1</v>
      </c>
      <c r="GFE91" t="s">
        <v>436</v>
      </c>
      <c r="GFF91" t="s">
        <v>437</v>
      </c>
      <c r="GFG91" t="s">
        <v>428</v>
      </c>
      <c r="GFI91" t="s">
        <v>146</v>
      </c>
      <c r="GFJ91" t="s">
        <v>145</v>
      </c>
      <c r="GFK91" t="s">
        <v>398</v>
      </c>
      <c r="GFL91">
        <v>1</v>
      </c>
      <c r="GFM91" t="s">
        <v>436</v>
      </c>
      <c r="GFN91" t="s">
        <v>437</v>
      </c>
      <c r="GFO91" t="s">
        <v>428</v>
      </c>
      <c r="GFQ91" t="s">
        <v>146</v>
      </c>
      <c r="GFR91" t="s">
        <v>145</v>
      </c>
      <c r="GFS91" t="s">
        <v>398</v>
      </c>
      <c r="GFT91">
        <v>1</v>
      </c>
      <c r="GFU91" t="s">
        <v>436</v>
      </c>
      <c r="GFV91" t="s">
        <v>437</v>
      </c>
      <c r="GFW91" t="s">
        <v>428</v>
      </c>
      <c r="GFY91" t="s">
        <v>146</v>
      </c>
      <c r="GFZ91" t="s">
        <v>145</v>
      </c>
      <c r="GGA91" t="s">
        <v>398</v>
      </c>
      <c r="GGB91">
        <v>1</v>
      </c>
      <c r="GGC91" t="s">
        <v>436</v>
      </c>
      <c r="GGD91" t="s">
        <v>437</v>
      </c>
      <c r="GGE91" t="s">
        <v>428</v>
      </c>
      <c r="GGG91" t="s">
        <v>146</v>
      </c>
      <c r="GGH91" t="s">
        <v>145</v>
      </c>
      <c r="GGI91" t="s">
        <v>398</v>
      </c>
      <c r="GGJ91">
        <v>1</v>
      </c>
      <c r="GGK91" t="s">
        <v>436</v>
      </c>
      <c r="GGL91" t="s">
        <v>437</v>
      </c>
      <c r="GGM91" t="s">
        <v>428</v>
      </c>
      <c r="GGO91" t="s">
        <v>146</v>
      </c>
      <c r="GGP91" t="s">
        <v>145</v>
      </c>
      <c r="GGQ91" t="s">
        <v>398</v>
      </c>
      <c r="GGR91">
        <v>1</v>
      </c>
      <c r="GGS91" t="s">
        <v>436</v>
      </c>
      <c r="GGT91" t="s">
        <v>437</v>
      </c>
      <c r="GGU91" t="s">
        <v>428</v>
      </c>
      <c r="GGW91" t="s">
        <v>146</v>
      </c>
      <c r="GGX91" t="s">
        <v>145</v>
      </c>
      <c r="GGY91" t="s">
        <v>398</v>
      </c>
      <c r="GGZ91">
        <v>1</v>
      </c>
      <c r="GHA91" t="s">
        <v>436</v>
      </c>
      <c r="GHB91" t="s">
        <v>437</v>
      </c>
      <c r="GHC91" t="s">
        <v>428</v>
      </c>
      <c r="GHE91" t="s">
        <v>146</v>
      </c>
      <c r="GHF91" t="s">
        <v>145</v>
      </c>
      <c r="GHG91" t="s">
        <v>398</v>
      </c>
      <c r="GHH91">
        <v>1</v>
      </c>
      <c r="GHI91" t="s">
        <v>436</v>
      </c>
      <c r="GHJ91" t="s">
        <v>437</v>
      </c>
      <c r="GHK91" t="s">
        <v>428</v>
      </c>
      <c r="GHM91" t="s">
        <v>146</v>
      </c>
      <c r="GHN91" t="s">
        <v>145</v>
      </c>
      <c r="GHO91" t="s">
        <v>398</v>
      </c>
      <c r="GHP91">
        <v>1</v>
      </c>
      <c r="GHQ91" t="s">
        <v>436</v>
      </c>
      <c r="GHR91" t="s">
        <v>437</v>
      </c>
      <c r="GHS91" t="s">
        <v>428</v>
      </c>
      <c r="GHU91" t="s">
        <v>146</v>
      </c>
      <c r="GHV91" t="s">
        <v>145</v>
      </c>
      <c r="GHW91" t="s">
        <v>398</v>
      </c>
      <c r="GHX91">
        <v>1</v>
      </c>
      <c r="GHY91" t="s">
        <v>436</v>
      </c>
      <c r="GHZ91" t="s">
        <v>437</v>
      </c>
      <c r="GIA91" t="s">
        <v>428</v>
      </c>
      <c r="GIC91" t="s">
        <v>146</v>
      </c>
      <c r="GID91" t="s">
        <v>145</v>
      </c>
      <c r="GIE91" t="s">
        <v>398</v>
      </c>
      <c r="GIF91">
        <v>1</v>
      </c>
      <c r="GIG91" t="s">
        <v>436</v>
      </c>
      <c r="GIH91" t="s">
        <v>437</v>
      </c>
      <c r="GII91" t="s">
        <v>428</v>
      </c>
      <c r="GIK91" t="s">
        <v>146</v>
      </c>
      <c r="GIL91" t="s">
        <v>145</v>
      </c>
      <c r="GIM91" t="s">
        <v>398</v>
      </c>
      <c r="GIN91">
        <v>1</v>
      </c>
      <c r="GIO91" t="s">
        <v>436</v>
      </c>
      <c r="GIP91" t="s">
        <v>437</v>
      </c>
      <c r="GIQ91" t="s">
        <v>428</v>
      </c>
      <c r="GIS91" t="s">
        <v>146</v>
      </c>
      <c r="GIT91" t="s">
        <v>145</v>
      </c>
      <c r="GIU91" t="s">
        <v>398</v>
      </c>
      <c r="GIV91">
        <v>1</v>
      </c>
      <c r="GIW91" t="s">
        <v>436</v>
      </c>
      <c r="GIX91" t="s">
        <v>437</v>
      </c>
      <c r="GIY91" t="s">
        <v>428</v>
      </c>
      <c r="GJA91" t="s">
        <v>146</v>
      </c>
      <c r="GJB91" t="s">
        <v>145</v>
      </c>
      <c r="GJC91" t="s">
        <v>398</v>
      </c>
      <c r="GJD91">
        <v>1</v>
      </c>
      <c r="GJE91" t="s">
        <v>436</v>
      </c>
      <c r="GJF91" t="s">
        <v>437</v>
      </c>
      <c r="GJG91" t="s">
        <v>428</v>
      </c>
      <c r="GJI91" t="s">
        <v>146</v>
      </c>
      <c r="GJJ91" t="s">
        <v>145</v>
      </c>
      <c r="GJK91" t="s">
        <v>398</v>
      </c>
      <c r="GJL91">
        <v>1</v>
      </c>
      <c r="GJM91" t="s">
        <v>436</v>
      </c>
      <c r="GJN91" t="s">
        <v>437</v>
      </c>
      <c r="GJO91" t="s">
        <v>428</v>
      </c>
      <c r="GJQ91" t="s">
        <v>146</v>
      </c>
      <c r="GJR91" t="s">
        <v>145</v>
      </c>
      <c r="GJS91" t="s">
        <v>398</v>
      </c>
      <c r="GJT91">
        <v>1</v>
      </c>
      <c r="GJU91" t="s">
        <v>436</v>
      </c>
      <c r="GJV91" t="s">
        <v>437</v>
      </c>
      <c r="GJW91" t="s">
        <v>428</v>
      </c>
      <c r="GJY91" t="s">
        <v>146</v>
      </c>
      <c r="GJZ91" t="s">
        <v>145</v>
      </c>
      <c r="GKA91" t="s">
        <v>398</v>
      </c>
      <c r="GKB91">
        <v>1</v>
      </c>
      <c r="GKC91" t="s">
        <v>436</v>
      </c>
      <c r="GKD91" t="s">
        <v>437</v>
      </c>
      <c r="GKE91" t="s">
        <v>428</v>
      </c>
      <c r="GKG91" t="s">
        <v>146</v>
      </c>
      <c r="GKH91" t="s">
        <v>145</v>
      </c>
      <c r="GKI91" t="s">
        <v>398</v>
      </c>
      <c r="GKJ91">
        <v>1</v>
      </c>
      <c r="GKK91" t="s">
        <v>436</v>
      </c>
      <c r="GKL91" t="s">
        <v>437</v>
      </c>
      <c r="GKM91" t="s">
        <v>428</v>
      </c>
      <c r="GKO91" t="s">
        <v>146</v>
      </c>
      <c r="GKP91" t="s">
        <v>145</v>
      </c>
      <c r="GKQ91" t="s">
        <v>398</v>
      </c>
      <c r="GKR91">
        <v>1</v>
      </c>
      <c r="GKS91" t="s">
        <v>436</v>
      </c>
      <c r="GKT91" t="s">
        <v>437</v>
      </c>
      <c r="GKU91" t="s">
        <v>428</v>
      </c>
      <c r="GKW91" t="s">
        <v>146</v>
      </c>
      <c r="GKX91" t="s">
        <v>145</v>
      </c>
      <c r="GKY91" t="s">
        <v>398</v>
      </c>
      <c r="GKZ91">
        <v>1</v>
      </c>
      <c r="GLA91" t="s">
        <v>436</v>
      </c>
      <c r="GLB91" t="s">
        <v>437</v>
      </c>
      <c r="GLC91" t="s">
        <v>428</v>
      </c>
      <c r="GLE91" t="s">
        <v>146</v>
      </c>
      <c r="GLF91" t="s">
        <v>145</v>
      </c>
      <c r="GLG91" t="s">
        <v>398</v>
      </c>
      <c r="GLH91">
        <v>1</v>
      </c>
      <c r="GLI91" t="s">
        <v>436</v>
      </c>
      <c r="GLJ91" t="s">
        <v>437</v>
      </c>
      <c r="GLK91" t="s">
        <v>428</v>
      </c>
      <c r="GLM91" t="s">
        <v>146</v>
      </c>
      <c r="GLN91" t="s">
        <v>145</v>
      </c>
      <c r="GLO91" t="s">
        <v>398</v>
      </c>
      <c r="GLP91">
        <v>1</v>
      </c>
      <c r="GLQ91" t="s">
        <v>436</v>
      </c>
      <c r="GLR91" t="s">
        <v>437</v>
      </c>
      <c r="GLS91" t="s">
        <v>428</v>
      </c>
      <c r="GLU91" t="s">
        <v>146</v>
      </c>
      <c r="GLV91" t="s">
        <v>145</v>
      </c>
      <c r="GLW91" t="s">
        <v>398</v>
      </c>
      <c r="GLX91">
        <v>1</v>
      </c>
      <c r="GLY91" t="s">
        <v>436</v>
      </c>
      <c r="GLZ91" t="s">
        <v>437</v>
      </c>
      <c r="GMA91" t="s">
        <v>428</v>
      </c>
      <c r="GMC91" t="s">
        <v>146</v>
      </c>
      <c r="GMD91" t="s">
        <v>145</v>
      </c>
      <c r="GME91" t="s">
        <v>398</v>
      </c>
      <c r="GMF91">
        <v>1</v>
      </c>
      <c r="GMG91" t="s">
        <v>436</v>
      </c>
      <c r="GMH91" t="s">
        <v>437</v>
      </c>
      <c r="GMI91" t="s">
        <v>428</v>
      </c>
      <c r="GMK91" t="s">
        <v>146</v>
      </c>
      <c r="GML91" t="s">
        <v>145</v>
      </c>
      <c r="GMM91" t="s">
        <v>398</v>
      </c>
      <c r="GMN91">
        <v>1</v>
      </c>
      <c r="GMO91" t="s">
        <v>436</v>
      </c>
      <c r="GMP91" t="s">
        <v>437</v>
      </c>
      <c r="GMQ91" t="s">
        <v>428</v>
      </c>
      <c r="GMS91" t="s">
        <v>146</v>
      </c>
      <c r="GMT91" t="s">
        <v>145</v>
      </c>
      <c r="GMU91" t="s">
        <v>398</v>
      </c>
      <c r="GMV91">
        <v>1</v>
      </c>
      <c r="GMW91" t="s">
        <v>436</v>
      </c>
      <c r="GMX91" t="s">
        <v>437</v>
      </c>
      <c r="GMY91" t="s">
        <v>428</v>
      </c>
      <c r="GNA91" t="s">
        <v>146</v>
      </c>
      <c r="GNB91" t="s">
        <v>145</v>
      </c>
      <c r="GNC91" t="s">
        <v>398</v>
      </c>
      <c r="GND91">
        <v>1</v>
      </c>
      <c r="GNE91" t="s">
        <v>436</v>
      </c>
      <c r="GNF91" t="s">
        <v>437</v>
      </c>
      <c r="GNG91" t="s">
        <v>428</v>
      </c>
      <c r="GNI91" t="s">
        <v>146</v>
      </c>
      <c r="GNJ91" t="s">
        <v>145</v>
      </c>
      <c r="GNK91" t="s">
        <v>398</v>
      </c>
      <c r="GNL91">
        <v>1</v>
      </c>
      <c r="GNM91" t="s">
        <v>436</v>
      </c>
      <c r="GNN91" t="s">
        <v>437</v>
      </c>
      <c r="GNO91" t="s">
        <v>428</v>
      </c>
      <c r="GNQ91" t="s">
        <v>146</v>
      </c>
      <c r="GNR91" t="s">
        <v>145</v>
      </c>
      <c r="GNS91" t="s">
        <v>398</v>
      </c>
      <c r="GNT91">
        <v>1</v>
      </c>
      <c r="GNU91" t="s">
        <v>436</v>
      </c>
      <c r="GNV91" t="s">
        <v>437</v>
      </c>
      <c r="GNW91" t="s">
        <v>428</v>
      </c>
      <c r="GNY91" t="s">
        <v>146</v>
      </c>
      <c r="GNZ91" t="s">
        <v>145</v>
      </c>
      <c r="GOA91" t="s">
        <v>398</v>
      </c>
      <c r="GOB91">
        <v>1</v>
      </c>
      <c r="GOC91" t="s">
        <v>436</v>
      </c>
      <c r="GOD91" t="s">
        <v>437</v>
      </c>
      <c r="GOE91" t="s">
        <v>428</v>
      </c>
      <c r="GOG91" t="s">
        <v>146</v>
      </c>
      <c r="GOH91" t="s">
        <v>145</v>
      </c>
      <c r="GOI91" t="s">
        <v>398</v>
      </c>
      <c r="GOJ91">
        <v>1</v>
      </c>
      <c r="GOK91" t="s">
        <v>436</v>
      </c>
      <c r="GOL91" t="s">
        <v>437</v>
      </c>
      <c r="GOM91" t="s">
        <v>428</v>
      </c>
      <c r="GOO91" t="s">
        <v>146</v>
      </c>
      <c r="GOP91" t="s">
        <v>145</v>
      </c>
      <c r="GOQ91" t="s">
        <v>398</v>
      </c>
      <c r="GOR91">
        <v>1</v>
      </c>
      <c r="GOS91" t="s">
        <v>436</v>
      </c>
      <c r="GOT91" t="s">
        <v>437</v>
      </c>
      <c r="GOU91" t="s">
        <v>428</v>
      </c>
      <c r="GOW91" t="s">
        <v>146</v>
      </c>
      <c r="GOX91" t="s">
        <v>145</v>
      </c>
      <c r="GOY91" t="s">
        <v>398</v>
      </c>
      <c r="GOZ91">
        <v>1</v>
      </c>
      <c r="GPA91" t="s">
        <v>436</v>
      </c>
      <c r="GPB91" t="s">
        <v>437</v>
      </c>
      <c r="GPC91" t="s">
        <v>428</v>
      </c>
      <c r="GPE91" t="s">
        <v>146</v>
      </c>
      <c r="GPF91" t="s">
        <v>145</v>
      </c>
      <c r="GPG91" t="s">
        <v>398</v>
      </c>
      <c r="GPH91">
        <v>1</v>
      </c>
      <c r="GPI91" t="s">
        <v>436</v>
      </c>
      <c r="GPJ91" t="s">
        <v>437</v>
      </c>
      <c r="GPK91" t="s">
        <v>428</v>
      </c>
      <c r="GPM91" t="s">
        <v>146</v>
      </c>
      <c r="GPN91" t="s">
        <v>145</v>
      </c>
      <c r="GPO91" t="s">
        <v>398</v>
      </c>
      <c r="GPP91">
        <v>1</v>
      </c>
      <c r="GPQ91" t="s">
        <v>436</v>
      </c>
      <c r="GPR91" t="s">
        <v>437</v>
      </c>
      <c r="GPS91" t="s">
        <v>428</v>
      </c>
      <c r="GPU91" t="s">
        <v>146</v>
      </c>
      <c r="GPV91" t="s">
        <v>145</v>
      </c>
      <c r="GPW91" t="s">
        <v>398</v>
      </c>
      <c r="GPX91">
        <v>1</v>
      </c>
      <c r="GPY91" t="s">
        <v>436</v>
      </c>
      <c r="GPZ91" t="s">
        <v>437</v>
      </c>
      <c r="GQA91" t="s">
        <v>428</v>
      </c>
      <c r="GQC91" t="s">
        <v>146</v>
      </c>
      <c r="GQD91" t="s">
        <v>145</v>
      </c>
      <c r="GQE91" t="s">
        <v>398</v>
      </c>
      <c r="GQF91">
        <v>1</v>
      </c>
      <c r="GQG91" t="s">
        <v>436</v>
      </c>
      <c r="GQH91" t="s">
        <v>437</v>
      </c>
      <c r="GQI91" t="s">
        <v>428</v>
      </c>
      <c r="GQK91" t="s">
        <v>146</v>
      </c>
      <c r="GQL91" t="s">
        <v>145</v>
      </c>
      <c r="GQM91" t="s">
        <v>398</v>
      </c>
      <c r="GQN91">
        <v>1</v>
      </c>
      <c r="GQO91" t="s">
        <v>436</v>
      </c>
      <c r="GQP91" t="s">
        <v>437</v>
      </c>
      <c r="GQQ91" t="s">
        <v>428</v>
      </c>
      <c r="GQS91" t="s">
        <v>146</v>
      </c>
      <c r="GQT91" t="s">
        <v>145</v>
      </c>
      <c r="GQU91" t="s">
        <v>398</v>
      </c>
      <c r="GQV91">
        <v>1</v>
      </c>
      <c r="GQW91" t="s">
        <v>436</v>
      </c>
      <c r="GQX91" t="s">
        <v>437</v>
      </c>
      <c r="GQY91" t="s">
        <v>428</v>
      </c>
      <c r="GRA91" t="s">
        <v>146</v>
      </c>
      <c r="GRB91" t="s">
        <v>145</v>
      </c>
      <c r="GRC91" t="s">
        <v>398</v>
      </c>
      <c r="GRD91">
        <v>1</v>
      </c>
      <c r="GRE91" t="s">
        <v>436</v>
      </c>
      <c r="GRF91" t="s">
        <v>437</v>
      </c>
      <c r="GRG91" t="s">
        <v>428</v>
      </c>
      <c r="GRI91" t="s">
        <v>146</v>
      </c>
      <c r="GRJ91" t="s">
        <v>145</v>
      </c>
      <c r="GRK91" t="s">
        <v>398</v>
      </c>
      <c r="GRL91">
        <v>1</v>
      </c>
      <c r="GRM91" t="s">
        <v>436</v>
      </c>
      <c r="GRN91" t="s">
        <v>437</v>
      </c>
      <c r="GRO91" t="s">
        <v>428</v>
      </c>
      <c r="GRQ91" t="s">
        <v>146</v>
      </c>
      <c r="GRR91" t="s">
        <v>145</v>
      </c>
      <c r="GRS91" t="s">
        <v>398</v>
      </c>
      <c r="GRT91">
        <v>1</v>
      </c>
      <c r="GRU91" t="s">
        <v>436</v>
      </c>
      <c r="GRV91" t="s">
        <v>437</v>
      </c>
      <c r="GRW91" t="s">
        <v>428</v>
      </c>
      <c r="GRY91" t="s">
        <v>146</v>
      </c>
      <c r="GRZ91" t="s">
        <v>145</v>
      </c>
      <c r="GSA91" t="s">
        <v>398</v>
      </c>
      <c r="GSB91">
        <v>1</v>
      </c>
      <c r="GSC91" t="s">
        <v>436</v>
      </c>
      <c r="GSD91" t="s">
        <v>437</v>
      </c>
      <c r="GSE91" t="s">
        <v>428</v>
      </c>
      <c r="GSG91" t="s">
        <v>146</v>
      </c>
      <c r="GSH91" t="s">
        <v>145</v>
      </c>
      <c r="GSI91" t="s">
        <v>398</v>
      </c>
      <c r="GSJ91">
        <v>1</v>
      </c>
      <c r="GSK91" t="s">
        <v>436</v>
      </c>
      <c r="GSL91" t="s">
        <v>437</v>
      </c>
      <c r="GSM91" t="s">
        <v>428</v>
      </c>
      <c r="GSO91" t="s">
        <v>146</v>
      </c>
      <c r="GSP91" t="s">
        <v>145</v>
      </c>
      <c r="GSQ91" t="s">
        <v>398</v>
      </c>
      <c r="GSR91">
        <v>1</v>
      </c>
      <c r="GSS91" t="s">
        <v>436</v>
      </c>
      <c r="GST91" t="s">
        <v>437</v>
      </c>
      <c r="GSU91" t="s">
        <v>428</v>
      </c>
      <c r="GSW91" t="s">
        <v>146</v>
      </c>
      <c r="GSX91" t="s">
        <v>145</v>
      </c>
      <c r="GSY91" t="s">
        <v>398</v>
      </c>
      <c r="GSZ91">
        <v>1</v>
      </c>
      <c r="GTA91" t="s">
        <v>436</v>
      </c>
      <c r="GTB91" t="s">
        <v>437</v>
      </c>
      <c r="GTC91" t="s">
        <v>428</v>
      </c>
      <c r="GTE91" t="s">
        <v>146</v>
      </c>
      <c r="GTF91" t="s">
        <v>145</v>
      </c>
      <c r="GTG91" t="s">
        <v>398</v>
      </c>
      <c r="GTH91">
        <v>1</v>
      </c>
      <c r="GTI91" t="s">
        <v>436</v>
      </c>
      <c r="GTJ91" t="s">
        <v>437</v>
      </c>
      <c r="GTK91" t="s">
        <v>428</v>
      </c>
      <c r="GTM91" t="s">
        <v>146</v>
      </c>
      <c r="GTN91" t="s">
        <v>145</v>
      </c>
      <c r="GTO91" t="s">
        <v>398</v>
      </c>
      <c r="GTP91">
        <v>1</v>
      </c>
      <c r="GTQ91" t="s">
        <v>436</v>
      </c>
      <c r="GTR91" t="s">
        <v>437</v>
      </c>
      <c r="GTS91" t="s">
        <v>428</v>
      </c>
      <c r="GTU91" t="s">
        <v>146</v>
      </c>
      <c r="GTV91" t="s">
        <v>145</v>
      </c>
      <c r="GTW91" t="s">
        <v>398</v>
      </c>
      <c r="GTX91">
        <v>1</v>
      </c>
      <c r="GTY91" t="s">
        <v>436</v>
      </c>
      <c r="GTZ91" t="s">
        <v>437</v>
      </c>
      <c r="GUA91" t="s">
        <v>428</v>
      </c>
      <c r="GUC91" t="s">
        <v>146</v>
      </c>
      <c r="GUD91" t="s">
        <v>145</v>
      </c>
      <c r="GUE91" t="s">
        <v>398</v>
      </c>
      <c r="GUF91">
        <v>1</v>
      </c>
      <c r="GUG91" t="s">
        <v>436</v>
      </c>
      <c r="GUH91" t="s">
        <v>437</v>
      </c>
      <c r="GUI91" t="s">
        <v>428</v>
      </c>
      <c r="GUK91" t="s">
        <v>146</v>
      </c>
      <c r="GUL91" t="s">
        <v>145</v>
      </c>
      <c r="GUM91" t="s">
        <v>398</v>
      </c>
      <c r="GUN91">
        <v>1</v>
      </c>
      <c r="GUO91" t="s">
        <v>436</v>
      </c>
      <c r="GUP91" t="s">
        <v>437</v>
      </c>
      <c r="GUQ91" t="s">
        <v>428</v>
      </c>
      <c r="GUS91" t="s">
        <v>146</v>
      </c>
      <c r="GUT91" t="s">
        <v>145</v>
      </c>
      <c r="GUU91" t="s">
        <v>398</v>
      </c>
      <c r="GUV91">
        <v>1</v>
      </c>
      <c r="GUW91" t="s">
        <v>436</v>
      </c>
      <c r="GUX91" t="s">
        <v>437</v>
      </c>
      <c r="GUY91" t="s">
        <v>428</v>
      </c>
      <c r="GVA91" t="s">
        <v>146</v>
      </c>
      <c r="GVB91" t="s">
        <v>145</v>
      </c>
      <c r="GVC91" t="s">
        <v>398</v>
      </c>
      <c r="GVD91">
        <v>1</v>
      </c>
      <c r="GVE91" t="s">
        <v>436</v>
      </c>
      <c r="GVF91" t="s">
        <v>437</v>
      </c>
      <c r="GVG91" t="s">
        <v>428</v>
      </c>
      <c r="GVI91" t="s">
        <v>146</v>
      </c>
      <c r="GVJ91" t="s">
        <v>145</v>
      </c>
      <c r="GVK91" t="s">
        <v>398</v>
      </c>
      <c r="GVL91">
        <v>1</v>
      </c>
      <c r="GVM91" t="s">
        <v>436</v>
      </c>
      <c r="GVN91" t="s">
        <v>437</v>
      </c>
      <c r="GVO91" t="s">
        <v>428</v>
      </c>
      <c r="GVQ91" t="s">
        <v>146</v>
      </c>
      <c r="GVR91" t="s">
        <v>145</v>
      </c>
      <c r="GVS91" t="s">
        <v>398</v>
      </c>
      <c r="GVT91">
        <v>1</v>
      </c>
      <c r="GVU91" t="s">
        <v>436</v>
      </c>
      <c r="GVV91" t="s">
        <v>437</v>
      </c>
      <c r="GVW91" t="s">
        <v>428</v>
      </c>
      <c r="GVY91" t="s">
        <v>146</v>
      </c>
      <c r="GVZ91" t="s">
        <v>145</v>
      </c>
      <c r="GWA91" t="s">
        <v>398</v>
      </c>
      <c r="GWB91">
        <v>1</v>
      </c>
      <c r="GWC91" t="s">
        <v>436</v>
      </c>
      <c r="GWD91" t="s">
        <v>437</v>
      </c>
      <c r="GWE91" t="s">
        <v>428</v>
      </c>
      <c r="GWG91" t="s">
        <v>146</v>
      </c>
      <c r="GWH91" t="s">
        <v>145</v>
      </c>
      <c r="GWI91" t="s">
        <v>398</v>
      </c>
      <c r="GWJ91">
        <v>1</v>
      </c>
      <c r="GWK91" t="s">
        <v>436</v>
      </c>
      <c r="GWL91" t="s">
        <v>437</v>
      </c>
      <c r="GWM91" t="s">
        <v>428</v>
      </c>
      <c r="GWO91" t="s">
        <v>146</v>
      </c>
      <c r="GWP91" t="s">
        <v>145</v>
      </c>
      <c r="GWQ91" t="s">
        <v>398</v>
      </c>
      <c r="GWR91">
        <v>1</v>
      </c>
      <c r="GWS91" t="s">
        <v>436</v>
      </c>
      <c r="GWT91" t="s">
        <v>437</v>
      </c>
      <c r="GWU91" t="s">
        <v>428</v>
      </c>
      <c r="GWW91" t="s">
        <v>146</v>
      </c>
      <c r="GWX91" t="s">
        <v>145</v>
      </c>
      <c r="GWY91" t="s">
        <v>398</v>
      </c>
      <c r="GWZ91">
        <v>1</v>
      </c>
      <c r="GXA91" t="s">
        <v>436</v>
      </c>
      <c r="GXB91" t="s">
        <v>437</v>
      </c>
      <c r="GXC91" t="s">
        <v>428</v>
      </c>
      <c r="GXE91" t="s">
        <v>146</v>
      </c>
      <c r="GXF91" t="s">
        <v>145</v>
      </c>
      <c r="GXG91" t="s">
        <v>398</v>
      </c>
      <c r="GXH91">
        <v>1</v>
      </c>
      <c r="GXI91" t="s">
        <v>436</v>
      </c>
      <c r="GXJ91" t="s">
        <v>437</v>
      </c>
      <c r="GXK91" t="s">
        <v>428</v>
      </c>
      <c r="GXM91" t="s">
        <v>146</v>
      </c>
      <c r="GXN91" t="s">
        <v>145</v>
      </c>
      <c r="GXO91" t="s">
        <v>398</v>
      </c>
      <c r="GXP91">
        <v>1</v>
      </c>
      <c r="GXQ91" t="s">
        <v>436</v>
      </c>
      <c r="GXR91" t="s">
        <v>437</v>
      </c>
      <c r="GXS91" t="s">
        <v>428</v>
      </c>
      <c r="GXU91" t="s">
        <v>146</v>
      </c>
      <c r="GXV91" t="s">
        <v>145</v>
      </c>
      <c r="GXW91" t="s">
        <v>398</v>
      </c>
      <c r="GXX91">
        <v>1</v>
      </c>
      <c r="GXY91" t="s">
        <v>436</v>
      </c>
      <c r="GXZ91" t="s">
        <v>437</v>
      </c>
      <c r="GYA91" t="s">
        <v>428</v>
      </c>
      <c r="GYC91" t="s">
        <v>146</v>
      </c>
      <c r="GYD91" t="s">
        <v>145</v>
      </c>
      <c r="GYE91" t="s">
        <v>398</v>
      </c>
      <c r="GYF91">
        <v>1</v>
      </c>
      <c r="GYG91" t="s">
        <v>436</v>
      </c>
      <c r="GYH91" t="s">
        <v>437</v>
      </c>
      <c r="GYI91" t="s">
        <v>428</v>
      </c>
      <c r="GYK91" t="s">
        <v>146</v>
      </c>
      <c r="GYL91" t="s">
        <v>145</v>
      </c>
      <c r="GYM91" t="s">
        <v>398</v>
      </c>
      <c r="GYN91">
        <v>1</v>
      </c>
      <c r="GYO91" t="s">
        <v>436</v>
      </c>
      <c r="GYP91" t="s">
        <v>437</v>
      </c>
      <c r="GYQ91" t="s">
        <v>428</v>
      </c>
      <c r="GYS91" t="s">
        <v>146</v>
      </c>
      <c r="GYT91" t="s">
        <v>145</v>
      </c>
      <c r="GYU91" t="s">
        <v>398</v>
      </c>
      <c r="GYV91">
        <v>1</v>
      </c>
      <c r="GYW91" t="s">
        <v>436</v>
      </c>
      <c r="GYX91" t="s">
        <v>437</v>
      </c>
      <c r="GYY91" t="s">
        <v>428</v>
      </c>
      <c r="GZA91" t="s">
        <v>146</v>
      </c>
      <c r="GZB91" t="s">
        <v>145</v>
      </c>
      <c r="GZC91" t="s">
        <v>398</v>
      </c>
      <c r="GZD91">
        <v>1</v>
      </c>
      <c r="GZE91" t="s">
        <v>436</v>
      </c>
      <c r="GZF91" t="s">
        <v>437</v>
      </c>
      <c r="GZG91" t="s">
        <v>428</v>
      </c>
      <c r="GZI91" t="s">
        <v>146</v>
      </c>
      <c r="GZJ91" t="s">
        <v>145</v>
      </c>
      <c r="GZK91" t="s">
        <v>398</v>
      </c>
      <c r="GZL91">
        <v>1</v>
      </c>
      <c r="GZM91" t="s">
        <v>436</v>
      </c>
      <c r="GZN91" t="s">
        <v>437</v>
      </c>
      <c r="GZO91" t="s">
        <v>428</v>
      </c>
      <c r="GZQ91" t="s">
        <v>146</v>
      </c>
      <c r="GZR91" t="s">
        <v>145</v>
      </c>
      <c r="GZS91" t="s">
        <v>398</v>
      </c>
      <c r="GZT91">
        <v>1</v>
      </c>
      <c r="GZU91" t="s">
        <v>436</v>
      </c>
      <c r="GZV91" t="s">
        <v>437</v>
      </c>
      <c r="GZW91" t="s">
        <v>428</v>
      </c>
      <c r="GZY91" t="s">
        <v>146</v>
      </c>
      <c r="GZZ91" t="s">
        <v>145</v>
      </c>
      <c r="HAA91" t="s">
        <v>398</v>
      </c>
      <c r="HAB91">
        <v>1</v>
      </c>
      <c r="HAC91" t="s">
        <v>436</v>
      </c>
      <c r="HAD91" t="s">
        <v>437</v>
      </c>
      <c r="HAE91" t="s">
        <v>428</v>
      </c>
      <c r="HAG91" t="s">
        <v>146</v>
      </c>
      <c r="HAH91" t="s">
        <v>145</v>
      </c>
      <c r="HAI91" t="s">
        <v>398</v>
      </c>
      <c r="HAJ91">
        <v>1</v>
      </c>
      <c r="HAK91" t="s">
        <v>436</v>
      </c>
      <c r="HAL91" t="s">
        <v>437</v>
      </c>
      <c r="HAM91" t="s">
        <v>428</v>
      </c>
      <c r="HAO91" t="s">
        <v>146</v>
      </c>
      <c r="HAP91" t="s">
        <v>145</v>
      </c>
      <c r="HAQ91" t="s">
        <v>398</v>
      </c>
      <c r="HAR91">
        <v>1</v>
      </c>
      <c r="HAS91" t="s">
        <v>436</v>
      </c>
      <c r="HAT91" t="s">
        <v>437</v>
      </c>
      <c r="HAU91" t="s">
        <v>428</v>
      </c>
      <c r="HAW91" t="s">
        <v>146</v>
      </c>
      <c r="HAX91" t="s">
        <v>145</v>
      </c>
      <c r="HAY91" t="s">
        <v>398</v>
      </c>
      <c r="HAZ91">
        <v>1</v>
      </c>
      <c r="HBA91" t="s">
        <v>436</v>
      </c>
      <c r="HBB91" t="s">
        <v>437</v>
      </c>
      <c r="HBC91" t="s">
        <v>428</v>
      </c>
      <c r="HBE91" t="s">
        <v>146</v>
      </c>
      <c r="HBF91" t="s">
        <v>145</v>
      </c>
      <c r="HBG91" t="s">
        <v>398</v>
      </c>
      <c r="HBH91">
        <v>1</v>
      </c>
      <c r="HBI91" t="s">
        <v>436</v>
      </c>
      <c r="HBJ91" t="s">
        <v>437</v>
      </c>
      <c r="HBK91" t="s">
        <v>428</v>
      </c>
      <c r="HBM91" t="s">
        <v>146</v>
      </c>
      <c r="HBN91" t="s">
        <v>145</v>
      </c>
      <c r="HBO91" t="s">
        <v>398</v>
      </c>
      <c r="HBP91">
        <v>1</v>
      </c>
      <c r="HBQ91" t="s">
        <v>436</v>
      </c>
      <c r="HBR91" t="s">
        <v>437</v>
      </c>
      <c r="HBS91" t="s">
        <v>428</v>
      </c>
      <c r="HBU91" t="s">
        <v>146</v>
      </c>
      <c r="HBV91" t="s">
        <v>145</v>
      </c>
      <c r="HBW91" t="s">
        <v>398</v>
      </c>
      <c r="HBX91">
        <v>1</v>
      </c>
      <c r="HBY91" t="s">
        <v>436</v>
      </c>
      <c r="HBZ91" t="s">
        <v>437</v>
      </c>
      <c r="HCA91" t="s">
        <v>428</v>
      </c>
      <c r="HCC91" t="s">
        <v>146</v>
      </c>
      <c r="HCD91" t="s">
        <v>145</v>
      </c>
      <c r="HCE91" t="s">
        <v>398</v>
      </c>
      <c r="HCF91">
        <v>1</v>
      </c>
      <c r="HCG91" t="s">
        <v>436</v>
      </c>
      <c r="HCH91" t="s">
        <v>437</v>
      </c>
      <c r="HCI91" t="s">
        <v>428</v>
      </c>
      <c r="HCK91" t="s">
        <v>146</v>
      </c>
      <c r="HCL91" t="s">
        <v>145</v>
      </c>
      <c r="HCM91" t="s">
        <v>398</v>
      </c>
      <c r="HCN91">
        <v>1</v>
      </c>
      <c r="HCO91" t="s">
        <v>436</v>
      </c>
      <c r="HCP91" t="s">
        <v>437</v>
      </c>
      <c r="HCQ91" t="s">
        <v>428</v>
      </c>
      <c r="HCS91" t="s">
        <v>146</v>
      </c>
      <c r="HCT91" t="s">
        <v>145</v>
      </c>
      <c r="HCU91" t="s">
        <v>398</v>
      </c>
      <c r="HCV91">
        <v>1</v>
      </c>
      <c r="HCW91" t="s">
        <v>436</v>
      </c>
      <c r="HCX91" t="s">
        <v>437</v>
      </c>
      <c r="HCY91" t="s">
        <v>428</v>
      </c>
      <c r="HDA91" t="s">
        <v>146</v>
      </c>
      <c r="HDB91" t="s">
        <v>145</v>
      </c>
      <c r="HDC91" t="s">
        <v>398</v>
      </c>
      <c r="HDD91">
        <v>1</v>
      </c>
      <c r="HDE91" t="s">
        <v>436</v>
      </c>
      <c r="HDF91" t="s">
        <v>437</v>
      </c>
      <c r="HDG91" t="s">
        <v>428</v>
      </c>
      <c r="HDI91" t="s">
        <v>146</v>
      </c>
      <c r="HDJ91" t="s">
        <v>145</v>
      </c>
      <c r="HDK91" t="s">
        <v>398</v>
      </c>
      <c r="HDL91">
        <v>1</v>
      </c>
      <c r="HDM91" t="s">
        <v>436</v>
      </c>
      <c r="HDN91" t="s">
        <v>437</v>
      </c>
      <c r="HDO91" t="s">
        <v>428</v>
      </c>
      <c r="HDQ91" t="s">
        <v>146</v>
      </c>
      <c r="HDR91" t="s">
        <v>145</v>
      </c>
      <c r="HDS91" t="s">
        <v>398</v>
      </c>
      <c r="HDT91">
        <v>1</v>
      </c>
      <c r="HDU91" t="s">
        <v>436</v>
      </c>
      <c r="HDV91" t="s">
        <v>437</v>
      </c>
      <c r="HDW91" t="s">
        <v>428</v>
      </c>
      <c r="HDY91" t="s">
        <v>146</v>
      </c>
      <c r="HDZ91" t="s">
        <v>145</v>
      </c>
      <c r="HEA91" t="s">
        <v>398</v>
      </c>
      <c r="HEB91">
        <v>1</v>
      </c>
      <c r="HEC91" t="s">
        <v>436</v>
      </c>
      <c r="HED91" t="s">
        <v>437</v>
      </c>
      <c r="HEE91" t="s">
        <v>428</v>
      </c>
      <c r="HEG91" t="s">
        <v>146</v>
      </c>
      <c r="HEH91" t="s">
        <v>145</v>
      </c>
      <c r="HEI91" t="s">
        <v>398</v>
      </c>
      <c r="HEJ91">
        <v>1</v>
      </c>
      <c r="HEK91" t="s">
        <v>436</v>
      </c>
      <c r="HEL91" t="s">
        <v>437</v>
      </c>
      <c r="HEM91" t="s">
        <v>428</v>
      </c>
      <c r="HEO91" t="s">
        <v>146</v>
      </c>
      <c r="HEP91" t="s">
        <v>145</v>
      </c>
      <c r="HEQ91" t="s">
        <v>398</v>
      </c>
      <c r="HER91">
        <v>1</v>
      </c>
      <c r="HES91" t="s">
        <v>436</v>
      </c>
      <c r="HET91" t="s">
        <v>437</v>
      </c>
      <c r="HEU91" t="s">
        <v>428</v>
      </c>
      <c r="HEW91" t="s">
        <v>146</v>
      </c>
      <c r="HEX91" t="s">
        <v>145</v>
      </c>
      <c r="HEY91" t="s">
        <v>398</v>
      </c>
      <c r="HEZ91">
        <v>1</v>
      </c>
      <c r="HFA91" t="s">
        <v>436</v>
      </c>
      <c r="HFB91" t="s">
        <v>437</v>
      </c>
      <c r="HFC91" t="s">
        <v>428</v>
      </c>
      <c r="HFE91" t="s">
        <v>146</v>
      </c>
      <c r="HFF91" t="s">
        <v>145</v>
      </c>
      <c r="HFG91" t="s">
        <v>398</v>
      </c>
      <c r="HFH91">
        <v>1</v>
      </c>
      <c r="HFI91" t="s">
        <v>436</v>
      </c>
      <c r="HFJ91" t="s">
        <v>437</v>
      </c>
      <c r="HFK91" t="s">
        <v>428</v>
      </c>
      <c r="HFM91" t="s">
        <v>146</v>
      </c>
      <c r="HFN91" t="s">
        <v>145</v>
      </c>
      <c r="HFO91" t="s">
        <v>398</v>
      </c>
      <c r="HFP91">
        <v>1</v>
      </c>
      <c r="HFQ91" t="s">
        <v>436</v>
      </c>
      <c r="HFR91" t="s">
        <v>437</v>
      </c>
      <c r="HFS91" t="s">
        <v>428</v>
      </c>
      <c r="HFU91" t="s">
        <v>146</v>
      </c>
      <c r="HFV91" t="s">
        <v>145</v>
      </c>
      <c r="HFW91" t="s">
        <v>398</v>
      </c>
      <c r="HFX91">
        <v>1</v>
      </c>
      <c r="HFY91" t="s">
        <v>436</v>
      </c>
      <c r="HFZ91" t="s">
        <v>437</v>
      </c>
      <c r="HGA91" t="s">
        <v>428</v>
      </c>
      <c r="HGC91" t="s">
        <v>146</v>
      </c>
      <c r="HGD91" t="s">
        <v>145</v>
      </c>
      <c r="HGE91" t="s">
        <v>398</v>
      </c>
      <c r="HGF91">
        <v>1</v>
      </c>
      <c r="HGG91" t="s">
        <v>436</v>
      </c>
      <c r="HGH91" t="s">
        <v>437</v>
      </c>
      <c r="HGI91" t="s">
        <v>428</v>
      </c>
      <c r="HGK91" t="s">
        <v>146</v>
      </c>
      <c r="HGL91" t="s">
        <v>145</v>
      </c>
      <c r="HGM91" t="s">
        <v>398</v>
      </c>
      <c r="HGN91">
        <v>1</v>
      </c>
      <c r="HGO91" t="s">
        <v>436</v>
      </c>
      <c r="HGP91" t="s">
        <v>437</v>
      </c>
      <c r="HGQ91" t="s">
        <v>428</v>
      </c>
      <c r="HGS91" t="s">
        <v>146</v>
      </c>
      <c r="HGT91" t="s">
        <v>145</v>
      </c>
      <c r="HGU91" t="s">
        <v>398</v>
      </c>
      <c r="HGV91">
        <v>1</v>
      </c>
      <c r="HGW91" t="s">
        <v>436</v>
      </c>
      <c r="HGX91" t="s">
        <v>437</v>
      </c>
      <c r="HGY91" t="s">
        <v>428</v>
      </c>
      <c r="HHA91" t="s">
        <v>146</v>
      </c>
      <c r="HHB91" t="s">
        <v>145</v>
      </c>
      <c r="HHC91" t="s">
        <v>398</v>
      </c>
      <c r="HHD91">
        <v>1</v>
      </c>
      <c r="HHE91" t="s">
        <v>436</v>
      </c>
      <c r="HHF91" t="s">
        <v>437</v>
      </c>
      <c r="HHG91" t="s">
        <v>428</v>
      </c>
      <c r="HHI91" t="s">
        <v>146</v>
      </c>
      <c r="HHJ91" t="s">
        <v>145</v>
      </c>
      <c r="HHK91" t="s">
        <v>398</v>
      </c>
      <c r="HHL91">
        <v>1</v>
      </c>
      <c r="HHM91" t="s">
        <v>436</v>
      </c>
      <c r="HHN91" t="s">
        <v>437</v>
      </c>
      <c r="HHO91" t="s">
        <v>428</v>
      </c>
      <c r="HHQ91" t="s">
        <v>146</v>
      </c>
      <c r="HHR91" t="s">
        <v>145</v>
      </c>
      <c r="HHS91" t="s">
        <v>398</v>
      </c>
      <c r="HHT91">
        <v>1</v>
      </c>
      <c r="HHU91" t="s">
        <v>436</v>
      </c>
      <c r="HHV91" t="s">
        <v>437</v>
      </c>
      <c r="HHW91" t="s">
        <v>428</v>
      </c>
      <c r="HHY91" t="s">
        <v>146</v>
      </c>
      <c r="HHZ91" t="s">
        <v>145</v>
      </c>
      <c r="HIA91" t="s">
        <v>398</v>
      </c>
      <c r="HIB91">
        <v>1</v>
      </c>
      <c r="HIC91" t="s">
        <v>436</v>
      </c>
      <c r="HID91" t="s">
        <v>437</v>
      </c>
      <c r="HIE91" t="s">
        <v>428</v>
      </c>
      <c r="HIG91" t="s">
        <v>146</v>
      </c>
      <c r="HIH91" t="s">
        <v>145</v>
      </c>
      <c r="HII91" t="s">
        <v>398</v>
      </c>
      <c r="HIJ91">
        <v>1</v>
      </c>
      <c r="HIK91" t="s">
        <v>436</v>
      </c>
      <c r="HIL91" t="s">
        <v>437</v>
      </c>
      <c r="HIM91" t="s">
        <v>428</v>
      </c>
      <c r="HIO91" t="s">
        <v>146</v>
      </c>
      <c r="HIP91" t="s">
        <v>145</v>
      </c>
      <c r="HIQ91" t="s">
        <v>398</v>
      </c>
      <c r="HIR91">
        <v>1</v>
      </c>
      <c r="HIS91" t="s">
        <v>436</v>
      </c>
      <c r="HIT91" t="s">
        <v>437</v>
      </c>
      <c r="HIU91" t="s">
        <v>428</v>
      </c>
      <c r="HIW91" t="s">
        <v>146</v>
      </c>
      <c r="HIX91" t="s">
        <v>145</v>
      </c>
      <c r="HIY91" t="s">
        <v>398</v>
      </c>
      <c r="HIZ91">
        <v>1</v>
      </c>
      <c r="HJA91" t="s">
        <v>436</v>
      </c>
      <c r="HJB91" t="s">
        <v>437</v>
      </c>
      <c r="HJC91" t="s">
        <v>428</v>
      </c>
      <c r="HJE91" t="s">
        <v>146</v>
      </c>
      <c r="HJF91" t="s">
        <v>145</v>
      </c>
      <c r="HJG91" t="s">
        <v>398</v>
      </c>
      <c r="HJH91">
        <v>1</v>
      </c>
      <c r="HJI91" t="s">
        <v>436</v>
      </c>
      <c r="HJJ91" t="s">
        <v>437</v>
      </c>
      <c r="HJK91" t="s">
        <v>428</v>
      </c>
      <c r="HJM91" t="s">
        <v>146</v>
      </c>
      <c r="HJN91" t="s">
        <v>145</v>
      </c>
      <c r="HJO91" t="s">
        <v>398</v>
      </c>
      <c r="HJP91">
        <v>1</v>
      </c>
      <c r="HJQ91" t="s">
        <v>436</v>
      </c>
      <c r="HJR91" t="s">
        <v>437</v>
      </c>
      <c r="HJS91" t="s">
        <v>428</v>
      </c>
      <c r="HJU91" t="s">
        <v>146</v>
      </c>
      <c r="HJV91" t="s">
        <v>145</v>
      </c>
      <c r="HJW91" t="s">
        <v>398</v>
      </c>
      <c r="HJX91">
        <v>1</v>
      </c>
      <c r="HJY91" t="s">
        <v>436</v>
      </c>
      <c r="HJZ91" t="s">
        <v>437</v>
      </c>
      <c r="HKA91" t="s">
        <v>428</v>
      </c>
      <c r="HKC91" t="s">
        <v>146</v>
      </c>
      <c r="HKD91" t="s">
        <v>145</v>
      </c>
      <c r="HKE91" t="s">
        <v>398</v>
      </c>
      <c r="HKF91">
        <v>1</v>
      </c>
      <c r="HKG91" t="s">
        <v>436</v>
      </c>
      <c r="HKH91" t="s">
        <v>437</v>
      </c>
      <c r="HKI91" t="s">
        <v>428</v>
      </c>
      <c r="HKK91" t="s">
        <v>146</v>
      </c>
      <c r="HKL91" t="s">
        <v>145</v>
      </c>
      <c r="HKM91" t="s">
        <v>398</v>
      </c>
      <c r="HKN91">
        <v>1</v>
      </c>
      <c r="HKO91" t="s">
        <v>436</v>
      </c>
      <c r="HKP91" t="s">
        <v>437</v>
      </c>
      <c r="HKQ91" t="s">
        <v>428</v>
      </c>
      <c r="HKS91" t="s">
        <v>146</v>
      </c>
      <c r="HKT91" t="s">
        <v>145</v>
      </c>
      <c r="HKU91" t="s">
        <v>398</v>
      </c>
      <c r="HKV91">
        <v>1</v>
      </c>
      <c r="HKW91" t="s">
        <v>436</v>
      </c>
      <c r="HKX91" t="s">
        <v>437</v>
      </c>
      <c r="HKY91" t="s">
        <v>428</v>
      </c>
      <c r="HLA91" t="s">
        <v>146</v>
      </c>
      <c r="HLB91" t="s">
        <v>145</v>
      </c>
      <c r="HLC91" t="s">
        <v>398</v>
      </c>
      <c r="HLD91">
        <v>1</v>
      </c>
      <c r="HLE91" t="s">
        <v>436</v>
      </c>
      <c r="HLF91" t="s">
        <v>437</v>
      </c>
      <c r="HLG91" t="s">
        <v>428</v>
      </c>
      <c r="HLI91" t="s">
        <v>146</v>
      </c>
      <c r="HLJ91" t="s">
        <v>145</v>
      </c>
      <c r="HLK91" t="s">
        <v>398</v>
      </c>
      <c r="HLL91">
        <v>1</v>
      </c>
      <c r="HLM91" t="s">
        <v>436</v>
      </c>
      <c r="HLN91" t="s">
        <v>437</v>
      </c>
      <c r="HLO91" t="s">
        <v>428</v>
      </c>
      <c r="HLQ91" t="s">
        <v>146</v>
      </c>
      <c r="HLR91" t="s">
        <v>145</v>
      </c>
      <c r="HLS91" t="s">
        <v>398</v>
      </c>
      <c r="HLT91">
        <v>1</v>
      </c>
      <c r="HLU91" t="s">
        <v>436</v>
      </c>
      <c r="HLV91" t="s">
        <v>437</v>
      </c>
      <c r="HLW91" t="s">
        <v>428</v>
      </c>
      <c r="HLY91" t="s">
        <v>146</v>
      </c>
      <c r="HLZ91" t="s">
        <v>145</v>
      </c>
      <c r="HMA91" t="s">
        <v>398</v>
      </c>
      <c r="HMB91">
        <v>1</v>
      </c>
      <c r="HMC91" t="s">
        <v>436</v>
      </c>
      <c r="HMD91" t="s">
        <v>437</v>
      </c>
      <c r="HME91" t="s">
        <v>428</v>
      </c>
      <c r="HMG91" t="s">
        <v>146</v>
      </c>
      <c r="HMH91" t="s">
        <v>145</v>
      </c>
      <c r="HMI91" t="s">
        <v>398</v>
      </c>
      <c r="HMJ91">
        <v>1</v>
      </c>
      <c r="HMK91" t="s">
        <v>436</v>
      </c>
      <c r="HML91" t="s">
        <v>437</v>
      </c>
      <c r="HMM91" t="s">
        <v>428</v>
      </c>
      <c r="HMO91" t="s">
        <v>146</v>
      </c>
      <c r="HMP91" t="s">
        <v>145</v>
      </c>
      <c r="HMQ91" t="s">
        <v>398</v>
      </c>
      <c r="HMR91">
        <v>1</v>
      </c>
      <c r="HMS91" t="s">
        <v>436</v>
      </c>
      <c r="HMT91" t="s">
        <v>437</v>
      </c>
      <c r="HMU91" t="s">
        <v>428</v>
      </c>
      <c r="HMW91" t="s">
        <v>146</v>
      </c>
      <c r="HMX91" t="s">
        <v>145</v>
      </c>
      <c r="HMY91" t="s">
        <v>398</v>
      </c>
      <c r="HMZ91">
        <v>1</v>
      </c>
      <c r="HNA91" t="s">
        <v>436</v>
      </c>
      <c r="HNB91" t="s">
        <v>437</v>
      </c>
      <c r="HNC91" t="s">
        <v>428</v>
      </c>
      <c r="HNE91" t="s">
        <v>146</v>
      </c>
      <c r="HNF91" t="s">
        <v>145</v>
      </c>
      <c r="HNG91" t="s">
        <v>398</v>
      </c>
      <c r="HNH91">
        <v>1</v>
      </c>
      <c r="HNI91" t="s">
        <v>436</v>
      </c>
      <c r="HNJ91" t="s">
        <v>437</v>
      </c>
      <c r="HNK91" t="s">
        <v>428</v>
      </c>
      <c r="HNM91" t="s">
        <v>146</v>
      </c>
      <c r="HNN91" t="s">
        <v>145</v>
      </c>
      <c r="HNO91" t="s">
        <v>398</v>
      </c>
      <c r="HNP91">
        <v>1</v>
      </c>
      <c r="HNQ91" t="s">
        <v>436</v>
      </c>
      <c r="HNR91" t="s">
        <v>437</v>
      </c>
      <c r="HNS91" t="s">
        <v>428</v>
      </c>
      <c r="HNU91" t="s">
        <v>146</v>
      </c>
      <c r="HNV91" t="s">
        <v>145</v>
      </c>
      <c r="HNW91" t="s">
        <v>398</v>
      </c>
      <c r="HNX91">
        <v>1</v>
      </c>
      <c r="HNY91" t="s">
        <v>436</v>
      </c>
      <c r="HNZ91" t="s">
        <v>437</v>
      </c>
      <c r="HOA91" t="s">
        <v>428</v>
      </c>
      <c r="HOC91" t="s">
        <v>146</v>
      </c>
      <c r="HOD91" t="s">
        <v>145</v>
      </c>
      <c r="HOE91" t="s">
        <v>398</v>
      </c>
      <c r="HOF91">
        <v>1</v>
      </c>
      <c r="HOG91" t="s">
        <v>436</v>
      </c>
      <c r="HOH91" t="s">
        <v>437</v>
      </c>
      <c r="HOI91" t="s">
        <v>428</v>
      </c>
      <c r="HOK91" t="s">
        <v>146</v>
      </c>
      <c r="HOL91" t="s">
        <v>145</v>
      </c>
      <c r="HOM91" t="s">
        <v>398</v>
      </c>
      <c r="HON91">
        <v>1</v>
      </c>
      <c r="HOO91" t="s">
        <v>436</v>
      </c>
      <c r="HOP91" t="s">
        <v>437</v>
      </c>
      <c r="HOQ91" t="s">
        <v>428</v>
      </c>
      <c r="HOS91" t="s">
        <v>146</v>
      </c>
      <c r="HOT91" t="s">
        <v>145</v>
      </c>
      <c r="HOU91" t="s">
        <v>398</v>
      </c>
      <c r="HOV91">
        <v>1</v>
      </c>
      <c r="HOW91" t="s">
        <v>436</v>
      </c>
      <c r="HOX91" t="s">
        <v>437</v>
      </c>
      <c r="HOY91" t="s">
        <v>428</v>
      </c>
      <c r="HPA91" t="s">
        <v>146</v>
      </c>
      <c r="HPB91" t="s">
        <v>145</v>
      </c>
      <c r="HPC91" t="s">
        <v>398</v>
      </c>
      <c r="HPD91">
        <v>1</v>
      </c>
      <c r="HPE91" t="s">
        <v>436</v>
      </c>
      <c r="HPF91" t="s">
        <v>437</v>
      </c>
      <c r="HPG91" t="s">
        <v>428</v>
      </c>
      <c r="HPI91" t="s">
        <v>146</v>
      </c>
      <c r="HPJ91" t="s">
        <v>145</v>
      </c>
      <c r="HPK91" t="s">
        <v>398</v>
      </c>
      <c r="HPL91">
        <v>1</v>
      </c>
      <c r="HPM91" t="s">
        <v>436</v>
      </c>
      <c r="HPN91" t="s">
        <v>437</v>
      </c>
      <c r="HPO91" t="s">
        <v>428</v>
      </c>
      <c r="HPQ91" t="s">
        <v>146</v>
      </c>
      <c r="HPR91" t="s">
        <v>145</v>
      </c>
      <c r="HPS91" t="s">
        <v>398</v>
      </c>
      <c r="HPT91">
        <v>1</v>
      </c>
      <c r="HPU91" t="s">
        <v>436</v>
      </c>
      <c r="HPV91" t="s">
        <v>437</v>
      </c>
      <c r="HPW91" t="s">
        <v>428</v>
      </c>
      <c r="HPY91" t="s">
        <v>146</v>
      </c>
      <c r="HPZ91" t="s">
        <v>145</v>
      </c>
      <c r="HQA91" t="s">
        <v>398</v>
      </c>
      <c r="HQB91">
        <v>1</v>
      </c>
      <c r="HQC91" t="s">
        <v>436</v>
      </c>
      <c r="HQD91" t="s">
        <v>437</v>
      </c>
      <c r="HQE91" t="s">
        <v>428</v>
      </c>
      <c r="HQG91" t="s">
        <v>146</v>
      </c>
      <c r="HQH91" t="s">
        <v>145</v>
      </c>
      <c r="HQI91" t="s">
        <v>398</v>
      </c>
      <c r="HQJ91">
        <v>1</v>
      </c>
      <c r="HQK91" t="s">
        <v>436</v>
      </c>
      <c r="HQL91" t="s">
        <v>437</v>
      </c>
      <c r="HQM91" t="s">
        <v>428</v>
      </c>
      <c r="HQO91" t="s">
        <v>146</v>
      </c>
      <c r="HQP91" t="s">
        <v>145</v>
      </c>
      <c r="HQQ91" t="s">
        <v>398</v>
      </c>
      <c r="HQR91">
        <v>1</v>
      </c>
      <c r="HQS91" t="s">
        <v>436</v>
      </c>
      <c r="HQT91" t="s">
        <v>437</v>
      </c>
      <c r="HQU91" t="s">
        <v>428</v>
      </c>
      <c r="HQW91" t="s">
        <v>146</v>
      </c>
      <c r="HQX91" t="s">
        <v>145</v>
      </c>
      <c r="HQY91" t="s">
        <v>398</v>
      </c>
      <c r="HQZ91">
        <v>1</v>
      </c>
      <c r="HRA91" t="s">
        <v>436</v>
      </c>
      <c r="HRB91" t="s">
        <v>437</v>
      </c>
      <c r="HRC91" t="s">
        <v>428</v>
      </c>
      <c r="HRE91" t="s">
        <v>146</v>
      </c>
      <c r="HRF91" t="s">
        <v>145</v>
      </c>
      <c r="HRG91" t="s">
        <v>398</v>
      </c>
      <c r="HRH91">
        <v>1</v>
      </c>
      <c r="HRI91" t="s">
        <v>436</v>
      </c>
      <c r="HRJ91" t="s">
        <v>437</v>
      </c>
      <c r="HRK91" t="s">
        <v>428</v>
      </c>
      <c r="HRM91" t="s">
        <v>146</v>
      </c>
      <c r="HRN91" t="s">
        <v>145</v>
      </c>
      <c r="HRO91" t="s">
        <v>398</v>
      </c>
      <c r="HRP91">
        <v>1</v>
      </c>
      <c r="HRQ91" t="s">
        <v>436</v>
      </c>
      <c r="HRR91" t="s">
        <v>437</v>
      </c>
      <c r="HRS91" t="s">
        <v>428</v>
      </c>
      <c r="HRU91" t="s">
        <v>146</v>
      </c>
      <c r="HRV91" t="s">
        <v>145</v>
      </c>
      <c r="HRW91" t="s">
        <v>398</v>
      </c>
      <c r="HRX91">
        <v>1</v>
      </c>
      <c r="HRY91" t="s">
        <v>436</v>
      </c>
      <c r="HRZ91" t="s">
        <v>437</v>
      </c>
      <c r="HSA91" t="s">
        <v>428</v>
      </c>
      <c r="HSC91" t="s">
        <v>146</v>
      </c>
      <c r="HSD91" t="s">
        <v>145</v>
      </c>
      <c r="HSE91" t="s">
        <v>398</v>
      </c>
      <c r="HSF91">
        <v>1</v>
      </c>
      <c r="HSG91" t="s">
        <v>436</v>
      </c>
      <c r="HSH91" t="s">
        <v>437</v>
      </c>
      <c r="HSI91" t="s">
        <v>428</v>
      </c>
      <c r="HSK91" t="s">
        <v>146</v>
      </c>
      <c r="HSL91" t="s">
        <v>145</v>
      </c>
      <c r="HSM91" t="s">
        <v>398</v>
      </c>
      <c r="HSN91">
        <v>1</v>
      </c>
      <c r="HSO91" t="s">
        <v>436</v>
      </c>
      <c r="HSP91" t="s">
        <v>437</v>
      </c>
      <c r="HSQ91" t="s">
        <v>428</v>
      </c>
      <c r="HSS91" t="s">
        <v>146</v>
      </c>
      <c r="HST91" t="s">
        <v>145</v>
      </c>
      <c r="HSU91" t="s">
        <v>398</v>
      </c>
      <c r="HSV91">
        <v>1</v>
      </c>
      <c r="HSW91" t="s">
        <v>436</v>
      </c>
      <c r="HSX91" t="s">
        <v>437</v>
      </c>
      <c r="HSY91" t="s">
        <v>428</v>
      </c>
      <c r="HTA91" t="s">
        <v>146</v>
      </c>
      <c r="HTB91" t="s">
        <v>145</v>
      </c>
      <c r="HTC91" t="s">
        <v>398</v>
      </c>
      <c r="HTD91">
        <v>1</v>
      </c>
      <c r="HTE91" t="s">
        <v>436</v>
      </c>
      <c r="HTF91" t="s">
        <v>437</v>
      </c>
      <c r="HTG91" t="s">
        <v>428</v>
      </c>
      <c r="HTI91" t="s">
        <v>146</v>
      </c>
      <c r="HTJ91" t="s">
        <v>145</v>
      </c>
      <c r="HTK91" t="s">
        <v>398</v>
      </c>
      <c r="HTL91">
        <v>1</v>
      </c>
      <c r="HTM91" t="s">
        <v>436</v>
      </c>
      <c r="HTN91" t="s">
        <v>437</v>
      </c>
      <c r="HTO91" t="s">
        <v>428</v>
      </c>
      <c r="HTQ91" t="s">
        <v>146</v>
      </c>
      <c r="HTR91" t="s">
        <v>145</v>
      </c>
      <c r="HTS91" t="s">
        <v>398</v>
      </c>
      <c r="HTT91">
        <v>1</v>
      </c>
      <c r="HTU91" t="s">
        <v>436</v>
      </c>
      <c r="HTV91" t="s">
        <v>437</v>
      </c>
      <c r="HTW91" t="s">
        <v>428</v>
      </c>
      <c r="HTY91" t="s">
        <v>146</v>
      </c>
      <c r="HTZ91" t="s">
        <v>145</v>
      </c>
      <c r="HUA91" t="s">
        <v>398</v>
      </c>
      <c r="HUB91">
        <v>1</v>
      </c>
      <c r="HUC91" t="s">
        <v>436</v>
      </c>
      <c r="HUD91" t="s">
        <v>437</v>
      </c>
      <c r="HUE91" t="s">
        <v>428</v>
      </c>
      <c r="HUG91" t="s">
        <v>146</v>
      </c>
      <c r="HUH91" t="s">
        <v>145</v>
      </c>
      <c r="HUI91" t="s">
        <v>398</v>
      </c>
      <c r="HUJ91">
        <v>1</v>
      </c>
      <c r="HUK91" t="s">
        <v>436</v>
      </c>
      <c r="HUL91" t="s">
        <v>437</v>
      </c>
      <c r="HUM91" t="s">
        <v>428</v>
      </c>
      <c r="HUO91" t="s">
        <v>146</v>
      </c>
      <c r="HUP91" t="s">
        <v>145</v>
      </c>
      <c r="HUQ91" t="s">
        <v>398</v>
      </c>
      <c r="HUR91">
        <v>1</v>
      </c>
      <c r="HUS91" t="s">
        <v>436</v>
      </c>
      <c r="HUT91" t="s">
        <v>437</v>
      </c>
      <c r="HUU91" t="s">
        <v>428</v>
      </c>
      <c r="HUW91" t="s">
        <v>146</v>
      </c>
      <c r="HUX91" t="s">
        <v>145</v>
      </c>
      <c r="HUY91" t="s">
        <v>398</v>
      </c>
      <c r="HUZ91">
        <v>1</v>
      </c>
      <c r="HVA91" t="s">
        <v>436</v>
      </c>
      <c r="HVB91" t="s">
        <v>437</v>
      </c>
      <c r="HVC91" t="s">
        <v>428</v>
      </c>
      <c r="HVE91" t="s">
        <v>146</v>
      </c>
      <c r="HVF91" t="s">
        <v>145</v>
      </c>
      <c r="HVG91" t="s">
        <v>398</v>
      </c>
      <c r="HVH91">
        <v>1</v>
      </c>
      <c r="HVI91" t="s">
        <v>436</v>
      </c>
      <c r="HVJ91" t="s">
        <v>437</v>
      </c>
      <c r="HVK91" t="s">
        <v>428</v>
      </c>
      <c r="HVM91" t="s">
        <v>146</v>
      </c>
      <c r="HVN91" t="s">
        <v>145</v>
      </c>
      <c r="HVO91" t="s">
        <v>398</v>
      </c>
      <c r="HVP91">
        <v>1</v>
      </c>
      <c r="HVQ91" t="s">
        <v>436</v>
      </c>
      <c r="HVR91" t="s">
        <v>437</v>
      </c>
      <c r="HVS91" t="s">
        <v>428</v>
      </c>
      <c r="HVU91" t="s">
        <v>146</v>
      </c>
      <c r="HVV91" t="s">
        <v>145</v>
      </c>
      <c r="HVW91" t="s">
        <v>398</v>
      </c>
      <c r="HVX91">
        <v>1</v>
      </c>
      <c r="HVY91" t="s">
        <v>436</v>
      </c>
      <c r="HVZ91" t="s">
        <v>437</v>
      </c>
      <c r="HWA91" t="s">
        <v>428</v>
      </c>
      <c r="HWC91" t="s">
        <v>146</v>
      </c>
      <c r="HWD91" t="s">
        <v>145</v>
      </c>
      <c r="HWE91" t="s">
        <v>398</v>
      </c>
      <c r="HWF91">
        <v>1</v>
      </c>
      <c r="HWG91" t="s">
        <v>436</v>
      </c>
      <c r="HWH91" t="s">
        <v>437</v>
      </c>
      <c r="HWI91" t="s">
        <v>428</v>
      </c>
      <c r="HWK91" t="s">
        <v>146</v>
      </c>
      <c r="HWL91" t="s">
        <v>145</v>
      </c>
      <c r="HWM91" t="s">
        <v>398</v>
      </c>
      <c r="HWN91">
        <v>1</v>
      </c>
      <c r="HWO91" t="s">
        <v>436</v>
      </c>
      <c r="HWP91" t="s">
        <v>437</v>
      </c>
      <c r="HWQ91" t="s">
        <v>428</v>
      </c>
      <c r="HWS91" t="s">
        <v>146</v>
      </c>
      <c r="HWT91" t="s">
        <v>145</v>
      </c>
      <c r="HWU91" t="s">
        <v>398</v>
      </c>
      <c r="HWV91">
        <v>1</v>
      </c>
      <c r="HWW91" t="s">
        <v>436</v>
      </c>
      <c r="HWX91" t="s">
        <v>437</v>
      </c>
      <c r="HWY91" t="s">
        <v>428</v>
      </c>
      <c r="HXA91" t="s">
        <v>146</v>
      </c>
      <c r="HXB91" t="s">
        <v>145</v>
      </c>
      <c r="HXC91" t="s">
        <v>398</v>
      </c>
      <c r="HXD91">
        <v>1</v>
      </c>
      <c r="HXE91" t="s">
        <v>436</v>
      </c>
      <c r="HXF91" t="s">
        <v>437</v>
      </c>
      <c r="HXG91" t="s">
        <v>428</v>
      </c>
      <c r="HXI91" t="s">
        <v>146</v>
      </c>
      <c r="HXJ91" t="s">
        <v>145</v>
      </c>
      <c r="HXK91" t="s">
        <v>398</v>
      </c>
      <c r="HXL91">
        <v>1</v>
      </c>
      <c r="HXM91" t="s">
        <v>436</v>
      </c>
      <c r="HXN91" t="s">
        <v>437</v>
      </c>
      <c r="HXO91" t="s">
        <v>428</v>
      </c>
      <c r="HXQ91" t="s">
        <v>146</v>
      </c>
      <c r="HXR91" t="s">
        <v>145</v>
      </c>
      <c r="HXS91" t="s">
        <v>398</v>
      </c>
      <c r="HXT91">
        <v>1</v>
      </c>
      <c r="HXU91" t="s">
        <v>436</v>
      </c>
      <c r="HXV91" t="s">
        <v>437</v>
      </c>
      <c r="HXW91" t="s">
        <v>428</v>
      </c>
      <c r="HXY91" t="s">
        <v>146</v>
      </c>
      <c r="HXZ91" t="s">
        <v>145</v>
      </c>
      <c r="HYA91" t="s">
        <v>398</v>
      </c>
      <c r="HYB91">
        <v>1</v>
      </c>
      <c r="HYC91" t="s">
        <v>436</v>
      </c>
      <c r="HYD91" t="s">
        <v>437</v>
      </c>
      <c r="HYE91" t="s">
        <v>428</v>
      </c>
      <c r="HYG91" t="s">
        <v>146</v>
      </c>
      <c r="HYH91" t="s">
        <v>145</v>
      </c>
      <c r="HYI91" t="s">
        <v>398</v>
      </c>
      <c r="HYJ91">
        <v>1</v>
      </c>
      <c r="HYK91" t="s">
        <v>436</v>
      </c>
      <c r="HYL91" t="s">
        <v>437</v>
      </c>
      <c r="HYM91" t="s">
        <v>428</v>
      </c>
      <c r="HYO91" t="s">
        <v>146</v>
      </c>
      <c r="HYP91" t="s">
        <v>145</v>
      </c>
      <c r="HYQ91" t="s">
        <v>398</v>
      </c>
      <c r="HYR91">
        <v>1</v>
      </c>
      <c r="HYS91" t="s">
        <v>436</v>
      </c>
      <c r="HYT91" t="s">
        <v>437</v>
      </c>
      <c r="HYU91" t="s">
        <v>428</v>
      </c>
      <c r="HYW91" t="s">
        <v>146</v>
      </c>
      <c r="HYX91" t="s">
        <v>145</v>
      </c>
      <c r="HYY91" t="s">
        <v>398</v>
      </c>
      <c r="HYZ91">
        <v>1</v>
      </c>
      <c r="HZA91" t="s">
        <v>436</v>
      </c>
      <c r="HZB91" t="s">
        <v>437</v>
      </c>
      <c r="HZC91" t="s">
        <v>428</v>
      </c>
      <c r="HZE91" t="s">
        <v>146</v>
      </c>
      <c r="HZF91" t="s">
        <v>145</v>
      </c>
      <c r="HZG91" t="s">
        <v>398</v>
      </c>
      <c r="HZH91">
        <v>1</v>
      </c>
      <c r="HZI91" t="s">
        <v>436</v>
      </c>
      <c r="HZJ91" t="s">
        <v>437</v>
      </c>
      <c r="HZK91" t="s">
        <v>428</v>
      </c>
      <c r="HZM91" t="s">
        <v>146</v>
      </c>
      <c r="HZN91" t="s">
        <v>145</v>
      </c>
      <c r="HZO91" t="s">
        <v>398</v>
      </c>
      <c r="HZP91">
        <v>1</v>
      </c>
      <c r="HZQ91" t="s">
        <v>436</v>
      </c>
      <c r="HZR91" t="s">
        <v>437</v>
      </c>
      <c r="HZS91" t="s">
        <v>428</v>
      </c>
      <c r="HZU91" t="s">
        <v>146</v>
      </c>
      <c r="HZV91" t="s">
        <v>145</v>
      </c>
      <c r="HZW91" t="s">
        <v>398</v>
      </c>
      <c r="HZX91">
        <v>1</v>
      </c>
      <c r="HZY91" t="s">
        <v>436</v>
      </c>
      <c r="HZZ91" t="s">
        <v>437</v>
      </c>
      <c r="IAA91" t="s">
        <v>428</v>
      </c>
      <c r="IAC91" t="s">
        <v>146</v>
      </c>
      <c r="IAD91" t="s">
        <v>145</v>
      </c>
      <c r="IAE91" t="s">
        <v>398</v>
      </c>
      <c r="IAF91">
        <v>1</v>
      </c>
      <c r="IAG91" t="s">
        <v>436</v>
      </c>
      <c r="IAH91" t="s">
        <v>437</v>
      </c>
      <c r="IAI91" t="s">
        <v>428</v>
      </c>
      <c r="IAK91" t="s">
        <v>146</v>
      </c>
      <c r="IAL91" t="s">
        <v>145</v>
      </c>
      <c r="IAM91" t="s">
        <v>398</v>
      </c>
      <c r="IAN91">
        <v>1</v>
      </c>
      <c r="IAO91" t="s">
        <v>436</v>
      </c>
      <c r="IAP91" t="s">
        <v>437</v>
      </c>
      <c r="IAQ91" t="s">
        <v>428</v>
      </c>
      <c r="IAS91" t="s">
        <v>146</v>
      </c>
      <c r="IAT91" t="s">
        <v>145</v>
      </c>
      <c r="IAU91" t="s">
        <v>398</v>
      </c>
      <c r="IAV91">
        <v>1</v>
      </c>
      <c r="IAW91" t="s">
        <v>436</v>
      </c>
      <c r="IAX91" t="s">
        <v>437</v>
      </c>
      <c r="IAY91" t="s">
        <v>428</v>
      </c>
      <c r="IBA91" t="s">
        <v>146</v>
      </c>
      <c r="IBB91" t="s">
        <v>145</v>
      </c>
      <c r="IBC91" t="s">
        <v>398</v>
      </c>
      <c r="IBD91">
        <v>1</v>
      </c>
      <c r="IBE91" t="s">
        <v>436</v>
      </c>
      <c r="IBF91" t="s">
        <v>437</v>
      </c>
      <c r="IBG91" t="s">
        <v>428</v>
      </c>
      <c r="IBI91" t="s">
        <v>146</v>
      </c>
      <c r="IBJ91" t="s">
        <v>145</v>
      </c>
      <c r="IBK91" t="s">
        <v>398</v>
      </c>
      <c r="IBL91">
        <v>1</v>
      </c>
      <c r="IBM91" t="s">
        <v>436</v>
      </c>
      <c r="IBN91" t="s">
        <v>437</v>
      </c>
      <c r="IBO91" t="s">
        <v>428</v>
      </c>
      <c r="IBQ91" t="s">
        <v>146</v>
      </c>
      <c r="IBR91" t="s">
        <v>145</v>
      </c>
      <c r="IBS91" t="s">
        <v>398</v>
      </c>
      <c r="IBT91">
        <v>1</v>
      </c>
      <c r="IBU91" t="s">
        <v>436</v>
      </c>
      <c r="IBV91" t="s">
        <v>437</v>
      </c>
      <c r="IBW91" t="s">
        <v>428</v>
      </c>
      <c r="IBY91" t="s">
        <v>146</v>
      </c>
      <c r="IBZ91" t="s">
        <v>145</v>
      </c>
      <c r="ICA91" t="s">
        <v>398</v>
      </c>
      <c r="ICB91">
        <v>1</v>
      </c>
      <c r="ICC91" t="s">
        <v>436</v>
      </c>
      <c r="ICD91" t="s">
        <v>437</v>
      </c>
      <c r="ICE91" t="s">
        <v>428</v>
      </c>
      <c r="ICG91" t="s">
        <v>146</v>
      </c>
      <c r="ICH91" t="s">
        <v>145</v>
      </c>
      <c r="ICI91" t="s">
        <v>398</v>
      </c>
      <c r="ICJ91">
        <v>1</v>
      </c>
      <c r="ICK91" t="s">
        <v>436</v>
      </c>
      <c r="ICL91" t="s">
        <v>437</v>
      </c>
      <c r="ICM91" t="s">
        <v>428</v>
      </c>
      <c r="ICO91" t="s">
        <v>146</v>
      </c>
      <c r="ICP91" t="s">
        <v>145</v>
      </c>
      <c r="ICQ91" t="s">
        <v>398</v>
      </c>
      <c r="ICR91">
        <v>1</v>
      </c>
      <c r="ICS91" t="s">
        <v>436</v>
      </c>
      <c r="ICT91" t="s">
        <v>437</v>
      </c>
      <c r="ICU91" t="s">
        <v>428</v>
      </c>
      <c r="ICW91" t="s">
        <v>146</v>
      </c>
      <c r="ICX91" t="s">
        <v>145</v>
      </c>
      <c r="ICY91" t="s">
        <v>398</v>
      </c>
      <c r="ICZ91">
        <v>1</v>
      </c>
      <c r="IDA91" t="s">
        <v>436</v>
      </c>
      <c r="IDB91" t="s">
        <v>437</v>
      </c>
      <c r="IDC91" t="s">
        <v>428</v>
      </c>
      <c r="IDE91" t="s">
        <v>146</v>
      </c>
      <c r="IDF91" t="s">
        <v>145</v>
      </c>
      <c r="IDG91" t="s">
        <v>398</v>
      </c>
      <c r="IDH91">
        <v>1</v>
      </c>
      <c r="IDI91" t="s">
        <v>436</v>
      </c>
      <c r="IDJ91" t="s">
        <v>437</v>
      </c>
      <c r="IDK91" t="s">
        <v>428</v>
      </c>
      <c r="IDM91" t="s">
        <v>146</v>
      </c>
      <c r="IDN91" t="s">
        <v>145</v>
      </c>
      <c r="IDO91" t="s">
        <v>398</v>
      </c>
      <c r="IDP91">
        <v>1</v>
      </c>
      <c r="IDQ91" t="s">
        <v>436</v>
      </c>
      <c r="IDR91" t="s">
        <v>437</v>
      </c>
      <c r="IDS91" t="s">
        <v>428</v>
      </c>
      <c r="IDU91" t="s">
        <v>146</v>
      </c>
      <c r="IDV91" t="s">
        <v>145</v>
      </c>
      <c r="IDW91" t="s">
        <v>398</v>
      </c>
      <c r="IDX91">
        <v>1</v>
      </c>
      <c r="IDY91" t="s">
        <v>436</v>
      </c>
      <c r="IDZ91" t="s">
        <v>437</v>
      </c>
      <c r="IEA91" t="s">
        <v>428</v>
      </c>
      <c r="IEC91" t="s">
        <v>146</v>
      </c>
      <c r="IED91" t="s">
        <v>145</v>
      </c>
      <c r="IEE91" t="s">
        <v>398</v>
      </c>
      <c r="IEF91">
        <v>1</v>
      </c>
      <c r="IEG91" t="s">
        <v>436</v>
      </c>
      <c r="IEH91" t="s">
        <v>437</v>
      </c>
      <c r="IEI91" t="s">
        <v>428</v>
      </c>
      <c r="IEK91" t="s">
        <v>146</v>
      </c>
      <c r="IEL91" t="s">
        <v>145</v>
      </c>
      <c r="IEM91" t="s">
        <v>398</v>
      </c>
      <c r="IEN91">
        <v>1</v>
      </c>
      <c r="IEO91" t="s">
        <v>436</v>
      </c>
      <c r="IEP91" t="s">
        <v>437</v>
      </c>
      <c r="IEQ91" t="s">
        <v>428</v>
      </c>
      <c r="IES91" t="s">
        <v>146</v>
      </c>
      <c r="IET91" t="s">
        <v>145</v>
      </c>
      <c r="IEU91" t="s">
        <v>398</v>
      </c>
      <c r="IEV91">
        <v>1</v>
      </c>
      <c r="IEW91" t="s">
        <v>436</v>
      </c>
      <c r="IEX91" t="s">
        <v>437</v>
      </c>
      <c r="IEY91" t="s">
        <v>428</v>
      </c>
      <c r="IFA91" t="s">
        <v>146</v>
      </c>
      <c r="IFB91" t="s">
        <v>145</v>
      </c>
      <c r="IFC91" t="s">
        <v>398</v>
      </c>
      <c r="IFD91">
        <v>1</v>
      </c>
      <c r="IFE91" t="s">
        <v>436</v>
      </c>
      <c r="IFF91" t="s">
        <v>437</v>
      </c>
      <c r="IFG91" t="s">
        <v>428</v>
      </c>
      <c r="IFI91" t="s">
        <v>146</v>
      </c>
      <c r="IFJ91" t="s">
        <v>145</v>
      </c>
      <c r="IFK91" t="s">
        <v>398</v>
      </c>
      <c r="IFL91">
        <v>1</v>
      </c>
      <c r="IFM91" t="s">
        <v>436</v>
      </c>
      <c r="IFN91" t="s">
        <v>437</v>
      </c>
      <c r="IFO91" t="s">
        <v>428</v>
      </c>
      <c r="IFQ91" t="s">
        <v>146</v>
      </c>
      <c r="IFR91" t="s">
        <v>145</v>
      </c>
      <c r="IFS91" t="s">
        <v>398</v>
      </c>
      <c r="IFT91">
        <v>1</v>
      </c>
      <c r="IFU91" t="s">
        <v>436</v>
      </c>
      <c r="IFV91" t="s">
        <v>437</v>
      </c>
      <c r="IFW91" t="s">
        <v>428</v>
      </c>
      <c r="IFY91" t="s">
        <v>146</v>
      </c>
      <c r="IFZ91" t="s">
        <v>145</v>
      </c>
      <c r="IGA91" t="s">
        <v>398</v>
      </c>
      <c r="IGB91">
        <v>1</v>
      </c>
      <c r="IGC91" t="s">
        <v>436</v>
      </c>
      <c r="IGD91" t="s">
        <v>437</v>
      </c>
      <c r="IGE91" t="s">
        <v>428</v>
      </c>
      <c r="IGG91" t="s">
        <v>146</v>
      </c>
      <c r="IGH91" t="s">
        <v>145</v>
      </c>
      <c r="IGI91" t="s">
        <v>398</v>
      </c>
      <c r="IGJ91">
        <v>1</v>
      </c>
      <c r="IGK91" t="s">
        <v>436</v>
      </c>
      <c r="IGL91" t="s">
        <v>437</v>
      </c>
      <c r="IGM91" t="s">
        <v>428</v>
      </c>
      <c r="IGO91" t="s">
        <v>146</v>
      </c>
      <c r="IGP91" t="s">
        <v>145</v>
      </c>
      <c r="IGQ91" t="s">
        <v>398</v>
      </c>
      <c r="IGR91">
        <v>1</v>
      </c>
      <c r="IGS91" t="s">
        <v>436</v>
      </c>
      <c r="IGT91" t="s">
        <v>437</v>
      </c>
      <c r="IGU91" t="s">
        <v>428</v>
      </c>
      <c r="IGW91" t="s">
        <v>146</v>
      </c>
      <c r="IGX91" t="s">
        <v>145</v>
      </c>
      <c r="IGY91" t="s">
        <v>398</v>
      </c>
      <c r="IGZ91">
        <v>1</v>
      </c>
      <c r="IHA91" t="s">
        <v>436</v>
      </c>
      <c r="IHB91" t="s">
        <v>437</v>
      </c>
      <c r="IHC91" t="s">
        <v>428</v>
      </c>
      <c r="IHE91" t="s">
        <v>146</v>
      </c>
      <c r="IHF91" t="s">
        <v>145</v>
      </c>
      <c r="IHG91" t="s">
        <v>398</v>
      </c>
      <c r="IHH91">
        <v>1</v>
      </c>
      <c r="IHI91" t="s">
        <v>436</v>
      </c>
      <c r="IHJ91" t="s">
        <v>437</v>
      </c>
      <c r="IHK91" t="s">
        <v>428</v>
      </c>
      <c r="IHM91" t="s">
        <v>146</v>
      </c>
      <c r="IHN91" t="s">
        <v>145</v>
      </c>
      <c r="IHO91" t="s">
        <v>398</v>
      </c>
      <c r="IHP91">
        <v>1</v>
      </c>
      <c r="IHQ91" t="s">
        <v>436</v>
      </c>
      <c r="IHR91" t="s">
        <v>437</v>
      </c>
      <c r="IHS91" t="s">
        <v>428</v>
      </c>
      <c r="IHU91" t="s">
        <v>146</v>
      </c>
      <c r="IHV91" t="s">
        <v>145</v>
      </c>
      <c r="IHW91" t="s">
        <v>398</v>
      </c>
      <c r="IHX91">
        <v>1</v>
      </c>
      <c r="IHY91" t="s">
        <v>436</v>
      </c>
      <c r="IHZ91" t="s">
        <v>437</v>
      </c>
      <c r="IIA91" t="s">
        <v>428</v>
      </c>
      <c r="IIC91" t="s">
        <v>146</v>
      </c>
      <c r="IID91" t="s">
        <v>145</v>
      </c>
      <c r="IIE91" t="s">
        <v>398</v>
      </c>
      <c r="IIF91">
        <v>1</v>
      </c>
      <c r="IIG91" t="s">
        <v>436</v>
      </c>
      <c r="IIH91" t="s">
        <v>437</v>
      </c>
      <c r="III91" t="s">
        <v>428</v>
      </c>
      <c r="IIK91" t="s">
        <v>146</v>
      </c>
      <c r="IIL91" t="s">
        <v>145</v>
      </c>
      <c r="IIM91" t="s">
        <v>398</v>
      </c>
      <c r="IIN91">
        <v>1</v>
      </c>
      <c r="IIO91" t="s">
        <v>436</v>
      </c>
      <c r="IIP91" t="s">
        <v>437</v>
      </c>
      <c r="IIQ91" t="s">
        <v>428</v>
      </c>
      <c r="IIS91" t="s">
        <v>146</v>
      </c>
      <c r="IIT91" t="s">
        <v>145</v>
      </c>
      <c r="IIU91" t="s">
        <v>398</v>
      </c>
      <c r="IIV91">
        <v>1</v>
      </c>
      <c r="IIW91" t="s">
        <v>436</v>
      </c>
      <c r="IIX91" t="s">
        <v>437</v>
      </c>
      <c r="IIY91" t="s">
        <v>428</v>
      </c>
      <c r="IJA91" t="s">
        <v>146</v>
      </c>
      <c r="IJB91" t="s">
        <v>145</v>
      </c>
      <c r="IJC91" t="s">
        <v>398</v>
      </c>
      <c r="IJD91">
        <v>1</v>
      </c>
      <c r="IJE91" t="s">
        <v>436</v>
      </c>
      <c r="IJF91" t="s">
        <v>437</v>
      </c>
      <c r="IJG91" t="s">
        <v>428</v>
      </c>
      <c r="IJI91" t="s">
        <v>146</v>
      </c>
      <c r="IJJ91" t="s">
        <v>145</v>
      </c>
      <c r="IJK91" t="s">
        <v>398</v>
      </c>
      <c r="IJL91">
        <v>1</v>
      </c>
      <c r="IJM91" t="s">
        <v>436</v>
      </c>
      <c r="IJN91" t="s">
        <v>437</v>
      </c>
      <c r="IJO91" t="s">
        <v>428</v>
      </c>
      <c r="IJQ91" t="s">
        <v>146</v>
      </c>
      <c r="IJR91" t="s">
        <v>145</v>
      </c>
      <c r="IJS91" t="s">
        <v>398</v>
      </c>
      <c r="IJT91">
        <v>1</v>
      </c>
      <c r="IJU91" t="s">
        <v>436</v>
      </c>
      <c r="IJV91" t="s">
        <v>437</v>
      </c>
      <c r="IJW91" t="s">
        <v>428</v>
      </c>
      <c r="IJY91" t="s">
        <v>146</v>
      </c>
      <c r="IJZ91" t="s">
        <v>145</v>
      </c>
      <c r="IKA91" t="s">
        <v>398</v>
      </c>
      <c r="IKB91">
        <v>1</v>
      </c>
      <c r="IKC91" t="s">
        <v>436</v>
      </c>
      <c r="IKD91" t="s">
        <v>437</v>
      </c>
      <c r="IKE91" t="s">
        <v>428</v>
      </c>
      <c r="IKG91" t="s">
        <v>146</v>
      </c>
      <c r="IKH91" t="s">
        <v>145</v>
      </c>
      <c r="IKI91" t="s">
        <v>398</v>
      </c>
      <c r="IKJ91">
        <v>1</v>
      </c>
      <c r="IKK91" t="s">
        <v>436</v>
      </c>
      <c r="IKL91" t="s">
        <v>437</v>
      </c>
      <c r="IKM91" t="s">
        <v>428</v>
      </c>
      <c r="IKO91" t="s">
        <v>146</v>
      </c>
      <c r="IKP91" t="s">
        <v>145</v>
      </c>
      <c r="IKQ91" t="s">
        <v>398</v>
      </c>
      <c r="IKR91">
        <v>1</v>
      </c>
      <c r="IKS91" t="s">
        <v>436</v>
      </c>
      <c r="IKT91" t="s">
        <v>437</v>
      </c>
      <c r="IKU91" t="s">
        <v>428</v>
      </c>
      <c r="IKW91" t="s">
        <v>146</v>
      </c>
      <c r="IKX91" t="s">
        <v>145</v>
      </c>
      <c r="IKY91" t="s">
        <v>398</v>
      </c>
      <c r="IKZ91">
        <v>1</v>
      </c>
      <c r="ILA91" t="s">
        <v>436</v>
      </c>
      <c r="ILB91" t="s">
        <v>437</v>
      </c>
      <c r="ILC91" t="s">
        <v>428</v>
      </c>
      <c r="ILE91" t="s">
        <v>146</v>
      </c>
      <c r="ILF91" t="s">
        <v>145</v>
      </c>
      <c r="ILG91" t="s">
        <v>398</v>
      </c>
      <c r="ILH91">
        <v>1</v>
      </c>
      <c r="ILI91" t="s">
        <v>436</v>
      </c>
      <c r="ILJ91" t="s">
        <v>437</v>
      </c>
      <c r="ILK91" t="s">
        <v>428</v>
      </c>
      <c r="ILM91" t="s">
        <v>146</v>
      </c>
      <c r="ILN91" t="s">
        <v>145</v>
      </c>
      <c r="ILO91" t="s">
        <v>398</v>
      </c>
      <c r="ILP91">
        <v>1</v>
      </c>
      <c r="ILQ91" t="s">
        <v>436</v>
      </c>
      <c r="ILR91" t="s">
        <v>437</v>
      </c>
      <c r="ILS91" t="s">
        <v>428</v>
      </c>
      <c r="ILU91" t="s">
        <v>146</v>
      </c>
      <c r="ILV91" t="s">
        <v>145</v>
      </c>
      <c r="ILW91" t="s">
        <v>398</v>
      </c>
      <c r="ILX91">
        <v>1</v>
      </c>
      <c r="ILY91" t="s">
        <v>436</v>
      </c>
      <c r="ILZ91" t="s">
        <v>437</v>
      </c>
      <c r="IMA91" t="s">
        <v>428</v>
      </c>
      <c r="IMC91" t="s">
        <v>146</v>
      </c>
      <c r="IMD91" t="s">
        <v>145</v>
      </c>
      <c r="IME91" t="s">
        <v>398</v>
      </c>
      <c r="IMF91">
        <v>1</v>
      </c>
      <c r="IMG91" t="s">
        <v>436</v>
      </c>
      <c r="IMH91" t="s">
        <v>437</v>
      </c>
      <c r="IMI91" t="s">
        <v>428</v>
      </c>
      <c r="IMK91" t="s">
        <v>146</v>
      </c>
      <c r="IML91" t="s">
        <v>145</v>
      </c>
      <c r="IMM91" t="s">
        <v>398</v>
      </c>
      <c r="IMN91">
        <v>1</v>
      </c>
      <c r="IMO91" t="s">
        <v>436</v>
      </c>
      <c r="IMP91" t="s">
        <v>437</v>
      </c>
      <c r="IMQ91" t="s">
        <v>428</v>
      </c>
      <c r="IMS91" t="s">
        <v>146</v>
      </c>
      <c r="IMT91" t="s">
        <v>145</v>
      </c>
      <c r="IMU91" t="s">
        <v>398</v>
      </c>
      <c r="IMV91">
        <v>1</v>
      </c>
      <c r="IMW91" t="s">
        <v>436</v>
      </c>
      <c r="IMX91" t="s">
        <v>437</v>
      </c>
      <c r="IMY91" t="s">
        <v>428</v>
      </c>
      <c r="INA91" t="s">
        <v>146</v>
      </c>
      <c r="INB91" t="s">
        <v>145</v>
      </c>
      <c r="INC91" t="s">
        <v>398</v>
      </c>
      <c r="IND91">
        <v>1</v>
      </c>
      <c r="INE91" t="s">
        <v>436</v>
      </c>
      <c r="INF91" t="s">
        <v>437</v>
      </c>
      <c r="ING91" t="s">
        <v>428</v>
      </c>
      <c r="INI91" t="s">
        <v>146</v>
      </c>
      <c r="INJ91" t="s">
        <v>145</v>
      </c>
      <c r="INK91" t="s">
        <v>398</v>
      </c>
      <c r="INL91">
        <v>1</v>
      </c>
      <c r="INM91" t="s">
        <v>436</v>
      </c>
      <c r="INN91" t="s">
        <v>437</v>
      </c>
      <c r="INO91" t="s">
        <v>428</v>
      </c>
      <c r="INQ91" t="s">
        <v>146</v>
      </c>
      <c r="INR91" t="s">
        <v>145</v>
      </c>
      <c r="INS91" t="s">
        <v>398</v>
      </c>
      <c r="INT91">
        <v>1</v>
      </c>
      <c r="INU91" t="s">
        <v>436</v>
      </c>
      <c r="INV91" t="s">
        <v>437</v>
      </c>
      <c r="INW91" t="s">
        <v>428</v>
      </c>
      <c r="INY91" t="s">
        <v>146</v>
      </c>
      <c r="INZ91" t="s">
        <v>145</v>
      </c>
      <c r="IOA91" t="s">
        <v>398</v>
      </c>
      <c r="IOB91">
        <v>1</v>
      </c>
      <c r="IOC91" t="s">
        <v>436</v>
      </c>
      <c r="IOD91" t="s">
        <v>437</v>
      </c>
      <c r="IOE91" t="s">
        <v>428</v>
      </c>
      <c r="IOG91" t="s">
        <v>146</v>
      </c>
      <c r="IOH91" t="s">
        <v>145</v>
      </c>
      <c r="IOI91" t="s">
        <v>398</v>
      </c>
      <c r="IOJ91">
        <v>1</v>
      </c>
      <c r="IOK91" t="s">
        <v>436</v>
      </c>
      <c r="IOL91" t="s">
        <v>437</v>
      </c>
      <c r="IOM91" t="s">
        <v>428</v>
      </c>
      <c r="IOO91" t="s">
        <v>146</v>
      </c>
      <c r="IOP91" t="s">
        <v>145</v>
      </c>
      <c r="IOQ91" t="s">
        <v>398</v>
      </c>
      <c r="IOR91">
        <v>1</v>
      </c>
      <c r="IOS91" t="s">
        <v>436</v>
      </c>
      <c r="IOT91" t="s">
        <v>437</v>
      </c>
      <c r="IOU91" t="s">
        <v>428</v>
      </c>
      <c r="IOW91" t="s">
        <v>146</v>
      </c>
      <c r="IOX91" t="s">
        <v>145</v>
      </c>
      <c r="IOY91" t="s">
        <v>398</v>
      </c>
      <c r="IOZ91">
        <v>1</v>
      </c>
      <c r="IPA91" t="s">
        <v>436</v>
      </c>
      <c r="IPB91" t="s">
        <v>437</v>
      </c>
      <c r="IPC91" t="s">
        <v>428</v>
      </c>
      <c r="IPE91" t="s">
        <v>146</v>
      </c>
      <c r="IPF91" t="s">
        <v>145</v>
      </c>
      <c r="IPG91" t="s">
        <v>398</v>
      </c>
      <c r="IPH91">
        <v>1</v>
      </c>
      <c r="IPI91" t="s">
        <v>436</v>
      </c>
      <c r="IPJ91" t="s">
        <v>437</v>
      </c>
      <c r="IPK91" t="s">
        <v>428</v>
      </c>
      <c r="IPM91" t="s">
        <v>146</v>
      </c>
      <c r="IPN91" t="s">
        <v>145</v>
      </c>
      <c r="IPO91" t="s">
        <v>398</v>
      </c>
      <c r="IPP91">
        <v>1</v>
      </c>
      <c r="IPQ91" t="s">
        <v>436</v>
      </c>
      <c r="IPR91" t="s">
        <v>437</v>
      </c>
      <c r="IPS91" t="s">
        <v>428</v>
      </c>
      <c r="IPU91" t="s">
        <v>146</v>
      </c>
      <c r="IPV91" t="s">
        <v>145</v>
      </c>
      <c r="IPW91" t="s">
        <v>398</v>
      </c>
      <c r="IPX91">
        <v>1</v>
      </c>
      <c r="IPY91" t="s">
        <v>436</v>
      </c>
      <c r="IPZ91" t="s">
        <v>437</v>
      </c>
      <c r="IQA91" t="s">
        <v>428</v>
      </c>
      <c r="IQC91" t="s">
        <v>146</v>
      </c>
      <c r="IQD91" t="s">
        <v>145</v>
      </c>
      <c r="IQE91" t="s">
        <v>398</v>
      </c>
      <c r="IQF91">
        <v>1</v>
      </c>
      <c r="IQG91" t="s">
        <v>436</v>
      </c>
      <c r="IQH91" t="s">
        <v>437</v>
      </c>
      <c r="IQI91" t="s">
        <v>428</v>
      </c>
      <c r="IQK91" t="s">
        <v>146</v>
      </c>
      <c r="IQL91" t="s">
        <v>145</v>
      </c>
      <c r="IQM91" t="s">
        <v>398</v>
      </c>
      <c r="IQN91">
        <v>1</v>
      </c>
      <c r="IQO91" t="s">
        <v>436</v>
      </c>
      <c r="IQP91" t="s">
        <v>437</v>
      </c>
      <c r="IQQ91" t="s">
        <v>428</v>
      </c>
      <c r="IQS91" t="s">
        <v>146</v>
      </c>
      <c r="IQT91" t="s">
        <v>145</v>
      </c>
      <c r="IQU91" t="s">
        <v>398</v>
      </c>
      <c r="IQV91">
        <v>1</v>
      </c>
      <c r="IQW91" t="s">
        <v>436</v>
      </c>
      <c r="IQX91" t="s">
        <v>437</v>
      </c>
      <c r="IQY91" t="s">
        <v>428</v>
      </c>
      <c r="IRA91" t="s">
        <v>146</v>
      </c>
      <c r="IRB91" t="s">
        <v>145</v>
      </c>
      <c r="IRC91" t="s">
        <v>398</v>
      </c>
      <c r="IRD91">
        <v>1</v>
      </c>
      <c r="IRE91" t="s">
        <v>436</v>
      </c>
      <c r="IRF91" t="s">
        <v>437</v>
      </c>
      <c r="IRG91" t="s">
        <v>428</v>
      </c>
      <c r="IRI91" t="s">
        <v>146</v>
      </c>
      <c r="IRJ91" t="s">
        <v>145</v>
      </c>
      <c r="IRK91" t="s">
        <v>398</v>
      </c>
      <c r="IRL91">
        <v>1</v>
      </c>
      <c r="IRM91" t="s">
        <v>436</v>
      </c>
      <c r="IRN91" t="s">
        <v>437</v>
      </c>
      <c r="IRO91" t="s">
        <v>428</v>
      </c>
      <c r="IRQ91" t="s">
        <v>146</v>
      </c>
      <c r="IRR91" t="s">
        <v>145</v>
      </c>
      <c r="IRS91" t="s">
        <v>398</v>
      </c>
      <c r="IRT91">
        <v>1</v>
      </c>
      <c r="IRU91" t="s">
        <v>436</v>
      </c>
      <c r="IRV91" t="s">
        <v>437</v>
      </c>
      <c r="IRW91" t="s">
        <v>428</v>
      </c>
      <c r="IRY91" t="s">
        <v>146</v>
      </c>
      <c r="IRZ91" t="s">
        <v>145</v>
      </c>
      <c r="ISA91" t="s">
        <v>398</v>
      </c>
      <c r="ISB91">
        <v>1</v>
      </c>
      <c r="ISC91" t="s">
        <v>436</v>
      </c>
      <c r="ISD91" t="s">
        <v>437</v>
      </c>
      <c r="ISE91" t="s">
        <v>428</v>
      </c>
      <c r="ISG91" t="s">
        <v>146</v>
      </c>
      <c r="ISH91" t="s">
        <v>145</v>
      </c>
      <c r="ISI91" t="s">
        <v>398</v>
      </c>
      <c r="ISJ91">
        <v>1</v>
      </c>
      <c r="ISK91" t="s">
        <v>436</v>
      </c>
      <c r="ISL91" t="s">
        <v>437</v>
      </c>
      <c r="ISM91" t="s">
        <v>428</v>
      </c>
      <c r="ISO91" t="s">
        <v>146</v>
      </c>
      <c r="ISP91" t="s">
        <v>145</v>
      </c>
      <c r="ISQ91" t="s">
        <v>398</v>
      </c>
      <c r="ISR91">
        <v>1</v>
      </c>
      <c r="ISS91" t="s">
        <v>436</v>
      </c>
      <c r="IST91" t="s">
        <v>437</v>
      </c>
      <c r="ISU91" t="s">
        <v>428</v>
      </c>
      <c r="ISW91" t="s">
        <v>146</v>
      </c>
      <c r="ISX91" t="s">
        <v>145</v>
      </c>
      <c r="ISY91" t="s">
        <v>398</v>
      </c>
      <c r="ISZ91">
        <v>1</v>
      </c>
      <c r="ITA91" t="s">
        <v>436</v>
      </c>
      <c r="ITB91" t="s">
        <v>437</v>
      </c>
      <c r="ITC91" t="s">
        <v>428</v>
      </c>
      <c r="ITE91" t="s">
        <v>146</v>
      </c>
      <c r="ITF91" t="s">
        <v>145</v>
      </c>
      <c r="ITG91" t="s">
        <v>398</v>
      </c>
      <c r="ITH91">
        <v>1</v>
      </c>
      <c r="ITI91" t="s">
        <v>436</v>
      </c>
      <c r="ITJ91" t="s">
        <v>437</v>
      </c>
      <c r="ITK91" t="s">
        <v>428</v>
      </c>
      <c r="ITM91" t="s">
        <v>146</v>
      </c>
      <c r="ITN91" t="s">
        <v>145</v>
      </c>
      <c r="ITO91" t="s">
        <v>398</v>
      </c>
      <c r="ITP91">
        <v>1</v>
      </c>
      <c r="ITQ91" t="s">
        <v>436</v>
      </c>
      <c r="ITR91" t="s">
        <v>437</v>
      </c>
      <c r="ITS91" t="s">
        <v>428</v>
      </c>
      <c r="ITU91" t="s">
        <v>146</v>
      </c>
      <c r="ITV91" t="s">
        <v>145</v>
      </c>
      <c r="ITW91" t="s">
        <v>398</v>
      </c>
      <c r="ITX91">
        <v>1</v>
      </c>
      <c r="ITY91" t="s">
        <v>436</v>
      </c>
      <c r="ITZ91" t="s">
        <v>437</v>
      </c>
      <c r="IUA91" t="s">
        <v>428</v>
      </c>
      <c r="IUC91" t="s">
        <v>146</v>
      </c>
      <c r="IUD91" t="s">
        <v>145</v>
      </c>
      <c r="IUE91" t="s">
        <v>398</v>
      </c>
      <c r="IUF91">
        <v>1</v>
      </c>
      <c r="IUG91" t="s">
        <v>436</v>
      </c>
      <c r="IUH91" t="s">
        <v>437</v>
      </c>
      <c r="IUI91" t="s">
        <v>428</v>
      </c>
      <c r="IUK91" t="s">
        <v>146</v>
      </c>
      <c r="IUL91" t="s">
        <v>145</v>
      </c>
      <c r="IUM91" t="s">
        <v>398</v>
      </c>
      <c r="IUN91">
        <v>1</v>
      </c>
      <c r="IUO91" t="s">
        <v>436</v>
      </c>
      <c r="IUP91" t="s">
        <v>437</v>
      </c>
      <c r="IUQ91" t="s">
        <v>428</v>
      </c>
      <c r="IUS91" t="s">
        <v>146</v>
      </c>
      <c r="IUT91" t="s">
        <v>145</v>
      </c>
      <c r="IUU91" t="s">
        <v>398</v>
      </c>
      <c r="IUV91">
        <v>1</v>
      </c>
      <c r="IUW91" t="s">
        <v>436</v>
      </c>
      <c r="IUX91" t="s">
        <v>437</v>
      </c>
      <c r="IUY91" t="s">
        <v>428</v>
      </c>
      <c r="IVA91" t="s">
        <v>146</v>
      </c>
      <c r="IVB91" t="s">
        <v>145</v>
      </c>
      <c r="IVC91" t="s">
        <v>398</v>
      </c>
      <c r="IVD91">
        <v>1</v>
      </c>
      <c r="IVE91" t="s">
        <v>436</v>
      </c>
      <c r="IVF91" t="s">
        <v>437</v>
      </c>
      <c r="IVG91" t="s">
        <v>428</v>
      </c>
      <c r="IVI91" t="s">
        <v>146</v>
      </c>
      <c r="IVJ91" t="s">
        <v>145</v>
      </c>
      <c r="IVK91" t="s">
        <v>398</v>
      </c>
      <c r="IVL91">
        <v>1</v>
      </c>
      <c r="IVM91" t="s">
        <v>436</v>
      </c>
      <c r="IVN91" t="s">
        <v>437</v>
      </c>
      <c r="IVO91" t="s">
        <v>428</v>
      </c>
      <c r="IVQ91" t="s">
        <v>146</v>
      </c>
      <c r="IVR91" t="s">
        <v>145</v>
      </c>
      <c r="IVS91" t="s">
        <v>398</v>
      </c>
      <c r="IVT91">
        <v>1</v>
      </c>
      <c r="IVU91" t="s">
        <v>436</v>
      </c>
      <c r="IVV91" t="s">
        <v>437</v>
      </c>
      <c r="IVW91" t="s">
        <v>428</v>
      </c>
      <c r="IVY91" t="s">
        <v>146</v>
      </c>
      <c r="IVZ91" t="s">
        <v>145</v>
      </c>
      <c r="IWA91" t="s">
        <v>398</v>
      </c>
      <c r="IWB91">
        <v>1</v>
      </c>
      <c r="IWC91" t="s">
        <v>436</v>
      </c>
      <c r="IWD91" t="s">
        <v>437</v>
      </c>
      <c r="IWE91" t="s">
        <v>428</v>
      </c>
      <c r="IWG91" t="s">
        <v>146</v>
      </c>
      <c r="IWH91" t="s">
        <v>145</v>
      </c>
      <c r="IWI91" t="s">
        <v>398</v>
      </c>
      <c r="IWJ91">
        <v>1</v>
      </c>
      <c r="IWK91" t="s">
        <v>436</v>
      </c>
      <c r="IWL91" t="s">
        <v>437</v>
      </c>
      <c r="IWM91" t="s">
        <v>428</v>
      </c>
      <c r="IWO91" t="s">
        <v>146</v>
      </c>
      <c r="IWP91" t="s">
        <v>145</v>
      </c>
      <c r="IWQ91" t="s">
        <v>398</v>
      </c>
      <c r="IWR91">
        <v>1</v>
      </c>
      <c r="IWS91" t="s">
        <v>436</v>
      </c>
      <c r="IWT91" t="s">
        <v>437</v>
      </c>
      <c r="IWU91" t="s">
        <v>428</v>
      </c>
      <c r="IWW91" t="s">
        <v>146</v>
      </c>
      <c r="IWX91" t="s">
        <v>145</v>
      </c>
      <c r="IWY91" t="s">
        <v>398</v>
      </c>
      <c r="IWZ91">
        <v>1</v>
      </c>
      <c r="IXA91" t="s">
        <v>436</v>
      </c>
      <c r="IXB91" t="s">
        <v>437</v>
      </c>
      <c r="IXC91" t="s">
        <v>428</v>
      </c>
      <c r="IXE91" t="s">
        <v>146</v>
      </c>
      <c r="IXF91" t="s">
        <v>145</v>
      </c>
      <c r="IXG91" t="s">
        <v>398</v>
      </c>
      <c r="IXH91">
        <v>1</v>
      </c>
      <c r="IXI91" t="s">
        <v>436</v>
      </c>
      <c r="IXJ91" t="s">
        <v>437</v>
      </c>
      <c r="IXK91" t="s">
        <v>428</v>
      </c>
      <c r="IXM91" t="s">
        <v>146</v>
      </c>
      <c r="IXN91" t="s">
        <v>145</v>
      </c>
      <c r="IXO91" t="s">
        <v>398</v>
      </c>
      <c r="IXP91">
        <v>1</v>
      </c>
      <c r="IXQ91" t="s">
        <v>436</v>
      </c>
      <c r="IXR91" t="s">
        <v>437</v>
      </c>
      <c r="IXS91" t="s">
        <v>428</v>
      </c>
      <c r="IXU91" t="s">
        <v>146</v>
      </c>
      <c r="IXV91" t="s">
        <v>145</v>
      </c>
      <c r="IXW91" t="s">
        <v>398</v>
      </c>
      <c r="IXX91">
        <v>1</v>
      </c>
      <c r="IXY91" t="s">
        <v>436</v>
      </c>
      <c r="IXZ91" t="s">
        <v>437</v>
      </c>
      <c r="IYA91" t="s">
        <v>428</v>
      </c>
      <c r="IYC91" t="s">
        <v>146</v>
      </c>
      <c r="IYD91" t="s">
        <v>145</v>
      </c>
      <c r="IYE91" t="s">
        <v>398</v>
      </c>
      <c r="IYF91">
        <v>1</v>
      </c>
      <c r="IYG91" t="s">
        <v>436</v>
      </c>
      <c r="IYH91" t="s">
        <v>437</v>
      </c>
      <c r="IYI91" t="s">
        <v>428</v>
      </c>
      <c r="IYK91" t="s">
        <v>146</v>
      </c>
      <c r="IYL91" t="s">
        <v>145</v>
      </c>
      <c r="IYM91" t="s">
        <v>398</v>
      </c>
      <c r="IYN91">
        <v>1</v>
      </c>
      <c r="IYO91" t="s">
        <v>436</v>
      </c>
      <c r="IYP91" t="s">
        <v>437</v>
      </c>
      <c r="IYQ91" t="s">
        <v>428</v>
      </c>
      <c r="IYS91" t="s">
        <v>146</v>
      </c>
      <c r="IYT91" t="s">
        <v>145</v>
      </c>
      <c r="IYU91" t="s">
        <v>398</v>
      </c>
      <c r="IYV91">
        <v>1</v>
      </c>
      <c r="IYW91" t="s">
        <v>436</v>
      </c>
      <c r="IYX91" t="s">
        <v>437</v>
      </c>
      <c r="IYY91" t="s">
        <v>428</v>
      </c>
      <c r="IZA91" t="s">
        <v>146</v>
      </c>
      <c r="IZB91" t="s">
        <v>145</v>
      </c>
      <c r="IZC91" t="s">
        <v>398</v>
      </c>
      <c r="IZD91">
        <v>1</v>
      </c>
      <c r="IZE91" t="s">
        <v>436</v>
      </c>
      <c r="IZF91" t="s">
        <v>437</v>
      </c>
      <c r="IZG91" t="s">
        <v>428</v>
      </c>
      <c r="IZI91" t="s">
        <v>146</v>
      </c>
      <c r="IZJ91" t="s">
        <v>145</v>
      </c>
      <c r="IZK91" t="s">
        <v>398</v>
      </c>
      <c r="IZL91">
        <v>1</v>
      </c>
      <c r="IZM91" t="s">
        <v>436</v>
      </c>
      <c r="IZN91" t="s">
        <v>437</v>
      </c>
      <c r="IZO91" t="s">
        <v>428</v>
      </c>
      <c r="IZQ91" t="s">
        <v>146</v>
      </c>
      <c r="IZR91" t="s">
        <v>145</v>
      </c>
      <c r="IZS91" t="s">
        <v>398</v>
      </c>
      <c r="IZT91">
        <v>1</v>
      </c>
      <c r="IZU91" t="s">
        <v>436</v>
      </c>
      <c r="IZV91" t="s">
        <v>437</v>
      </c>
      <c r="IZW91" t="s">
        <v>428</v>
      </c>
      <c r="IZY91" t="s">
        <v>146</v>
      </c>
      <c r="IZZ91" t="s">
        <v>145</v>
      </c>
      <c r="JAA91" t="s">
        <v>398</v>
      </c>
      <c r="JAB91">
        <v>1</v>
      </c>
      <c r="JAC91" t="s">
        <v>436</v>
      </c>
      <c r="JAD91" t="s">
        <v>437</v>
      </c>
      <c r="JAE91" t="s">
        <v>428</v>
      </c>
      <c r="JAG91" t="s">
        <v>146</v>
      </c>
      <c r="JAH91" t="s">
        <v>145</v>
      </c>
      <c r="JAI91" t="s">
        <v>398</v>
      </c>
      <c r="JAJ91">
        <v>1</v>
      </c>
      <c r="JAK91" t="s">
        <v>436</v>
      </c>
      <c r="JAL91" t="s">
        <v>437</v>
      </c>
      <c r="JAM91" t="s">
        <v>428</v>
      </c>
      <c r="JAO91" t="s">
        <v>146</v>
      </c>
      <c r="JAP91" t="s">
        <v>145</v>
      </c>
      <c r="JAQ91" t="s">
        <v>398</v>
      </c>
      <c r="JAR91">
        <v>1</v>
      </c>
      <c r="JAS91" t="s">
        <v>436</v>
      </c>
      <c r="JAT91" t="s">
        <v>437</v>
      </c>
      <c r="JAU91" t="s">
        <v>428</v>
      </c>
      <c r="JAW91" t="s">
        <v>146</v>
      </c>
      <c r="JAX91" t="s">
        <v>145</v>
      </c>
      <c r="JAY91" t="s">
        <v>398</v>
      </c>
      <c r="JAZ91">
        <v>1</v>
      </c>
      <c r="JBA91" t="s">
        <v>436</v>
      </c>
      <c r="JBB91" t="s">
        <v>437</v>
      </c>
      <c r="JBC91" t="s">
        <v>428</v>
      </c>
      <c r="JBE91" t="s">
        <v>146</v>
      </c>
      <c r="JBF91" t="s">
        <v>145</v>
      </c>
      <c r="JBG91" t="s">
        <v>398</v>
      </c>
      <c r="JBH91">
        <v>1</v>
      </c>
      <c r="JBI91" t="s">
        <v>436</v>
      </c>
      <c r="JBJ91" t="s">
        <v>437</v>
      </c>
      <c r="JBK91" t="s">
        <v>428</v>
      </c>
      <c r="JBM91" t="s">
        <v>146</v>
      </c>
      <c r="JBN91" t="s">
        <v>145</v>
      </c>
      <c r="JBO91" t="s">
        <v>398</v>
      </c>
      <c r="JBP91">
        <v>1</v>
      </c>
      <c r="JBQ91" t="s">
        <v>436</v>
      </c>
      <c r="JBR91" t="s">
        <v>437</v>
      </c>
      <c r="JBS91" t="s">
        <v>428</v>
      </c>
      <c r="JBU91" t="s">
        <v>146</v>
      </c>
      <c r="JBV91" t="s">
        <v>145</v>
      </c>
      <c r="JBW91" t="s">
        <v>398</v>
      </c>
      <c r="JBX91">
        <v>1</v>
      </c>
      <c r="JBY91" t="s">
        <v>436</v>
      </c>
      <c r="JBZ91" t="s">
        <v>437</v>
      </c>
      <c r="JCA91" t="s">
        <v>428</v>
      </c>
      <c r="JCC91" t="s">
        <v>146</v>
      </c>
      <c r="JCD91" t="s">
        <v>145</v>
      </c>
      <c r="JCE91" t="s">
        <v>398</v>
      </c>
      <c r="JCF91">
        <v>1</v>
      </c>
      <c r="JCG91" t="s">
        <v>436</v>
      </c>
      <c r="JCH91" t="s">
        <v>437</v>
      </c>
      <c r="JCI91" t="s">
        <v>428</v>
      </c>
      <c r="JCK91" t="s">
        <v>146</v>
      </c>
      <c r="JCL91" t="s">
        <v>145</v>
      </c>
      <c r="JCM91" t="s">
        <v>398</v>
      </c>
      <c r="JCN91">
        <v>1</v>
      </c>
      <c r="JCO91" t="s">
        <v>436</v>
      </c>
      <c r="JCP91" t="s">
        <v>437</v>
      </c>
      <c r="JCQ91" t="s">
        <v>428</v>
      </c>
      <c r="JCS91" t="s">
        <v>146</v>
      </c>
      <c r="JCT91" t="s">
        <v>145</v>
      </c>
      <c r="JCU91" t="s">
        <v>398</v>
      </c>
      <c r="JCV91">
        <v>1</v>
      </c>
      <c r="JCW91" t="s">
        <v>436</v>
      </c>
      <c r="JCX91" t="s">
        <v>437</v>
      </c>
      <c r="JCY91" t="s">
        <v>428</v>
      </c>
      <c r="JDA91" t="s">
        <v>146</v>
      </c>
      <c r="JDB91" t="s">
        <v>145</v>
      </c>
      <c r="JDC91" t="s">
        <v>398</v>
      </c>
      <c r="JDD91">
        <v>1</v>
      </c>
      <c r="JDE91" t="s">
        <v>436</v>
      </c>
      <c r="JDF91" t="s">
        <v>437</v>
      </c>
      <c r="JDG91" t="s">
        <v>428</v>
      </c>
      <c r="JDI91" t="s">
        <v>146</v>
      </c>
      <c r="JDJ91" t="s">
        <v>145</v>
      </c>
      <c r="JDK91" t="s">
        <v>398</v>
      </c>
      <c r="JDL91">
        <v>1</v>
      </c>
      <c r="JDM91" t="s">
        <v>436</v>
      </c>
      <c r="JDN91" t="s">
        <v>437</v>
      </c>
      <c r="JDO91" t="s">
        <v>428</v>
      </c>
      <c r="JDQ91" t="s">
        <v>146</v>
      </c>
      <c r="JDR91" t="s">
        <v>145</v>
      </c>
      <c r="JDS91" t="s">
        <v>398</v>
      </c>
      <c r="JDT91">
        <v>1</v>
      </c>
      <c r="JDU91" t="s">
        <v>436</v>
      </c>
      <c r="JDV91" t="s">
        <v>437</v>
      </c>
      <c r="JDW91" t="s">
        <v>428</v>
      </c>
      <c r="JDY91" t="s">
        <v>146</v>
      </c>
      <c r="JDZ91" t="s">
        <v>145</v>
      </c>
      <c r="JEA91" t="s">
        <v>398</v>
      </c>
      <c r="JEB91">
        <v>1</v>
      </c>
      <c r="JEC91" t="s">
        <v>436</v>
      </c>
      <c r="JED91" t="s">
        <v>437</v>
      </c>
      <c r="JEE91" t="s">
        <v>428</v>
      </c>
      <c r="JEG91" t="s">
        <v>146</v>
      </c>
      <c r="JEH91" t="s">
        <v>145</v>
      </c>
      <c r="JEI91" t="s">
        <v>398</v>
      </c>
      <c r="JEJ91">
        <v>1</v>
      </c>
      <c r="JEK91" t="s">
        <v>436</v>
      </c>
      <c r="JEL91" t="s">
        <v>437</v>
      </c>
      <c r="JEM91" t="s">
        <v>428</v>
      </c>
      <c r="JEO91" t="s">
        <v>146</v>
      </c>
      <c r="JEP91" t="s">
        <v>145</v>
      </c>
      <c r="JEQ91" t="s">
        <v>398</v>
      </c>
      <c r="JER91">
        <v>1</v>
      </c>
      <c r="JES91" t="s">
        <v>436</v>
      </c>
      <c r="JET91" t="s">
        <v>437</v>
      </c>
      <c r="JEU91" t="s">
        <v>428</v>
      </c>
      <c r="JEW91" t="s">
        <v>146</v>
      </c>
      <c r="JEX91" t="s">
        <v>145</v>
      </c>
      <c r="JEY91" t="s">
        <v>398</v>
      </c>
      <c r="JEZ91">
        <v>1</v>
      </c>
      <c r="JFA91" t="s">
        <v>436</v>
      </c>
      <c r="JFB91" t="s">
        <v>437</v>
      </c>
      <c r="JFC91" t="s">
        <v>428</v>
      </c>
      <c r="JFE91" t="s">
        <v>146</v>
      </c>
      <c r="JFF91" t="s">
        <v>145</v>
      </c>
      <c r="JFG91" t="s">
        <v>398</v>
      </c>
      <c r="JFH91">
        <v>1</v>
      </c>
      <c r="JFI91" t="s">
        <v>436</v>
      </c>
      <c r="JFJ91" t="s">
        <v>437</v>
      </c>
      <c r="JFK91" t="s">
        <v>428</v>
      </c>
      <c r="JFM91" t="s">
        <v>146</v>
      </c>
      <c r="JFN91" t="s">
        <v>145</v>
      </c>
      <c r="JFO91" t="s">
        <v>398</v>
      </c>
      <c r="JFP91">
        <v>1</v>
      </c>
      <c r="JFQ91" t="s">
        <v>436</v>
      </c>
      <c r="JFR91" t="s">
        <v>437</v>
      </c>
      <c r="JFS91" t="s">
        <v>428</v>
      </c>
      <c r="JFU91" t="s">
        <v>146</v>
      </c>
      <c r="JFV91" t="s">
        <v>145</v>
      </c>
      <c r="JFW91" t="s">
        <v>398</v>
      </c>
      <c r="JFX91">
        <v>1</v>
      </c>
      <c r="JFY91" t="s">
        <v>436</v>
      </c>
      <c r="JFZ91" t="s">
        <v>437</v>
      </c>
      <c r="JGA91" t="s">
        <v>428</v>
      </c>
      <c r="JGC91" t="s">
        <v>146</v>
      </c>
      <c r="JGD91" t="s">
        <v>145</v>
      </c>
      <c r="JGE91" t="s">
        <v>398</v>
      </c>
      <c r="JGF91">
        <v>1</v>
      </c>
      <c r="JGG91" t="s">
        <v>436</v>
      </c>
      <c r="JGH91" t="s">
        <v>437</v>
      </c>
      <c r="JGI91" t="s">
        <v>428</v>
      </c>
      <c r="JGK91" t="s">
        <v>146</v>
      </c>
      <c r="JGL91" t="s">
        <v>145</v>
      </c>
      <c r="JGM91" t="s">
        <v>398</v>
      </c>
      <c r="JGN91">
        <v>1</v>
      </c>
      <c r="JGO91" t="s">
        <v>436</v>
      </c>
      <c r="JGP91" t="s">
        <v>437</v>
      </c>
      <c r="JGQ91" t="s">
        <v>428</v>
      </c>
      <c r="JGS91" t="s">
        <v>146</v>
      </c>
      <c r="JGT91" t="s">
        <v>145</v>
      </c>
      <c r="JGU91" t="s">
        <v>398</v>
      </c>
      <c r="JGV91">
        <v>1</v>
      </c>
      <c r="JGW91" t="s">
        <v>436</v>
      </c>
      <c r="JGX91" t="s">
        <v>437</v>
      </c>
      <c r="JGY91" t="s">
        <v>428</v>
      </c>
      <c r="JHA91" t="s">
        <v>146</v>
      </c>
      <c r="JHB91" t="s">
        <v>145</v>
      </c>
      <c r="JHC91" t="s">
        <v>398</v>
      </c>
      <c r="JHD91">
        <v>1</v>
      </c>
      <c r="JHE91" t="s">
        <v>436</v>
      </c>
      <c r="JHF91" t="s">
        <v>437</v>
      </c>
      <c r="JHG91" t="s">
        <v>428</v>
      </c>
      <c r="JHI91" t="s">
        <v>146</v>
      </c>
      <c r="JHJ91" t="s">
        <v>145</v>
      </c>
      <c r="JHK91" t="s">
        <v>398</v>
      </c>
      <c r="JHL91">
        <v>1</v>
      </c>
      <c r="JHM91" t="s">
        <v>436</v>
      </c>
      <c r="JHN91" t="s">
        <v>437</v>
      </c>
      <c r="JHO91" t="s">
        <v>428</v>
      </c>
      <c r="JHQ91" t="s">
        <v>146</v>
      </c>
      <c r="JHR91" t="s">
        <v>145</v>
      </c>
      <c r="JHS91" t="s">
        <v>398</v>
      </c>
      <c r="JHT91">
        <v>1</v>
      </c>
      <c r="JHU91" t="s">
        <v>436</v>
      </c>
      <c r="JHV91" t="s">
        <v>437</v>
      </c>
      <c r="JHW91" t="s">
        <v>428</v>
      </c>
      <c r="JHY91" t="s">
        <v>146</v>
      </c>
      <c r="JHZ91" t="s">
        <v>145</v>
      </c>
      <c r="JIA91" t="s">
        <v>398</v>
      </c>
      <c r="JIB91">
        <v>1</v>
      </c>
      <c r="JIC91" t="s">
        <v>436</v>
      </c>
      <c r="JID91" t="s">
        <v>437</v>
      </c>
      <c r="JIE91" t="s">
        <v>428</v>
      </c>
      <c r="JIG91" t="s">
        <v>146</v>
      </c>
      <c r="JIH91" t="s">
        <v>145</v>
      </c>
      <c r="JII91" t="s">
        <v>398</v>
      </c>
      <c r="JIJ91">
        <v>1</v>
      </c>
      <c r="JIK91" t="s">
        <v>436</v>
      </c>
      <c r="JIL91" t="s">
        <v>437</v>
      </c>
      <c r="JIM91" t="s">
        <v>428</v>
      </c>
      <c r="JIO91" t="s">
        <v>146</v>
      </c>
      <c r="JIP91" t="s">
        <v>145</v>
      </c>
      <c r="JIQ91" t="s">
        <v>398</v>
      </c>
      <c r="JIR91">
        <v>1</v>
      </c>
      <c r="JIS91" t="s">
        <v>436</v>
      </c>
      <c r="JIT91" t="s">
        <v>437</v>
      </c>
      <c r="JIU91" t="s">
        <v>428</v>
      </c>
      <c r="JIW91" t="s">
        <v>146</v>
      </c>
      <c r="JIX91" t="s">
        <v>145</v>
      </c>
      <c r="JIY91" t="s">
        <v>398</v>
      </c>
      <c r="JIZ91">
        <v>1</v>
      </c>
      <c r="JJA91" t="s">
        <v>436</v>
      </c>
      <c r="JJB91" t="s">
        <v>437</v>
      </c>
      <c r="JJC91" t="s">
        <v>428</v>
      </c>
      <c r="JJE91" t="s">
        <v>146</v>
      </c>
      <c r="JJF91" t="s">
        <v>145</v>
      </c>
      <c r="JJG91" t="s">
        <v>398</v>
      </c>
      <c r="JJH91">
        <v>1</v>
      </c>
      <c r="JJI91" t="s">
        <v>436</v>
      </c>
      <c r="JJJ91" t="s">
        <v>437</v>
      </c>
      <c r="JJK91" t="s">
        <v>428</v>
      </c>
      <c r="JJM91" t="s">
        <v>146</v>
      </c>
      <c r="JJN91" t="s">
        <v>145</v>
      </c>
      <c r="JJO91" t="s">
        <v>398</v>
      </c>
      <c r="JJP91">
        <v>1</v>
      </c>
      <c r="JJQ91" t="s">
        <v>436</v>
      </c>
      <c r="JJR91" t="s">
        <v>437</v>
      </c>
      <c r="JJS91" t="s">
        <v>428</v>
      </c>
      <c r="JJU91" t="s">
        <v>146</v>
      </c>
      <c r="JJV91" t="s">
        <v>145</v>
      </c>
      <c r="JJW91" t="s">
        <v>398</v>
      </c>
      <c r="JJX91">
        <v>1</v>
      </c>
      <c r="JJY91" t="s">
        <v>436</v>
      </c>
      <c r="JJZ91" t="s">
        <v>437</v>
      </c>
      <c r="JKA91" t="s">
        <v>428</v>
      </c>
      <c r="JKC91" t="s">
        <v>146</v>
      </c>
      <c r="JKD91" t="s">
        <v>145</v>
      </c>
      <c r="JKE91" t="s">
        <v>398</v>
      </c>
      <c r="JKF91">
        <v>1</v>
      </c>
      <c r="JKG91" t="s">
        <v>436</v>
      </c>
      <c r="JKH91" t="s">
        <v>437</v>
      </c>
      <c r="JKI91" t="s">
        <v>428</v>
      </c>
      <c r="JKK91" t="s">
        <v>146</v>
      </c>
      <c r="JKL91" t="s">
        <v>145</v>
      </c>
      <c r="JKM91" t="s">
        <v>398</v>
      </c>
      <c r="JKN91">
        <v>1</v>
      </c>
      <c r="JKO91" t="s">
        <v>436</v>
      </c>
      <c r="JKP91" t="s">
        <v>437</v>
      </c>
      <c r="JKQ91" t="s">
        <v>428</v>
      </c>
      <c r="JKS91" t="s">
        <v>146</v>
      </c>
      <c r="JKT91" t="s">
        <v>145</v>
      </c>
      <c r="JKU91" t="s">
        <v>398</v>
      </c>
      <c r="JKV91">
        <v>1</v>
      </c>
      <c r="JKW91" t="s">
        <v>436</v>
      </c>
      <c r="JKX91" t="s">
        <v>437</v>
      </c>
      <c r="JKY91" t="s">
        <v>428</v>
      </c>
      <c r="JLA91" t="s">
        <v>146</v>
      </c>
      <c r="JLB91" t="s">
        <v>145</v>
      </c>
      <c r="JLC91" t="s">
        <v>398</v>
      </c>
      <c r="JLD91">
        <v>1</v>
      </c>
      <c r="JLE91" t="s">
        <v>436</v>
      </c>
      <c r="JLF91" t="s">
        <v>437</v>
      </c>
      <c r="JLG91" t="s">
        <v>428</v>
      </c>
      <c r="JLI91" t="s">
        <v>146</v>
      </c>
      <c r="JLJ91" t="s">
        <v>145</v>
      </c>
      <c r="JLK91" t="s">
        <v>398</v>
      </c>
      <c r="JLL91">
        <v>1</v>
      </c>
      <c r="JLM91" t="s">
        <v>436</v>
      </c>
      <c r="JLN91" t="s">
        <v>437</v>
      </c>
      <c r="JLO91" t="s">
        <v>428</v>
      </c>
      <c r="JLQ91" t="s">
        <v>146</v>
      </c>
      <c r="JLR91" t="s">
        <v>145</v>
      </c>
      <c r="JLS91" t="s">
        <v>398</v>
      </c>
      <c r="JLT91">
        <v>1</v>
      </c>
      <c r="JLU91" t="s">
        <v>436</v>
      </c>
      <c r="JLV91" t="s">
        <v>437</v>
      </c>
      <c r="JLW91" t="s">
        <v>428</v>
      </c>
      <c r="JLY91" t="s">
        <v>146</v>
      </c>
      <c r="JLZ91" t="s">
        <v>145</v>
      </c>
      <c r="JMA91" t="s">
        <v>398</v>
      </c>
      <c r="JMB91">
        <v>1</v>
      </c>
      <c r="JMC91" t="s">
        <v>436</v>
      </c>
      <c r="JMD91" t="s">
        <v>437</v>
      </c>
      <c r="JME91" t="s">
        <v>428</v>
      </c>
      <c r="JMG91" t="s">
        <v>146</v>
      </c>
      <c r="JMH91" t="s">
        <v>145</v>
      </c>
      <c r="JMI91" t="s">
        <v>398</v>
      </c>
      <c r="JMJ91">
        <v>1</v>
      </c>
      <c r="JMK91" t="s">
        <v>436</v>
      </c>
      <c r="JML91" t="s">
        <v>437</v>
      </c>
      <c r="JMM91" t="s">
        <v>428</v>
      </c>
      <c r="JMO91" t="s">
        <v>146</v>
      </c>
      <c r="JMP91" t="s">
        <v>145</v>
      </c>
      <c r="JMQ91" t="s">
        <v>398</v>
      </c>
      <c r="JMR91">
        <v>1</v>
      </c>
      <c r="JMS91" t="s">
        <v>436</v>
      </c>
      <c r="JMT91" t="s">
        <v>437</v>
      </c>
      <c r="JMU91" t="s">
        <v>428</v>
      </c>
      <c r="JMW91" t="s">
        <v>146</v>
      </c>
      <c r="JMX91" t="s">
        <v>145</v>
      </c>
      <c r="JMY91" t="s">
        <v>398</v>
      </c>
      <c r="JMZ91">
        <v>1</v>
      </c>
      <c r="JNA91" t="s">
        <v>436</v>
      </c>
      <c r="JNB91" t="s">
        <v>437</v>
      </c>
      <c r="JNC91" t="s">
        <v>428</v>
      </c>
      <c r="JNE91" t="s">
        <v>146</v>
      </c>
      <c r="JNF91" t="s">
        <v>145</v>
      </c>
      <c r="JNG91" t="s">
        <v>398</v>
      </c>
      <c r="JNH91">
        <v>1</v>
      </c>
      <c r="JNI91" t="s">
        <v>436</v>
      </c>
      <c r="JNJ91" t="s">
        <v>437</v>
      </c>
      <c r="JNK91" t="s">
        <v>428</v>
      </c>
      <c r="JNM91" t="s">
        <v>146</v>
      </c>
      <c r="JNN91" t="s">
        <v>145</v>
      </c>
      <c r="JNO91" t="s">
        <v>398</v>
      </c>
      <c r="JNP91">
        <v>1</v>
      </c>
      <c r="JNQ91" t="s">
        <v>436</v>
      </c>
      <c r="JNR91" t="s">
        <v>437</v>
      </c>
      <c r="JNS91" t="s">
        <v>428</v>
      </c>
      <c r="JNU91" t="s">
        <v>146</v>
      </c>
      <c r="JNV91" t="s">
        <v>145</v>
      </c>
      <c r="JNW91" t="s">
        <v>398</v>
      </c>
      <c r="JNX91">
        <v>1</v>
      </c>
      <c r="JNY91" t="s">
        <v>436</v>
      </c>
      <c r="JNZ91" t="s">
        <v>437</v>
      </c>
      <c r="JOA91" t="s">
        <v>428</v>
      </c>
      <c r="JOC91" t="s">
        <v>146</v>
      </c>
      <c r="JOD91" t="s">
        <v>145</v>
      </c>
      <c r="JOE91" t="s">
        <v>398</v>
      </c>
      <c r="JOF91">
        <v>1</v>
      </c>
      <c r="JOG91" t="s">
        <v>436</v>
      </c>
      <c r="JOH91" t="s">
        <v>437</v>
      </c>
      <c r="JOI91" t="s">
        <v>428</v>
      </c>
      <c r="JOK91" t="s">
        <v>146</v>
      </c>
      <c r="JOL91" t="s">
        <v>145</v>
      </c>
      <c r="JOM91" t="s">
        <v>398</v>
      </c>
      <c r="JON91">
        <v>1</v>
      </c>
      <c r="JOO91" t="s">
        <v>436</v>
      </c>
      <c r="JOP91" t="s">
        <v>437</v>
      </c>
      <c r="JOQ91" t="s">
        <v>428</v>
      </c>
      <c r="JOS91" t="s">
        <v>146</v>
      </c>
      <c r="JOT91" t="s">
        <v>145</v>
      </c>
      <c r="JOU91" t="s">
        <v>398</v>
      </c>
      <c r="JOV91">
        <v>1</v>
      </c>
      <c r="JOW91" t="s">
        <v>436</v>
      </c>
      <c r="JOX91" t="s">
        <v>437</v>
      </c>
      <c r="JOY91" t="s">
        <v>428</v>
      </c>
      <c r="JPA91" t="s">
        <v>146</v>
      </c>
      <c r="JPB91" t="s">
        <v>145</v>
      </c>
      <c r="JPC91" t="s">
        <v>398</v>
      </c>
      <c r="JPD91">
        <v>1</v>
      </c>
      <c r="JPE91" t="s">
        <v>436</v>
      </c>
      <c r="JPF91" t="s">
        <v>437</v>
      </c>
      <c r="JPG91" t="s">
        <v>428</v>
      </c>
      <c r="JPI91" t="s">
        <v>146</v>
      </c>
      <c r="JPJ91" t="s">
        <v>145</v>
      </c>
      <c r="JPK91" t="s">
        <v>398</v>
      </c>
      <c r="JPL91">
        <v>1</v>
      </c>
      <c r="JPM91" t="s">
        <v>436</v>
      </c>
      <c r="JPN91" t="s">
        <v>437</v>
      </c>
      <c r="JPO91" t="s">
        <v>428</v>
      </c>
      <c r="JPQ91" t="s">
        <v>146</v>
      </c>
      <c r="JPR91" t="s">
        <v>145</v>
      </c>
      <c r="JPS91" t="s">
        <v>398</v>
      </c>
      <c r="JPT91">
        <v>1</v>
      </c>
      <c r="JPU91" t="s">
        <v>436</v>
      </c>
      <c r="JPV91" t="s">
        <v>437</v>
      </c>
      <c r="JPW91" t="s">
        <v>428</v>
      </c>
      <c r="JPY91" t="s">
        <v>146</v>
      </c>
      <c r="JPZ91" t="s">
        <v>145</v>
      </c>
      <c r="JQA91" t="s">
        <v>398</v>
      </c>
      <c r="JQB91">
        <v>1</v>
      </c>
      <c r="JQC91" t="s">
        <v>436</v>
      </c>
      <c r="JQD91" t="s">
        <v>437</v>
      </c>
      <c r="JQE91" t="s">
        <v>428</v>
      </c>
      <c r="JQG91" t="s">
        <v>146</v>
      </c>
      <c r="JQH91" t="s">
        <v>145</v>
      </c>
      <c r="JQI91" t="s">
        <v>398</v>
      </c>
      <c r="JQJ91">
        <v>1</v>
      </c>
      <c r="JQK91" t="s">
        <v>436</v>
      </c>
      <c r="JQL91" t="s">
        <v>437</v>
      </c>
      <c r="JQM91" t="s">
        <v>428</v>
      </c>
      <c r="JQO91" t="s">
        <v>146</v>
      </c>
      <c r="JQP91" t="s">
        <v>145</v>
      </c>
      <c r="JQQ91" t="s">
        <v>398</v>
      </c>
      <c r="JQR91">
        <v>1</v>
      </c>
      <c r="JQS91" t="s">
        <v>436</v>
      </c>
      <c r="JQT91" t="s">
        <v>437</v>
      </c>
      <c r="JQU91" t="s">
        <v>428</v>
      </c>
      <c r="JQW91" t="s">
        <v>146</v>
      </c>
      <c r="JQX91" t="s">
        <v>145</v>
      </c>
      <c r="JQY91" t="s">
        <v>398</v>
      </c>
      <c r="JQZ91">
        <v>1</v>
      </c>
      <c r="JRA91" t="s">
        <v>436</v>
      </c>
      <c r="JRB91" t="s">
        <v>437</v>
      </c>
      <c r="JRC91" t="s">
        <v>428</v>
      </c>
      <c r="JRE91" t="s">
        <v>146</v>
      </c>
      <c r="JRF91" t="s">
        <v>145</v>
      </c>
      <c r="JRG91" t="s">
        <v>398</v>
      </c>
      <c r="JRH91">
        <v>1</v>
      </c>
      <c r="JRI91" t="s">
        <v>436</v>
      </c>
      <c r="JRJ91" t="s">
        <v>437</v>
      </c>
      <c r="JRK91" t="s">
        <v>428</v>
      </c>
      <c r="JRM91" t="s">
        <v>146</v>
      </c>
      <c r="JRN91" t="s">
        <v>145</v>
      </c>
      <c r="JRO91" t="s">
        <v>398</v>
      </c>
      <c r="JRP91">
        <v>1</v>
      </c>
      <c r="JRQ91" t="s">
        <v>436</v>
      </c>
      <c r="JRR91" t="s">
        <v>437</v>
      </c>
      <c r="JRS91" t="s">
        <v>428</v>
      </c>
      <c r="JRU91" t="s">
        <v>146</v>
      </c>
      <c r="JRV91" t="s">
        <v>145</v>
      </c>
      <c r="JRW91" t="s">
        <v>398</v>
      </c>
      <c r="JRX91">
        <v>1</v>
      </c>
      <c r="JRY91" t="s">
        <v>436</v>
      </c>
      <c r="JRZ91" t="s">
        <v>437</v>
      </c>
      <c r="JSA91" t="s">
        <v>428</v>
      </c>
      <c r="JSC91" t="s">
        <v>146</v>
      </c>
      <c r="JSD91" t="s">
        <v>145</v>
      </c>
      <c r="JSE91" t="s">
        <v>398</v>
      </c>
      <c r="JSF91">
        <v>1</v>
      </c>
      <c r="JSG91" t="s">
        <v>436</v>
      </c>
      <c r="JSH91" t="s">
        <v>437</v>
      </c>
      <c r="JSI91" t="s">
        <v>428</v>
      </c>
      <c r="JSK91" t="s">
        <v>146</v>
      </c>
      <c r="JSL91" t="s">
        <v>145</v>
      </c>
      <c r="JSM91" t="s">
        <v>398</v>
      </c>
      <c r="JSN91">
        <v>1</v>
      </c>
      <c r="JSO91" t="s">
        <v>436</v>
      </c>
      <c r="JSP91" t="s">
        <v>437</v>
      </c>
      <c r="JSQ91" t="s">
        <v>428</v>
      </c>
      <c r="JSS91" t="s">
        <v>146</v>
      </c>
      <c r="JST91" t="s">
        <v>145</v>
      </c>
      <c r="JSU91" t="s">
        <v>398</v>
      </c>
      <c r="JSV91">
        <v>1</v>
      </c>
      <c r="JSW91" t="s">
        <v>436</v>
      </c>
      <c r="JSX91" t="s">
        <v>437</v>
      </c>
      <c r="JSY91" t="s">
        <v>428</v>
      </c>
      <c r="JTA91" t="s">
        <v>146</v>
      </c>
      <c r="JTB91" t="s">
        <v>145</v>
      </c>
      <c r="JTC91" t="s">
        <v>398</v>
      </c>
      <c r="JTD91">
        <v>1</v>
      </c>
      <c r="JTE91" t="s">
        <v>436</v>
      </c>
      <c r="JTF91" t="s">
        <v>437</v>
      </c>
      <c r="JTG91" t="s">
        <v>428</v>
      </c>
      <c r="JTI91" t="s">
        <v>146</v>
      </c>
      <c r="JTJ91" t="s">
        <v>145</v>
      </c>
      <c r="JTK91" t="s">
        <v>398</v>
      </c>
      <c r="JTL91">
        <v>1</v>
      </c>
      <c r="JTM91" t="s">
        <v>436</v>
      </c>
      <c r="JTN91" t="s">
        <v>437</v>
      </c>
      <c r="JTO91" t="s">
        <v>428</v>
      </c>
      <c r="JTQ91" t="s">
        <v>146</v>
      </c>
      <c r="JTR91" t="s">
        <v>145</v>
      </c>
      <c r="JTS91" t="s">
        <v>398</v>
      </c>
      <c r="JTT91">
        <v>1</v>
      </c>
      <c r="JTU91" t="s">
        <v>436</v>
      </c>
      <c r="JTV91" t="s">
        <v>437</v>
      </c>
      <c r="JTW91" t="s">
        <v>428</v>
      </c>
      <c r="JTY91" t="s">
        <v>146</v>
      </c>
      <c r="JTZ91" t="s">
        <v>145</v>
      </c>
      <c r="JUA91" t="s">
        <v>398</v>
      </c>
      <c r="JUB91">
        <v>1</v>
      </c>
      <c r="JUC91" t="s">
        <v>436</v>
      </c>
      <c r="JUD91" t="s">
        <v>437</v>
      </c>
      <c r="JUE91" t="s">
        <v>428</v>
      </c>
      <c r="JUG91" t="s">
        <v>146</v>
      </c>
      <c r="JUH91" t="s">
        <v>145</v>
      </c>
      <c r="JUI91" t="s">
        <v>398</v>
      </c>
      <c r="JUJ91">
        <v>1</v>
      </c>
      <c r="JUK91" t="s">
        <v>436</v>
      </c>
      <c r="JUL91" t="s">
        <v>437</v>
      </c>
      <c r="JUM91" t="s">
        <v>428</v>
      </c>
      <c r="JUO91" t="s">
        <v>146</v>
      </c>
      <c r="JUP91" t="s">
        <v>145</v>
      </c>
      <c r="JUQ91" t="s">
        <v>398</v>
      </c>
      <c r="JUR91">
        <v>1</v>
      </c>
      <c r="JUS91" t="s">
        <v>436</v>
      </c>
      <c r="JUT91" t="s">
        <v>437</v>
      </c>
      <c r="JUU91" t="s">
        <v>428</v>
      </c>
      <c r="JUW91" t="s">
        <v>146</v>
      </c>
      <c r="JUX91" t="s">
        <v>145</v>
      </c>
      <c r="JUY91" t="s">
        <v>398</v>
      </c>
      <c r="JUZ91">
        <v>1</v>
      </c>
      <c r="JVA91" t="s">
        <v>436</v>
      </c>
      <c r="JVB91" t="s">
        <v>437</v>
      </c>
      <c r="JVC91" t="s">
        <v>428</v>
      </c>
      <c r="JVE91" t="s">
        <v>146</v>
      </c>
      <c r="JVF91" t="s">
        <v>145</v>
      </c>
      <c r="JVG91" t="s">
        <v>398</v>
      </c>
      <c r="JVH91">
        <v>1</v>
      </c>
      <c r="JVI91" t="s">
        <v>436</v>
      </c>
      <c r="JVJ91" t="s">
        <v>437</v>
      </c>
      <c r="JVK91" t="s">
        <v>428</v>
      </c>
      <c r="JVM91" t="s">
        <v>146</v>
      </c>
      <c r="JVN91" t="s">
        <v>145</v>
      </c>
      <c r="JVO91" t="s">
        <v>398</v>
      </c>
      <c r="JVP91">
        <v>1</v>
      </c>
      <c r="JVQ91" t="s">
        <v>436</v>
      </c>
      <c r="JVR91" t="s">
        <v>437</v>
      </c>
      <c r="JVS91" t="s">
        <v>428</v>
      </c>
      <c r="JVU91" t="s">
        <v>146</v>
      </c>
      <c r="JVV91" t="s">
        <v>145</v>
      </c>
      <c r="JVW91" t="s">
        <v>398</v>
      </c>
      <c r="JVX91">
        <v>1</v>
      </c>
      <c r="JVY91" t="s">
        <v>436</v>
      </c>
      <c r="JVZ91" t="s">
        <v>437</v>
      </c>
      <c r="JWA91" t="s">
        <v>428</v>
      </c>
      <c r="JWC91" t="s">
        <v>146</v>
      </c>
      <c r="JWD91" t="s">
        <v>145</v>
      </c>
      <c r="JWE91" t="s">
        <v>398</v>
      </c>
      <c r="JWF91">
        <v>1</v>
      </c>
      <c r="JWG91" t="s">
        <v>436</v>
      </c>
      <c r="JWH91" t="s">
        <v>437</v>
      </c>
      <c r="JWI91" t="s">
        <v>428</v>
      </c>
      <c r="JWK91" t="s">
        <v>146</v>
      </c>
      <c r="JWL91" t="s">
        <v>145</v>
      </c>
      <c r="JWM91" t="s">
        <v>398</v>
      </c>
      <c r="JWN91">
        <v>1</v>
      </c>
      <c r="JWO91" t="s">
        <v>436</v>
      </c>
      <c r="JWP91" t="s">
        <v>437</v>
      </c>
      <c r="JWQ91" t="s">
        <v>428</v>
      </c>
      <c r="JWS91" t="s">
        <v>146</v>
      </c>
      <c r="JWT91" t="s">
        <v>145</v>
      </c>
      <c r="JWU91" t="s">
        <v>398</v>
      </c>
      <c r="JWV91">
        <v>1</v>
      </c>
      <c r="JWW91" t="s">
        <v>436</v>
      </c>
      <c r="JWX91" t="s">
        <v>437</v>
      </c>
      <c r="JWY91" t="s">
        <v>428</v>
      </c>
      <c r="JXA91" t="s">
        <v>146</v>
      </c>
      <c r="JXB91" t="s">
        <v>145</v>
      </c>
      <c r="JXC91" t="s">
        <v>398</v>
      </c>
      <c r="JXD91">
        <v>1</v>
      </c>
      <c r="JXE91" t="s">
        <v>436</v>
      </c>
      <c r="JXF91" t="s">
        <v>437</v>
      </c>
      <c r="JXG91" t="s">
        <v>428</v>
      </c>
      <c r="JXI91" t="s">
        <v>146</v>
      </c>
      <c r="JXJ91" t="s">
        <v>145</v>
      </c>
      <c r="JXK91" t="s">
        <v>398</v>
      </c>
      <c r="JXL91">
        <v>1</v>
      </c>
      <c r="JXM91" t="s">
        <v>436</v>
      </c>
      <c r="JXN91" t="s">
        <v>437</v>
      </c>
      <c r="JXO91" t="s">
        <v>428</v>
      </c>
      <c r="JXQ91" t="s">
        <v>146</v>
      </c>
      <c r="JXR91" t="s">
        <v>145</v>
      </c>
      <c r="JXS91" t="s">
        <v>398</v>
      </c>
      <c r="JXT91">
        <v>1</v>
      </c>
      <c r="JXU91" t="s">
        <v>436</v>
      </c>
      <c r="JXV91" t="s">
        <v>437</v>
      </c>
      <c r="JXW91" t="s">
        <v>428</v>
      </c>
      <c r="JXY91" t="s">
        <v>146</v>
      </c>
      <c r="JXZ91" t="s">
        <v>145</v>
      </c>
      <c r="JYA91" t="s">
        <v>398</v>
      </c>
      <c r="JYB91">
        <v>1</v>
      </c>
      <c r="JYC91" t="s">
        <v>436</v>
      </c>
      <c r="JYD91" t="s">
        <v>437</v>
      </c>
      <c r="JYE91" t="s">
        <v>428</v>
      </c>
      <c r="JYG91" t="s">
        <v>146</v>
      </c>
      <c r="JYH91" t="s">
        <v>145</v>
      </c>
      <c r="JYI91" t="s">
        <v>398</v>
      </c>
      <c r="JYJ91">
        <v>1</v>
      </c>
      <c r="JYK91" t="s">
        <v>436</v>
      </c>
      <c r="JYL91" t="s">
        <v>437</v>
      </c>
      <c r="JYM91" t="s">
        <v>428</v>
      </c>
      <c r="JYO91" t="s">
        <v>146</v>
      </c>
      <c r="JYP91" t="s">
        <v>145</v>
      </c>
      <c r="JYQ91" t="s">
        <v>398</v>
      </c>
      <c r="JYR91">
        <v>1</v>
      </c>
      <c r="JYS91" t="s">
        <v>436</v>
      </c>
      <c r="JYT91" t="s">
        <v>437</v>
      </c>
      <c r="JYU91" t="s">
        <v>428</v>
      </c>
      <c r="JYW91" t="s">
        <v>146</v>
      </c>
      <c r="JYX91" t="s">
        <v>145</v>
      </c>
      <c r="JYY91" t="s">
        <v>398</v>
      </c>
      <c r="JYZ91">
        <v>1</v>
      </c>
      <c r="JZA91" t="s">
        <v>436</v>
      </c>
      <c r="JZB91" t="s">
        <v>437</v>
      </c>
      <c r="JZC91" t="s">
        <v>428</v>
      </c>
      <c r="JZE91" t="s">
        <v>146</v>
      </c>
      <c r="JZF91" t="s">
        <v>145</v>
      </c>
      <c r="JZG91" t="s">
        <v>398</v>
      </c>
      <c r="JZH91">
        <v>1</v>
      </c>
      <c r="JZI91" t="s">
        <v>436</v>
      </c>
      <c r="JZJ91" t="s">
        <v>437</v>
      </c>
      <c r="JZK91" t="s">
        <v>428</v>
      </c>
      <c r="JZM91" t="s">
        <v>146</v>
      </c>
      <c r="JZN91" t="s">
        <v>145</v>
      </c>
      <c r="JZO91" t="s">
        <v>398</v>
      </c>
      <c r="JZP91">
        <v>1</v>
      </c>
      <c r="JZQ91" t="s">
        <v>436</v>
      </c>
      <c r="JZR91" t="s">
        <v>437</v>
      </c>
      <c r="JZS91" t="s">
        <v>428</v>
      </c>
      <c r="JZU91" t="s">
        <v>146</v>
      </c>
      <c r="JZV91" t="s">
        <v>145</v>
      </c>
      <c r="JZW91" t="s">
        <v>398</v>
      </c>
      <c r="JZX91">
        <v>1</v>
      </c>
      <c r="JZY91" t="s">
        <v>436</v>
      </c>
      <c r="JZZ91" t="s">
        <v>437</v>
      </c>
      <c r="KAA91" t="s">
        <v>428</v>
      </c>
      <c r="KAC91" t="s">
        <v>146</v>
      </c>
      <c r="KAD91" t="s">
        <v>145</v>
      </c>
      <c r="KAE91" t="s">
        <v>398</v>
      </c>
      <c r="KAF91">
        <v>1</v>
      </c>
      <c r="KAG91" t="s">
        <v>436</v>
      </c>
      <c r="KAH91" t="s">
        <v>437</v>
      </c>
      <c r="KAI91" t="s">
        <v>428</v>
      </c>
      <c r="KAK91" t="s">
        <v>146</v>
      </c>
      <c r="KAL91" t="s">
        <v>145</v>
      </c>
      <c r="KAM91" t="s">
        <v>398</v>
      </c>
      <c r="KAN91">
        <v>1</v>
      </c>
      <c r="KAO91" t="s">
        <v>436</v>
      </c>
      <c r="KAP91" t="s">
        <v>437</v>
      </c>
      <c r="KAQ91" t="s">
        <v>428</v>
      </c>
      <c r="KAS91" t="s">
        <v>146</v>
      </c>
      <c r="KAT91" t="s">
        <v>145</v>
      </c>
      <c r="KAU91" t="s">
        <v>398</v>
      </c>
      <c r="KAV91">
        <v>1</v>
      </c>
      <c r="KAW91" t="s">
        <v>436</v>
      </c>
      <c r="KAX91" t="s">
        <v>437</v>
      </c>
      <c r="KAY91" t="s">
        <v>428</v>
      </c>
      <c r="KBA91" t="s">
        <v>146</v>
      </c>
      <c r="KBB91" t="s">
        <v>145</v>
      </c>
      <c r="KBC91" t="s">
        <v>398</v>
      </c>
      <c r="KBD91">
        <v>1</v>
      </c>
      <c r="KBE91" t="s">
        <v>436</v>
      </c>
      <c r="KBF91" t="s">
        <v>437</v>
      </c>
      <c r="KBG91" t="s">
        <v>428</v>
      </c>
      <c r="KBI91" t="s">
        <v>146</v>
      </c>
      <c r="KBJ91" t="s">
        <v>145</v>
      </c>
      <c r="KBK91" t="s">
        <v>398</v>
      </c>
      <c r="KBL91">
        <v>1</v>
      </c>
      <c r="KBM91" t="s">
        <v>436</v>
      </c>
      <c r="KBN91" t="s">
        <v>437</v>
      </c>
      <c r="KBO91" t="s">
        <v>428</v>
      </c>
      <c r="KBQ91" t="s">
        <v>146</v>
      </c>
      <c r="KBR91" t="s">
        <v>145</v>
      </c>
      <c r="KBS91" t="s">
        <v>398</v>
      </c>
      <c r="KBT91">
        <v>1</v>
      </c>
      <c r="KBU91" t="s">
        <v>436</v>
      </c>
      <c r="KBV91" t="s">
        <v>437</v>
      </c>
      <c r="KBW91" t="s">
        <v>428</v>
      </c>
      <c r="KBY91" t="s">
        <v>146</v>
      </c>
      <c r="KBZ91" t="s">
        <v>145</v>
      </c>
      <c r="KCA91" t="s">
        <v>398</v>
      </c>
      <c r="KCB91">
        <v>1</v>
      </c>
      <c r="KCC91" t="s">
        <v>436</v>
      </c>
      <c r="KCD91" t="s">
        <v>437</v>
      </c>
      <c r="KCE91" t="s">
        <v>428</v>
      </c>
      <c r="KCG91" t="s">
        <v>146</v>
      </c>
      <c r="KCH91" t="s">
        <v>145</v>
      </c>
      <c r="KCI91" t="s">
        <v>398</v>
      </c>
      <c r="KCJ91">
        <v>1</v>
      </c>
      <c r="KCK91" t="s">
        <v>436</v>
      </c>
      <c r="KCL91" t="s">
        <v>437</v>
      </c>
      <c r="KCM91" t="s">
        <v>428</v>
      </c>
      <c r="KCO91" t="s">
        <v>146</v>
      </c>
      <c r="KCP91" t="s">
        <v>145</v>
      </c>
      <c r="KCQ91" t="s">
        <v>398</v>
      </c>
      <c r="KCR91">
        <v>1</v>
      </c>
      <c r="KCS91" t="s">
        <v>436</v>
      </c>
      <c r="KCT91" t="s">
        <v>437</v>
      </c>
      <c r="KCU91" t="s">
        <v>428</v>
      </c>
      <c r="KCW91" t="s">
        <v>146</v>
      </c>
      <c r="KCX91" t="s">
        <v>145</v>
      </c>
      <c r="KCY91" t="s">
        <v>398</v>
      </c>
      <c r="KCZ91">
        <v>1</v>
      </c>
      <c r="KDA91" t="s">
        <v>436</v>
      </c>
      <c r="KDB91" t="s">
        <v>437</v>
      </c>
      <c r="KDC91" t="s">
        <v>428</v>
      </c>
      <c r="KDE91" t="s">
        <v>146</v>
      </c>
      <c r="KDF91" t="s">
        <v>145</v>
      </c>
      <c r="KDG91" t="s">
        <v>398</v>
      </c>
      <c r="KDH91">
        <v>1</v>
      </c>
      <c r="KDI91" t="s">
        <v>436</v>
      </c>
      <c r="KDJ91" t="s">
        <v>437</v>
      </c>
      <c r="KDK91" t="s">
        <v>428</v>
      </c>
      <c r="KDM91" t="s">
        <v>146</v>
      </c>
      <c r="KDN91" t="s">
        <v>145</v>
      </c>
      <c r="KDO91" t="s">
        <v>398</v>
      </c>
      <c r="KDP91">
        <v>1</v>
      </c>
      <c r="KDQ91" t="s">
        <v>436</v>
      </c>
      <c r="KDR91" t="s">
        <v>437</v>
      </c>
      <c r="KDS91" t="s">
        <v>428</v>
      </c>
      <c r="KDU91" t="s">
        <v>146</v>
      </c>
      <c r="KDV91" t="s">
        <v>145</v>
      </c>
      <c r="KDW91" t="s">
        <v>398</v>
      </c>
      <c r="KDX91">
        <v>1</v>
      </c>
      <c r="KDY91" t="s">
        <v>436</v>
      </c>
      <c r="KDZ91" t="s">
        <v>437</v>
      </c>
      <c r="KEA91" t="s">
        <v>428</v>
      </c>
      <c r="KEC91" t="s">
        <v>146</v>
      </c>
      <c r="KED91" t="s">
        <v>145</v>
      </c>
      <c r="KEE91" t="s">
        <v>398</v>
      </c>
      <c r="KEF91">
        <v>1</v>
      </c>
      <c r="KEG91" t="s">
        <v>436</v>
      </c>
      <c r="KEH91" t="s">
        <v>437</v>
      </c>
      <c r="KEI91" t="s">
        <v>428</v>
      </c>
      <c r="KEK91" t="s">
        <v>146</v>
      </c>
      <c r="KEL91" t="s">
        <v>145</v>
      </c>
      <c r="KEM91" t="s">
        <v>398</v>
      </c>
      <c r="KEN91">
        <v>1</v>
      </c>
      <c r="KEO91" t="s">
        <v>436</v>
      </c>
      <c r="KEP91" t="s">
        <v>437</v>
      </c>
      <c r="KEQ91" t="s">
        <v>428</v>
      </c>
      <c r="KES91" t="s">
        <v>146</v>
      </c>
      <c r="KET91" t="s">
        <v>145</v>
      </c>
      <c r="KEU91" t="s">
        <v>398</v>
      </c>
      <c r="KEV91">
        <v>1</v>
      </c>
      <c r="KEW91" t="s">
        <v>436</v>
      </c>
      <c r="KEX91" t="s">
        <v>437</v>
      </c>
      <c r="KEY91" t="s">
        <v>428</v>
      </c>
      <c r="KFA91" t="s">
        <v>146</v>
      </c>
      <c r="KFB91" t="s">
        <v>145</v>
      </c>
      <c r="KFC91" t="s">
        <v>398</v>
      </c>
      <c r="KFD91">
        <v>1</v>
      </c>
      <c r="KFE91" t="s">
        <v>436</v>
      </c>
      <c r="KFF91" t="s">
        <v>437</v>
      </c>
      <c r="KFG91" t="s">
        <v>428</v>
      </c>
      <c r="KFI91" t="s">
        <v>146</v>
      </c>
      <c r="KFJ91" t="s">
        <v>145</v>
      </c>
      <c r="KFK91" t="s">
        <v>398</v>
      </c>
      <c r="KFL91">
        <v>1</v>
      </c>
      <c r="KFM91" t="s">
        <v>436</v>
      </c>
      <c r="KFN91" t="s">
        <v>437</v>
      </c>
      <c r="KFO91" t="s">
        <v>428</v>
      </c>
      <c r="KFQ91" t="s">
        <v>146</v>
      </c>
      <c r="KFR91" t="s">
        <v>145</v>
      </c>
      <c r="KFS91" t="s">
        <v>398</v>
      </c>
      <c r="KFT91">
        <v>1</v>
      </c>
      <c r="KFU91" t="s">
        <v>436</v>
      </c>
      <c r="KFV91" t="s">
        <v>437</v>
      </c>
      <c r="KFW91" t="s">
        <v>428</v>
      </c>
      <c r="KFY91" t="s">
        <v>146</v>
      </c>
      <c r="KFZ91" t="s">
        <v>145</v>
      </c>
      <c r="KGA91" t="s">
        <v>398</v>
      </c>
      <c r="KGB91">
        <v>1</v>
      </c>
      <c r="KGC91" t="s">
        <v>436</v>
      </c>
      <c r="KGD91" t="s">
        <v>437</v>
      </c>
      <c r="KGE91" t="s">
        <v>428</v>
      </c>
      <c r="KGG91" t="s">
        <v>146</v>
      </c>
      <c r="KGH91" t="s">
        <v>145</v>
      </c>
      <c r="KGI91" t="s">
        <v>398</v>
      </c>
      <c r="KGJ91">
        <v>1</v>
      </c>
      <c r="KGK91" t="s">
        <v>436</v>
      </c>
      <c r="KGL91" t="s">
        <v>437</v>
      </c>
      <c r="KGM91" t="s">
        <v>428</v>
      </c>
      <c r="KGO91" t="s">
        <v>146</v>
      </c>
      <c r="KGP91" t="s">
        <v>145</v>
      </c>
      <c r="KGQ91" t="s">
        <v>398</v>
      </c>
      <c r="KGR91">
        <v>1</v>
      </c>
      <c r="KGS91" t="s">
        <v>436</v>
      </c>
      <c r="KGT91" t="s">
        <v>437</v>
      </c>
      <c r="KGU91" t="s">
        <v>428</v>
      </c>
      <c r="KGW91" t="s">
        <v>146</v>
      </c>
      <c r="KGX91" t="s">
        <v>145</v>
      </c>
      <c r="KGY91" t="s">
        <v>398</v>
      </c>
      <c r="KGZ91">
        <v>1</v>
      </c>
      <c r="KHA91" t="s">
        <v>436</v>
      </c>
      <c r="KHB91" t="s">
        <v>437</v>
      </c>
      <c r="KHC91" t="s">
        <v>428</v>
      </c>
      <c r="KHE91" t="s">
        <v>146</v>
      </c>
      <c r="KHF91" t="s">
        <v>145</v>
      </c>
      <c r="KHG91" t="s">
        <v>398</v>
      </c>
      <c r="KHH91">
        <v>1</v>
      </c>
      <c r="KHI91" t="s">
        <v>436</v>
      </c>
      <c r="KHJ91" t="s">
        <v>437</v>
      </c>
      <c r="KHK91" t="s">
        <v>428</v>
      </c>
      <c r="KHM91" t="s">
        <v>146</v>
      </c>
      <c r="KHN91" t="s">
        <v>145</v>
      </c>
      <c r="KHO91" t="s">
        <v>398</v>
      </c>
      <c r="KHP91">
        <v>1</v>
      </c>
      <c r="KHQ91" t="s">
        <v>436</v>
      </c>
      <c r="KHR91" t="s">
        <v>437</v>
      </c>
      <c r="KHS91" t="s">
        <v>428</v>
      </c>
      <c r="KHU91" t="s">
        <v>146</v>
      </c>
      <c r="KHV91" t="s">
        <v>145</v>
      </c>
      <c r="KHW91" t="s">
        <v>398</v>
      </c>
      <c r="KHX91">
        <v>1</v>
      </c>
      <c r="KHY91" t="s">
        <v>436</v>
      </c>
      <c r="KHZ91" t="s">
        <v>437</v>
      </c>
      <c r="KIA91" t="s">
        <v>428</v>
      </c>
      <c r="KIC91" t="s">
        <v>146</v>
      </c>
      <c r="KID91" t="s">
        <v>145</v>
      </c>
      <c r="KIE91" t="s">
        <v>398</v>
      </c>
      <c r="KIF91">
        <v>1</v>
      </c>
      <c r="KIG91" t="s">
        <v>436</v>
      </c>
      <c r="KIH91" t="s">
        <v>437</v>
      </c>
      <c r="KII91" t="s">
        <v>428</v>
      </c>
      <c r="KIK91" t="s">
        <v>146</v>
      </c>
      <c r="KIL91" t="s">
        <v>145</v>
      </c>
      <c r="KIM91" t="s">
        <v>398</v>
      </c>
      <c r="KIN91">
        <v>1</v>
      </c>
      <c r="KIO91" t="s">
        <v>436</v>
      </c>
      <c r="KIP91" t="s">
        <v>437</v>
      </c>
      <c r="KIQ91" t="s">
        <v>428</v>
      </c>
      <c r="KIS91" t="s">
        <v>146</v>
      </c>
      <c r="KIT91" t="s">
        <v>145</v>
      </c>
      <c r="KIU91" t="s">
        <v>398</v>
      </c>
      <c r="KIV91">
        <v>1</v>
      </c>
      <c r="KIW91" t="s">
        <v>436</v>
      </c>
      <c r="KIX91" t="s">
        <v>437</v>
      </c>
      <c r="KIY91" t="s">
        <v>428</v>
      </c>
      <c r="KJA91" t="s">
        <v>146</v>
      </c>
      <c r="KJB91" t="s">
        <v>145</v>
      </c>
      <c r="KJC91" t="s">
        <v>398</v>
      </c>
      <c r="KJD91">
        <v>1</v>
      </c>
      <c r="KJE91" t="s">
        <v>436</v>
      </c>
      <c r="KJF91" t="s">
        <v>437</v>
      </c>
      <c r="KJG91" t="s">
        <v>428</v>
      </c>
      <c r="KJI91" t="s">
        <v>146</v>
      </c>
      <c r="KJJ91" t="s">
        <v>145</v>
      </c>
      <c r="KJK91" t="s">
        <v>398</v>
      </c>
      <c r="KJL91">
        <v>1</v>
      </c>
      <c r="KJM91" t="s">
        <v>436</v>
      </c>
      <c r="KJN91" t="s">
        <v>437</v>
      </c>
      <c r="KJO91" t="s">
        <v>428</v>
      </c>
      <c r="KJQ91" t="s">
        <v>146</v>
      </c>
      <c r="KJR91" t="s">
        <v>145</v>
      </c>
      <c r="KJS91" t="s">
        <v>398</v>
      </c>
      <c r="KJT91">
        <v>1</v>
      </c>
      <c r="KJU91" t="s">
        <v>436</v>
      </c>
      <c r="KJV91" t="s">
        <v>437</v>
      </c>
      <c r="KJW91" t="s">
        <v>428</v>
      </c>
      <c r="KJY91" t="s">
        <v>146</v>
      </c>
      <c r="KJZ91" t="s">
        <v>145</v>
      </c>
      <c r="KKA91" t="s">
        <v>398</v>
      </c>
      <c r="KKB91">
        <v>1</v>
      </c>
      <c r="KKC91" t="s">
        <v>436</v>
      </c>
      <c r="KKD91" t="s">
        <v>437</v>
      </c>
      <c r="KKE91" t="s">
        <v>428</v>
      </c>
      <c r="KKG91" t="s">
        <v>146</v>
      </c>
      <c r="KKH91" t="s">
        <v>145</v>
      </c>
      <c r="KKI91" t="s">
        <v>398</v>
      </c>
      <c r="KKJ91">
        <v>1</v>
      </c>
      <c r="KKK91" t="s">
        <v>436</v>
      </c>
      <c r="KKL91" t="s">
        <v>437</v>
      </c>
      <c r="KKM91" t="s">
        <v>428</v>
      </c>
      <c r="KKO91" t="s">
        <v>146</v>
      </c>
      <c r="KKP91" t="s">
        <v>145</v>
      </c>
      <c r="KKQ91" t="s">
        <v>398</v>
      </c>
      <c r="KKR91">
        <v>1</v>
      </c>
      <c r="KKS91" t="s">
        <v>436</v>
      </c>
      <c r="KKT91" t="s">
        <v>437</v>
      </c>
      <c r="KKU91" t="s">
        <v>428</v>
      </c>
      <c r="KKW91" t="s">
        <v>146</v>
      </c>
      <c r="KKX91" t="s">
        <v>145</v>
      </c>
      <c r="KKY91" t="s">
        <v>398</v>
      </c>
      <c r="KKZ91">
        <v>1</v>
      </c>
      <c r="KLA91" t="s">
        <v>436</v>
      </c>
      <c r="KLB91" t="s">
        <v>437</v>
      </c>
      <c r="KLC91" t="s">
        <v>428</v>
      </c>
      <c r="KLE91" t="s">
        <v>146</v>
      </c>
      <c r="KLF91" t="s">
        <v>145</v>
      </c>
      <c r="KLG91" t="s">
        <v>398</v>
      </c>
      <c r="KLH91">
        <v>1</v>
      </c>
      <c r="KLI91" t="s">
        <v>436</v>
      </c>
      <c r="KLJ91" t="s">
        <v>437</v>
      </c>
      <c r="KLK91" t="s">
        <v>428</v>
      </c>
      <c r="KLM91" t="s">
        <v>146</v>
      </c>
      <c r="KLN91" t="s">
        <v>145</v>
      </c>
      <c r="KLO91" t="s">
        <v>398</v>
      </c>
      <c r="KLP91">
        <v>1</v>
      </c>
      <c r="KLQ91" t="s">
        <v>436</v>
      </c>
      <c r="KLR91" t="s">
        <v>437</v>
      </c>
      <c r="KLS91" t="s">
        <v>428</v>
      </c>
      <c r="KLU91" t="s">
        <v>146</v>
      </c>
      <c r="KLV91" t="s">
        <v>145</v>
      </c>
      <c r="KLW91" t="s">
        <v>398</v>
      </c>
      <c r="KLX91">
        <v>1</v>
      </c>
      <c r="KLY91" t="s">
        <v>436</v>
      </c>
      <c r="KLZ91" t="s">
        <v>437</v>
      </c>
      <c r="KMA91" t="s">
        <v>428</v>
      </c>
      <c r="KMC91" t="s">
        <v>146</v>
      </c>
      <c r="KMD91" t="s">
        <v>145</v>
      </c>
      <c r="KME91" t="s">
        <v>398</v>
      </c>
      <c r="KMF91">
        <v>1</v>
      </c>
      <c r="KMG91" t="s">
        <v>436</v>
      </c>
      <c r="KMH91" t="s">
        <v>437</v>
      </c>
      <c r="KMI91" t="s">
        <v>428</v>
      </c>
      <c r="KMK91" t="s">
        <v>146</v>
      </c>
      <c r="KML91" t="s">
        <v>145</v>
      </c>
      <c r="KMM91" t="s">
        <v>398</v>
      </c>
      <c r="KMN91">
        <v>1</v>
      </c>
      <c r="KMO91" t="s">
        <v>436</v>
      </c>
      <c r="KMP91" t="s">
        <v>437</v>
      </c>
      <c r="KMQ91" t="s">
        <v>428</v>
      </c>
      <c r="KMS91" t="s">
        <v>146</v>
      </c>
      <c r="KMT91" t="s">
        <v>145</v>
      </c>
      <c r="KMU91" t="s">
        <v>398</v>
      </c>
      <c r="KMV91">
        <v>1</v>
      </c>
      <c r="KMW91" t="s">
        <v>436</v>
      </c>
      <c r="KMX91" t="s">
        <v>437</v>
      </c>
      <c r="KMY91" t="s">
        <v>428</v>
      </c>
      <c r="KNA91" t="s">
        <v>146</v>
      </c>
      <c r="KNB91" t="s">
        <v>145</v>
      </c>
      <c r="KNC91" t="s">
        <v>398</v>
      </c>
      <c r="KND91">
        <v>1</v>
      </c>
      <c r="KNE91" t="s">
        <v>436</v>
      </c>
      <c r="KNF91" t="s">
        <v>437</v>
      </c>
      <c r="KNG91" t="s">
        <v>428</v>
      </c>
      <c r="KNI91" t="s">
        <v>146</v>
      </c>
      <c r="KNJ91" t="s">
        <v>145</v>
      </c>
      <c r="KNK91" t="s">
        <v>398</v>
      </c>
      <c r="KNL91">
        <v>1</v>
      </c>
      <c r="KNM91" t="s">
        <v>436</v>
      </c>
      <c r="KNN91" t="s">
        <v>437</v>
      </c>
      <c r="KNO91" t="s">
        <v>428</v>
      </c>
      <c r="KNQ91" t="s">
        <v>146</v>
      </c>
      <c r="KNR91" t="s">
        <v>145</v>
      </c>
      <c r="KNS91" t="s">
        <v>398</v>
      </c>
      <c r="KNT91">
        <v>1</v>
      </c>
      <c r="KNU91" t="s">
        <v>436</v>
      </c>
      <c r="KNV91" t="s">
        <v>437</v>
      </c>
      <c r="KNW91" t="s">
        <v>428</v>
      </c>
      <c r="KNY91" t="s">
        <v>146</v>
      </c>
      <c r="KNZ91" t="s">
        <v>145</v>
      </c>
      <c r="KOA91" t="s">
        <v>398</v>
      </c>
      <c r="KOB91">
        <v>1</v>
      </c>
      <c r="KOC91" t="s">
        <v>436</v>
      </c>
      <c r="KOD91" t="s">
        <v>437</v>
      </c>
      <c r="KOE91" t="s">
        <v>428</v>
      </c>
      <c r="KOG91" t="s">
        <v>146</v>
      </c>
      <c r="KOH91" t="s">
        <v>145</v>
      </c>
      <c r="KOI91" t="s">
        <v>398</v>
      </c>
      <c r="KOJ91">
        <v>1</v>
      </c>
      <c r="KOK91" t="s">
        <v>436</v>
      </c>
      <c r="KOL91" t="s">
        <v>437</v>
      </c>
      <c r="KOM91" t="s">
        <v>428</v>
      </c>
      <c r="KOO91" t="s">
        <v>146</v>
      </c>
      <c r="KOP91" t="s">
        <v>145</v>
      </c>
      <c r="KOQ91" t="s">
        <v>398</v>
      </c>
      <c r="KOR91">
        <v>1</v>
      </c>
      <c r="KOS91" t="s">
        <v>436</v>
      </c>
      <c r="KOT91" t="s">
        <v>437</v>
      </c>
      <c r="KOU91" t="s">
        <v>428</v>
      </c>
      <c r="KOW91" t="s">
        <v>146</v>
      </c>
      <c r="KOX91" t="s">
        <v>145</v>
      </c>
      <c r="KOY91" t="s">
        <v>398</v>
      </c>
      <c r="KOZ91">
        <v>1</v>
      </c>
      <c r="KPA91" t="s">
        <v>436</v>
      </c>
      <c r="KPB91" t="s">
        <v>437</v>
      </c>
      <c r="KPC91" t="s">
        <v>428</v>
      </c>
      <c r="KPE91" t="s">
        <v>146</v>
      </c>
      <c r="KPF91" t="s">
        <v>145</v>
      </c>
      <c r="KPG91" t="s">
        <v>398</v>
      </c>
      <c r="KPH91">
        <v>1</v>
      </c>
      <c r="KPI91" t="s">
        <v>436</v>
      </c>
      <c r="KPJ91" t="s">
        <v>437</v>
      </c>
      <c r="KPK91" t="s">
        <v>428</v>
      </c>
      <c r="KPM91" t="s">
        <v>146</v>
      </c>
      <c r="KPN91" t="s">
        <v>145</v>
      </c>
      <c r="KPO91" t="s">
        <v>398</v>
      </c>
      <c r="KPP91">
        <v>1</v>
      </c>
      <c r="KPQ91" t="s">
        <v>436</v>
      </c>
      <c r="KPR91" t="s">
        <v>437</v>
      </c>
      <c r="KPS91" t="s">
        <v>428</v>
      </c>
      <c r="KPU91" t="s">
        <v>146</v>
      </c>
      <c r="KPV91" t="s">
        <v>145</v>
      </c>
      <c r="KPW91" t="s">
        <v>398</v>
      </c>
      <c r="KPX91">
        <v>1</v>
      </c>
      <c r="KPY91" t="s">
        <v>436</v>
      </c>
      <c r="KPZ91" t="s">
        <v>437</v>
      </c>
      <c r="KQA91" t="s">
        <v>428</v>
      </c>
      <c r="KQC91" t="s">
        <v>146</v>
      </c>
      <c r="KQD91" t="s">
        <v>145</v>
      </c>
      <c r="KQE91" t="s">
        <v>398</v>
      </c>
      <c r="KQF91">
        <v>1</v>
      </c>
      <c r="KQG91" t="s">
        <v>436</v>
      </c>
      <c r="KQH91" t="s">
        <v>437</v>
      </c>
      <c r="KQI91" t="s">
        <v>428</v>
      </c>
      <c r="KQK91" t="s">
        <v>146</v>
      </c>
      <c r="KQL91" t="s">
        <v>145</v>
      </c>
      <c r="KQM91" t="s">
        <v>398</v>
      </c>
      <c r="KQN91">
        <v>1</v>
      </c>
      <c r="KQO91" t="s">
        <v>436</v>
      </c>
      <c r="KQP91" t="s">
        <v>437</v>
      </c>
      <c r="KQQ91" t="s">
        <v>428</v>
      </c>
      <c r="KQS91" t="s">
        <v>146</v>
      </c>
      <c r="KQT91" t="s">
        <v>145</v>
      </c>
      <c r="KQU91" t="s">
        <v>398</v>
      </c>
      <c r="KQV91">
        <v>1</v>
      </c>
      <c r="KQW91" t="s">
        <v>436</v>
      </c>
      <c r="KQX91" t="s">
        <v>437</v>
      </c>
      <c r="KQY91" t="s">
        <v>428</v>
      </c>
      <c r="KRA91" t="s">
        <v>146</v>
      </c>
      <c r="KRB91" t="s">
        <v>145</v>
      </c>
      <c r="KRC91" t="s">
        <v>398</v>
      </c>
      <c r="KRD91">
        <v>1</v>
      </c>
      <c r="KRE91" t="s">
        <v>436</v>
      </c>
      <c r="KRF91" t="s">
        <v>437</v>
      </c>
      <c r="KRG91" t="s">
        <v>428</v>
      </c>
      <c r="KRI91" t="s">
        <v>146</v>
      </c>
      <c r="KRJ91" t="s">
        <v>145</v>
      </c>
      <c r="KRK91" t="s">
        <v>398</v>
      </c>
      <c r="KRL91">
        <v>1</v>
      </c>
      <c r="KRM91" t="s">
        <v>436</v>
      </c>
      <c r="KRN91" t="s">
        <v>437</v>
      </c>
      <c r="KRO91" t="s">
        <v>428</v>
      </c>
      <c r="KRQ91" t="s">
        <v>146</v>
      </c>
      <c r="KRR91" t="s">
        <v>145</v>
      </c>
      <c r="KRS91" t="s">
        <v>398</v>
      </c>
      <c r="KRT91">
        <v>1</v>
      </c>
      <c r="KRU91" t="s">
        <v>436</v>
      </c>
      <c r="KRV91" t="s">
        <v>437</v>
      </c>
      <c r="KRW91" t="s">
        <v>428</v>
      </c>
      <c r="KRY91" t="s">
        <v>146</v>
      </c>
      <c r="KRZ91" t="s">
        <v>145</v>
      </c>
      <c r="KSA91" t="s">
        <v>398</v>
      </c>
      <c r="KSB91">
        <v>1</v>
      </c>
      <c r="KSC91" t="s">
        <v>436</v>
      </c>
      <c r="KSD91" t="s">
        <v>437</v>
      </c>
      <c r="KSE91" t="s">
        <v>428</v>
      </c>
      <c r="KSG91" t="s">
        <v>146</v>
      </c>
      <c r="KSH91" t="s">
        <v>145</v>
      </c>
      <c r="KSI91" t="s">
        <v>398</v>
      </c>
      <c r="KSJ91">
        <v>1</v>
      </c>
      <c r="KSK91" t="s">
        <v>436</v>
      </c>
      <c r="KSL91" t="s">
        <v>437</v>
      </c>
      <c r="KSM91" t="s">
        <v>428</v>
      </c>
      <c r="KSO91" t="s">
        <v>146</v>
      </c>
      <c r="KSP91" t="s">
        <v>145</v>
      </c>
      <c r="KSQ91" t="s">
        <v>398</v>
      </c>
      <c r="KSR91">
        <v>1</v>
      </c>
      <c r="KSS91" t="s">
        <v>436</v>
      </c>
      <c r="KST91" t="s">
        <v>437</v>
      </c>
      <c r="KSU91" t="s">
        <v>428</v>
      </c>
      <c r="KSW91" t="s">
        <v>146</v>
      </c>
      <c r="KSX91" t="s">
        <v>145</v>
      </c>
      <c r="KSY91" t="s">
        <v>398</v>
      </c>
      <c r="KSZ91">
        <v>1</v>
      </c>
      <c r="KTA91" t="s">
        <v>436</v>
      </c>
      <c r="KTB91" t="s">
        <v>437</v>
      </c>
      <c r="KTC91" t="s">
        <v>428</v>
      </c>
      <c r="KTE91" t="s">
        <v>146</v>
      </c>
      <c r="KTF91" t="s">
        <v>145</v>
      </c>
      <c r="KTG91" t="s">
        <v>398</v>
      </c>
      <c r="KTH91">
        <v>1</v>
      </c>
      <c r="KTI91" t="s">
        <v>436</v>
      </c>
      <c r="KTJ91" t="s">
        <v>437</v>
      </c>
      <c r="KTK91" t="s">
        <v>428</v>
      </c>
      <c r="KTM91" t="s">
        <v>146</v>
      </c>
      <c r="KTN91" t="s">
        <v>145</v>
      </c>
      <c r="KTO91" t="s">
        <v>398</v>
      </c>
      <c r="KTP91">
        <v>1</v>
      </c>
      <c r="KTQ91" t="s">
        <v>436</v>
      </c>
      <c r="KTR91" t="s">
        <v>437</v>
      </c>
      <c r="KTS91" t="s">
        <v>428</v>
      </c>
      <c r="KTU91" t="s">
        <v>146</v>
      </c>
      <c r="KTV91" t="s">
        <v>145</v>
      </c>
      <c r="KTW91" t="s">
        <v>398</v>
      </c>
      <c r="KTX91">
        <v>1</v>
      </c>
      <c r="KTY91" t="s">
        <v>436</v>
      </c>
      <c r="KTZ91" t="s">
        <v>437</v>
      </c>
      <c r="KUA91" t="s">
        <v>428</v>
      </c>
      <c r="KUC91" t="s">
        <v>146</v>
      </c>
      <c r="KUD91" t="s">
        <v>145</v>
      </c>
      <c r="KUE91" t="s">
        <v>398</v>
      </c>
      <c r="KUF91">
        <v>1</v>
      </c>
      <c r="KUG91" t="s">
        <v>436</v>
      </c>
      <c r="KUH91" t="s">
        <v>437</v>
      </c>
      <c r="KUI91" t="s">
        <v>428</v>
      </c>
      <c r="KUK91" t="s">
        <v>146</v>
      </c>
      <c r="KUL91" t="s">
        <v>145</v>
      </c>
      <c r="KUM91" t="s">
        <v>398</v>
      </c>
      <c r="KUN91">
        <v>1</v>
      </c>
      <c r="KUO91" t="s">
        <v>436</v>
      </c>
      <c r="KUP91" t="s">
        <v>437</v>
      </c>
      <c r="KUQ91" t="s">
        <v>428</v>
      </c>
      <c r="KUS91" t="s">
        <v>146</v>
      </c>
      <c r="KUT91" t="s">
        <v>145</v>
      </c>
      <c r="KUU91" t="s">
        <v>398</v>
      </c>
      <c r="KUV91">
        <v>1</v>
      </c>
      <c r="KUW91" t="s">
        <v>436</v>
      </c>
      <c r="KUX91" t="s">
        <v>437</v>
      </c>
      <c r="KUY91" t="s">
        <v>428</v>
      </c>
      <c r="KVA91" t="s">
        <v>146</v>
      </c>
      <c r="KVB91" t="s">
        <v>145</v>
      </c>
      <c r="KVC91" t="s">
        <v>398</v>
      </c>
      <c r="KVD91">
        <v>1</v>
      </c>
      <c r="KVE91" t="s">
        <v>436</v>
      </c>
      <c r="KVF91" t="s">
        <v>437</v>
      </c>
      <c r="KVG91" t="s">
        <v>428</v>
      </c>
      <c r="KVI91" t="s">
        <v>146</v>
      </c>
      <c r="KVJ91" t="s">
        <v>145</v>
      </c>
      <c r="KVK91" t="s">
        <v>398</v>
      </c>
      <c r="KVL91">
        <v>1</v>
      </c>
      <c r="KVM91" t="s">
        <v>436</v>
      </c>
      <c r="KVN91" t="s">
        <v>437</v>
      </c>
      <c r="KVO91" t="s">
        <v>428</v>
      </c>
      <c r="KVQ91" t="s">
        <v>146</v>
      </c>
      <c r="KVR91" t="s">
        <v>145</v>
      </c>
      <c r="KVS91" t="s">
        <v>398</v>
      </c>
      <c r="KVT91">
        <v>1</v>
      </c>
      <c r="KVU91" t="s">
        <v>436</v>
      </c>
      <c r="KVV91" t="s">
        <v>437</v>
      </c>
      <c r="KVW91" t="s">
        <v>428</v>
      </c>
      <c r="KVY91" t="s">
        <v>146</v>
      </c>
      <c r="KVZ91" t="s">
        <v>145</v>
      </c>
      <c r="KWA91" t="s">
        <v>398</v>
      </c>
      <c r="KWB91">
        <v>1</v>
      </c>
      <c r="KWC91" t="s">
        <v>436</v>
      </c>
      <c r="KWD91" t="s">
        <v>437</v>
      </c>
      <c r="KWE91" t="s">
        <v>428</v>
      </c>
      <c r="KWG91" t="s">
        <v>146</v>
      </c>
      <c r="KWH91" t="s">
        <v>145</v>
      </c>
      <c r="KWI91" t="s">
        <v>398</v>
      </c>
      <c r="KWJ91">
        <v>1</v>
      </c>
      <c r="KWK91" t="s">
        <v>436</v>
      </c>
      <c r="KWL91" t="s">
        <v>437</v>
      </c>
      <c r="KWM91" t="s">
        <v>428</v>
      </c>
      <c r="KWO91" t="s">
        <v>146</v>
      </c>
      <c r="KWP91" t="s">
        <v>145</v>
      </c>
      <c r="KWQ91" t="s">
        <v>398</v>
      </c>
      <c r="KWR91">
        <v>1</v>
      </c>
      <c r="KWS91" t="s">
        <v>436</v>
      </c>
      <c r="KWT91" t="s">
        <v>437</v>
      </c>
      <c r="KWU91" t="s">
        <v>428</v>
      </c>
      <c r="KWW91" t="s">
        <v>146</v>
      </c>
      <c r="KWX91" t="s">
        <v>145</v>
      </c>
      <c r="KWY91" t="s">
        <v>398</v>
      </c>
      <c r="KWZ91">
        <v>1</v>
      </c>
      <c r="KXA91" t="s">
        <v>436</v>
      </c>
      <c r="KXB91" t="s">
        <v>437</v>
      </c>
      <c r="KXC91" t="s">
        <v>428</v>
      </c>
      <c r="KXE91" t="s">
        <v>146</v>
      </c>
      <c r="KXF91" t="s">
        <v>145</v>
      </c>
      <c r="KXG91" t="s">
        <v>398</v>
      </c>
      <c r="KXH91">
        <v>1</v>
      </c>
      <c r="KXI91" t="s">
        <v>436</v>
      </c>
      <c r="KXJ91" t="s">
        <v>437</v>
      </c>
      <c r="KXK91" t="s">
        <v>428</v>
      </c>
      <c r="KXM91" t="s">
        <v>146</v>
      </c>
      <c r="KXN91" t="s">
        <v>145</v>
      </c>
      <c r="KXO91" t="s">
        <v>398</v>
      </c>
      <c r="KXP91">
        <v>1</v>
      </c>
      <c r="KXQ91" t="s">
        <v>436</v>
      </c>
      <c r="KXR91" t="s">
        <v>437</v>
      </c>
      <c r="KXS91" t="s">
        <v>428</v>
      </c>
      <c r="KXU91" t="s">
        <v>146</v>
      </c>
      <c r="KXV91" t="s">
        <v>145</v>
      </c>
      <c r="KXW91" t="s">
        <v>398</v>
      </c>
      <c r="KXX91">
        <v>1</v>
      </c>
      <c r="KXY91" t="s">
        <v>436</v>
      </c>
      <c r="KXZ91" t="s">
        <v>437</v>
      </c>
      <c r="KYA91" t="s">
        <v>428</v>
      </c>
      <c r="KYC91" t="s">
        <v>146</v>
      </c>
      <c r="KYD91" t="s">
        <v>145</v>
      </c>
      <c r="KYE91" t="s">
        <v>398</v>
      </c>
      <c r="KYF91">
        <v>1</v>
      </c>
      <c r="KYG91" t="s">
        <v>436</v>
      </c>
      <c r="KYH91" t="s">
        <v>437</v>
      </c>
      <c r="KYI91" t="s">
        <v>428</v>
      </c>
      <c r="KYK91" t="s">
        <v>146</v>
      </c>
      <c r="KYL91" t="s">
        <v>145</v>
      </c>
      <c r="KYM91" t="s">
        <v>398</v>
      </c>
      <c r="KYN91">
        <v>1</v>
      </c>
      <c r="KYO91" t="s">
        <v>436</v>
      </c>
      <c r="KYP91" t="s">
        <v>437</v>
      </c>
      <c r="KYQ91" t="s">
        <v>428</v>
      </c>
      <c r="KYS91" t="s">
        <v>146</v>
      </c>
      <c r="KYT91" t="s">
        <v>145</v>
      </c>
      <c r="KYU91" t="s">
        <v>398</v>
      </c>
      <c r="KYV91">
        <v>1</v>
      </c>
      <c r="KYW91" t="s">
        <v>436</v>
      </c>
      <c r="KYX91" t="s">
        <v>437</v>
      </c>
      <c r="KYY91" t="s">
        <v>428</v>
      </c>
      <c r="KZA91" t="s">
        <v>146</v>
      </c>
      <c r="KZB91" t="s">
        <v>145</v>
      </c>
      <c r="KZC91" t="s">
        <v>398</v>
      </c>
      <c r="KZD91">
        <v>1</v>
      </c>
      <c r="KZE91" t="s">
        <v>436</v>
      </c>
      <c r="KZF91" t="s">
        <v>437</v>
      </c>
      <c r="KZG91" t="s">
        <v>428</v>
      </c>
      <c r="KZI91" t="s">
        <v>146</v>
      </c>
      <c r="KZJ91" t="s">
        <v>145</v>
      </c>
      <c r="KZK91" t="s">
        <v>398</v>
      </c>
      <c r="KZL91">
        <v>1</v>
      </c>
      <c r="KZM91" t="s">
        <v>436</v>
      </c>
      <c r="KZN91" t="s">
        <v>437</v>
      </c>
      <c r="KZO91" t="s">
        <v>428</v>
      </c>
      <c r="KZQ91" t="s">
        <v>146</v>
      </c>
      <c r="KZR91" t="s">
        <v>145</v>
      </c>
      <c r="KZS91" t="s">
        <v>398</v>
      </c>
      <c r="KZT91">
        <v>1</v>
      </c>
      <c r="KZU91" t="s">
        <v>436</v>
      </c>
      <c r="KZV91" t="s">
        <v>437</v>
      </c>
      <c r="KZW91" t="s">
        <v>428</v>
      </c>
      <c r="KZY91" t="s">
        <v>146</v>
      </c>
      <c r="KZZ91" t="s">
        <v>145</v>
      </c>
      <c r="LAA91" t="s">
        <v>398</v>
      </c>
      <c r="LAB91">
        <v>1</v>
      </c>
      <c r="LAC91" t="s">
        <v>436</v>
      </c>
      <c r="LAD91" t="s">
        <v>437</v>
      </c>
      <c r="LAE91" t="s">
        <v>428</v>
      </c>
      <c r="LAG91" t="s">
        <v>146</v>
      </c>
      <c r="LAH91" t="s">
        <v>145</v>
      </c>
      <c r="LAI91" t="s">
        <v>398</v>
      </c>
      <c r="LAJ91">
        <v>1</v>
      </c>
      <c r="LAK91" t="s">
        <v>436</v>
      </c>
      <c r="LAL91" t="s">
        <v>437</v>
      </c>
      <c r="LAM91" t="s">
        <v>428</v>
      </c>
      <c r="LAO91" t="s">
        <v>146</v>
      </c>
      <c r="LAP91" t="s">
        <v>145</v>
      </c>
      <c r="LAQ91" t="s">
        <v>398</v>
      </c>
      <c r="LAR91">
        <v>1</v>
      </c>
      <c r="LAS91" t="s">
        <v>436</v>
      </c>
      <c r="LAT91" t="s">
        <v>437</v>
      </c>
      <c r="LAU91" t="s">
        <v>428</v>
      </c>
      <c r="LAW91" t="s">
        <v>146</v>
      </c>
      <c r="LAX91" t="s">
        <v>145</v>
      </c>
      <c r="LAY91" t="s">
        <v>398</v>
      </c>
      <c r="LAZ91">
        <v>1</v>
      </c>
      <c r="LBA91" t="s">
        <v>436</v>
      </c>
      <c r="LBB91" t="s">
        <v>437</v>
      </c>
      <c r="LBC91" t="s">
        <v>428</v>
      </c>
      <c r="LBE91" t="s">
        <v>146</v>
      </c>
      <c r="LBF91" t="s">
        <v>145</v>
      </c>
      <c r="LBG91" t="s">
        <v>398</v>
      </c>
      <c r="LBH91">
        <v>1</v>
      </c>
      <c r="LBI91" t="s">
        <v>436</v>
      </c>
      <c r="LBJ91" t="s">
        <v>437</v>
      </c>
      <c r="LBK91" t="s">
        <v>428</v>
      </c>
      <c r="LBM91" t="s">
        <v>146</v>
      </c>
      <c r="LBN91" t="s">
        <v>145</v>
      </c>
      <c r="LBO91" t="s">
        <v>398</v>
      </c>
      <c r="LBP91">
        <v>1</v>
      </c>
      <c r="LBQ91" t="s">
        <v>436</v>
      </c>
      <c r="LBR91" t="s">
        <v>437</v>
      </c>
      <c r="LBS91" t="s">
        <v>428</v>
      </c>
      <c r="LBU91" t="s">
        <v>146</v>
      </c>
      <c r="LBV91" t="s">
        <v>145</v>
      </c>
      <c r="LBW91" t="s">
        <v>398</v>
      </c>
      <c r="LBX91">
        <v>1</v>
      </c>
      <c r="LBY91" t="s">
        <v>436</v>
      </c>
      <c r="LBZ91" t="s">
        <v>437</v>
      </c>
      <c r="LCA91" t="s">
        <v>428</v>
      </c>
      <c r="LCC91" t="s">
        <v>146</v>
      </c>
      <c r="LCD91" t="s">
        <v>145</v>
      </c>
      <c r="LCE91" t="s">
        <v>398</v>
      </c>
      <c r="LCF91">
        <v>1</v>
      </c>
      <c r="LCG91" t="s">
        <v>436</v>
      </c>
      <c r="LCH91" t="s">
        <v>437</v>
      </c>
      <c r="LCI91" t="s">
        <v>428</v>
      </c>
      <c r="LCK91" t="s">
        <v>146</v>
      </c>
      <c r="LCL91" t="s">
        <v>145</v>
      </c>
      <c r="LCM91" t="s">
        <v>398</v>
      </c>
      <c r="LCN91">
        <v>1</v>
      </c>
      <c r="LCO91" t="s">
        <v>436</v>
      </c>
      <c r="LCP91" t="s">
        <v>437</v>
      </c>
      <c r="LCQ91" t="s">
        <v>428</v>
      </c>
      <c r="LCS91" t="s">
        <v>146</v>
      </c>
      <c r="LCT91" t="s">
        <v>145</v>
      </c>
      <c r="LCU91" t="s">
        <v>398</v>
      </c>
      <c r="LCV91">
        <v>1</v>
      </c>
      <c r="LCW91" t="s">
        <v>436</v>
      </c>
      <c r="LCX91" t="s">
        <v>437</v>
      </c>
      <c r="LCY91" t="s">
        <v>428</v>
      </c>
      <c r="LDA91" t="s">
        <v>146</v>
      </c>
      <c r="LDB91" t="s">
        <v>145</v>
      </c>
      <c r="LDC91" t="s">
        <v>398</v>
      </c>
      <c r="LDD91">
        <v>1</v>
      </c>
      <c r="LDE91" t="s">
        <v>436</v>
      </c>
      <c r="LDF91" t="s">
        <v>437</v>
      </c>
      <c r="LDG91" t="s">
        <v>428</v>
      </c>
      <c r="LDI91" t="s">
        <v>146</v>
      </c>
      <c r="LDJ91" t="s">
        <v>145</v>
      </c>
      <c r="LDK91" t="s">
        <v>398</v>
      </c>
      <c r="LDL91">
        <v>1</v>
      </c>
      <c r="LDM91" t="s">
        <v>436</v>
      </c>
      <c r="LDN91" t="s">
        <v>437</v>
      </c>
      <c r="LDO91" t="s">
        <v>428</v>
      </c>
      <c r="LDQ91" t="s">
        <v>146</v>
      </c>
      <c r="LDR91" t="s">
        <v>145</v>
      </c>
      <c r="LDS91" t="s">
        <v>398</v>
      </c>
      <c r="LDT91">
        <v>1</v>
      </c>
      <c r="LDU91" t="s">
        <v>436</v>
      </c>
      <c r="LDV91" t="s">
        <v>437</v>
      </c>
      <c r="LDW91" t="s">
        <v>428</v>
      </c>
      <c r="LDY91" t="s">
        <v>146</v>
      </c>
      <c r="LDZ91" t="s">
        <v>145</v>
      </c>
      <c r="LEA91" t="s">
        <v>398</v>
      </c>
      <c r="LEB91">
        <v>1</v>
      </c>
      <c r="LEC91" t="s">
        <v>436</v>
      </c>
      <c r="LED91" t="s">
        <v>437</v>
      </c>
      <c r="LEE91" t="s">
        <v>428</v>
      </c>
      <c r="LEG91" t="s">
        <v>146</v>
      </c>
      <c r="LEH91" t="s">
        <v>145</v>
      </c>
      <c r="LEI91" t="s">
        <v>398</v>
      </c>
      <c r="LEJ91">
        <v>1</v>
      </c>
      <c r="LEK91" t="s">
        <v>436</v>
      </c>
      <c r="LEL91" t="s">
        <v>437</v>
      </c>
      <c r="LEM91" t="s">
        <v>428</v>
      </c>
      <c r="LEO91" t="s">
        <v>146</v>
      </c>
      <c r="LEP91" t="s">
        <v>145</v>
      </c>
      <c r="LEQ91" t="s">
        <v>398</v>
      </c>
      <c r="LER91">
        <v>1</v>
      </c>
      <c r="LES91" t="s">
        <v>436</v>
      </c>
      <c r="LET91" t="s">
        <v>437</v>
      </c>
      <c r="LEU91" t="s">
        <v>428</v>
      </c>
      <c r="LEW91" t="s">
        <v>146</v>
      </c>
      <c r="LEX91" t="s">
        <v>145</v>
      </c>
      <c r="LEY91" t="s">
        <v>398</v>
      </c>
      <c r="LEZ91">
        <v>1</v>
      </c>
      <c r="LFA91" t="s">
        <v>436</v>
      </c>
      <c r="LFB91" t="s">
        <v>437</v>
      </c>
      <c r="LFC91" t="s">
        <v>428</v>
      </c>
      <c r="LFE91" t="s">
        <v>146</v>
      </c>
      <c r="LFF91" t="s">
        <v>145</v>
      </c>
      <c r="LFG91" t="s">
        <v>398</v>
      </c>
      <c r="LFH91">
        <v>1</v>
      </c>
      <c r="LFI91" t="s">
        <v>436</v>
      </c>
      <c r="LFJ91" t="s">
        <v>437</v>
      </c>
      <c r="LFK91" t="s">
        <v>428</v>
      </c>
      <c r="LFM91" t="s">
        <v>146</v>
      </c>
      <c r="LFN91" t="s">
        <v>145</v>
      </c>
      <c r="LFO91" t="s">
        <v>398</v>
      </c>
      <c r="LFP91">
        <v>1</v>
      </c>
      <c r="LFQ91" t="s">
        <v>436</v>
      </c>
      <c r="LFR91" t="s">
        <v>437</v>
      </c>
      <c r="LFS91" t="s">
        <v>428</v>
      </c>
      <c r="LFU91" t="s">
        <v>146</v>
      </c>
      <c r="LFV91" t="s">
        <v>145</v>
      </c>
      <c r="LFW91" t="s">
        <v>398</v>
      </c>
      <c r="LFX91">
        <v>1</v>
      </c>
      <c r="LFY91" t="s">
        <v>436</v>
      </c>
      <c r="LFZ91" t="s">
        <v>437</v>
      </c>
      <c r="LGA91" t="s">
        <v>428</v>
      </c>
      <c r="LGC91" t="s">
        <v>146</v>
      </c>
      <c r="LGD91" t="s">
        <v>145</v>
      </c>
      <c r="LGE91" t="s">
        <v>398</v>
      </c>
      <c r="LGF91">
        <v>1</v>
      </c>
      <c r="LGG91" t="s">
        <v>436</v>
      </c>
      <c r="LGH91" t="s">
        <v>437</v>
      </c>
      <c r="LGI91" t="s">
        <v>428</v>
      </c>
      <c r="LGK91" t="s">
        <v>146</v>
      </c>
      <c r="LGL91" t="s">
        <v>145</v>
      </c>
      <c r="LGM91" t="s">
        <v>398</v>
      </c>
      <c r="LGN91">
        <v>1</v>
      </c>
      <c r="LGO91" t="s">
        <v>436</v>
      </c>
      <c r="LGP91" t="s">
        <v>437</v>
      </c>
      <c r="LGQ91" t="s">
        <v>428</v>
      </c>
      <c r="LGS91" t="s">
        <v>146</v>
      </c>
      <c r="LGT91" t="s">
        <v>145</v>
      </c>
      <c r="LGU91" t="s">
        <v>398</v>
      </c>
      <c r="LGV91">
        <v>1</v>
      </c>
      <c r="LGW91" t="s">
        <v>436</v>
      </c>
      <c r="LGX91" t="s">
        <v>437</v>
      </c>
      <c r="LGY91" t="s">
        <v>428</v>
      </c>
      <c r="LHA91" t="s">
        <v>146</v>
      </c>
      <c r="LHB91" t="s">
        <v>145</v>
      </c>
      <c r="LHC91" t="s">
        <v>398</v>
      </c>
      <c r="LHD91">
        <v>1</v>
      </c>
      <c r="LHE91" t="s">
        <v>436</v>
      </c>
      <c r="LHF91" t="s">
        <v>437</v>
      </c>
      <c r="LHG91" t="s">
        <v>428</v>
      </c>
      <c r="LHI91" t="s">
        <v>146</v>
      </c>
      <c r="LHJ91" t="s">
        <v>145</v>
      </c>
      <c r="LHK91" t="s">
        <v>398</v>
      </c>
      <c r="LHL91">
        <v>1</v>
      </c>
      <c r="LHM91" t="s">
        <v>436</v>
      </c>
      <c r="LHN91" t="s">
        <v>437</v>
      </c>
      <c r="LHO91" t="s">
        <v>428</v>
      </c>
      <c r="LHQ91" t="s">
        <v>146</v>
      </c>
      <c r="LHR91" t="s">
        <v>145</v>
      </c>
      <c r="LHS91" t="s">
        <v>398</v>
      </c>
      <c r="LHT91">
        <v>1</v>
      </c>
      <c r="LHU91" t="s">
        <v>436</v>
      </c>
      <c r="LHV91" t="s">
        <v>437</v>
      </c>
      <c r="LHW91" t="s">
        <v>428</v>
      </c>
      <c r="LHY91" t="s">
        <v>146</v>
      </c>
      <c r="LHZ91" t="s">
        <v>145</v>
      </c>
      <c r="LIA91" t="s">
        <v>398</v>
      </c>
      <c r="LIB91">
        <v>1</v>
      </c>
      <c r="LIC91" t="s">
        <v>436</v>
      </c>
      <c r="LID91" t="s">
        <v>437</v>
      </c>
      <c r="LIE91" t="s">
        <v>428</v>
      </c>
      <c r="LIG91" t="s">
        <v>146</v>
      </c>
      <c r="LIH91" t="s">
        <v>145</v>
      </c>
      <c r="LII91" t="s">
        <v>398</v>
      </c>
      <c r="LIJ91">
        <v>1</v>
      </c>
      <c r="LIK91" t="s">
        <v>436</v>
      </c>
      <c r="LIL91" t="s">
        <v>437</v>
      </c>
      <c r="LIM91" t="s">
        <v>428</v>
      </c>
      <c r="LIO91" t="s">
        <v>146</v>
      </c>
      <c r="LIP91" t="s">
        <v>145</v>
      </c>
      <c r="LIQ91" t="s">
        <v>398</v>
      </c>
      <c r="LIR91">
        <v>1</v>
      </c>
      <c r="LIS91" t="s">
        <v>436</v>
      </c>
      <c r="LIT91" t="s">
        <v>437</v>
      </c>
      <c r="LIU91" t="s">
        <v>428</v>
      </c>
      <c r="LIW91" t="s">
        <v>146</v>
      </c>
      <c r="LIX91" t="s">
        <v>145</v>
      </c>
      <c r="LIY91" t="s">
        <v>398</v>
      </c>
      <c r="LIZ91">
        <v>1</v>
      </c>
      <c r="LJA91" t="s">
        <v>436</v>
      </c>
      <c r="LJB91" t="s">
        <v>437</v>
      </c>
      <c r="LJC91" t="s">
        <v>428</v>
      </c>
      <c r="LJE91" t="s">
        <v>146</v>
      </c>
      <c r="LJF91" t="s">
        <v>145</v>
      </c>
      <c r="LJG91" t="s">
        <v>398</v>
      </c>
      <c r="LJH91">
        <v>1</v>
      </c>
      <c r="LJI91" t="s">
        <v>436</v>
      </c>
      <c r="LJJ91" t="s">
        <v>437</v>
      </c>
      <c r="LJK91" t="s">
        <v>428</v>
      </c>
      <c r="LJM91" t="s">
        <v>146</v>
      </c>
      <c r="LJN91" t="s">
        <v>145</v>
      </c>
      <c r="LJO91" t="s">
        <v>398</v>
      </c>
      <c r="LJP91">
        <v>1</v>
      </c>
      <c r="LJQ91" t="s">
        <v>436</v>
      </c>
      <c r="LJR91" t="s">
        <v>437</v>
      </c>
      <c r="LJS91" t="s">
        <v>428</v>
      </c>
      <c r="LJU91" t="s">
        <v>146</v>
      </c>
      <c r="LJV91" t="s">
        <v>145</v>
      </c>
      <c r="LJW91" t="s">
        <v>398</v>
      </c>
      <c r="LJX91">
        <v>1</v>
      </c>
      <c r="LJY91" t="s">
        <v>436</v>
      </c>
      <c r="LJZ91" t="s">
        <v>437</v>
      </c>
      <c r="LKA91" t="s">
        <v>428</v>
      </c>
      <c r="LKC91" t="s">
        <v>146</v>
      </c>
      <c r="LKD91" t="s">
        <v>145</v>
      </c>
      <c r="LKE91" t="s">
        <v>398</v>
      </c>
      <c r="LKF91">
        <v>1</v>
      </c>
      <c r="LKG91" t="s">
        <v>436</v>
      </c>
      <c r="LKH91" t="s">
        <v>437</v>
      </c>
      <c r="LKI91" t="s">
        <v>428</v>
      </c>
      <c r="LKK91" t="s">
        <v>146</v>
      </c>
      <c r="LKL91" t="s">
        <v>145</v>
      </c>
      <c r="LKM91" t="s">
        <v>398</v>
      </c>
      <c r="LKN91">
        <v>1</v>
      </c>
      <c r="LKO91" t="s">
        <v>436</v>
      </c>
      <c r="LKP91" t="s">
        <v>437</v>
      </c>
      <c r="LKQ91" t="s">
        <v>428</v>
      </c>
      <c r="LKS91" t="s">
        <v>146</v>
      </c>
      <c r="LKT91" t="s">
        <v>145</v>
      </c>
      <c r="LKU91" t="s">
        <v>398</v>
      </c>
      <c r="LKV91">
        <v>1</v>
      </c>
      <c r="LKW91" t="s">
        <v>436</v>
      </c>
      <c r="LKX91" t="s">
        <v>437</v>
      </c>
      <c r="LKY91" t="s">
        <v>428</v>
      </c>
      <c r="LLA91" t="s">
        <v>146</v>
      </c>
      <c r="LLB91" t="s">
        <v>145</v>
      </c>
      <c r="LLC91" t="s">
        <v>398</v>
      </c>
      <c r="LLD91">
        <v>1</v>
      </c>
      <c r="LLE91" t="s">
        <v>436</v>
      </c>
      <c r="LLF91" t="s">
        <v>437</v>
      </c>
      <c r="LLG91" t="s">
        <v>428</v>
      </c>
      <c r="LLI91" t="s">
        <v>146</v>
      </c>
      <c r="LLJ91" t="s">
        <v>145</v>
      </c>
      <c r="LLK91" t="s">
        <v>398</v>
      </c>
      <c r="LLL91">
        <v>1</v>
      </c>
      <c r="LLM91" t="s">
        <v>436</v>
      </c>
      <c r="LLN91" t="s">
        <v>437</v>
      </c>
      <c r="LLO91" t="s">
        <v>428</v>
      </c>
      <c r="LLQ91" t="s">
        <v>146</v>
      </c>
      <c r="LLR91" t="s">
        <v>145</v>
      </c>
      <c r="LLS91" t="s">
        <v>398</v>
      </c>
      <c r="LLT91">
        <v>1</v>
      </c>
      <c r="LLU91" t="s">
        <v>436</v>
      </c>
      <c r="LLV91" t="s">
        <v>437</v>
      </c>
      <c r="LLW91" t="s">
        <v>428</v>
      </c>
      <c r="LLY91" t="s">
        <v>146</v>
      </c>
      <c r="LLZ91" t="s">
        <v>145</v>
      </c>
      <c r="LMA91" t="s">
        <v>398</v>
      </c>
      <c r="LMB91">
        <v>1</v>
      </c>
      <c r="LMC91" t="s">
        <v>436</v>
      </c>
      <c r="LMD91" t="s">
        <v>437</v>
      </c>
      <c r="LME91" t="s">
        <v>428</v>
      </c>
      <c r="LMG91" t="s">
        <v>146</v>
      </c>
      <c r="LMH91" t="s">
        <v>145</v>
      </c>
      <c r="LMI91" t="s">
        <v>398</v>
      </c>
      <c r="LMJ91">
        <v>1</v>
      </c>
      <c r="LMK91" t="s">
        <v>436</v>
      </c>
      <c r="LML91" t="s">
        <v>437</v>
      </c>
      <c r="LMM91" t="s">
        <v>428</v>
      </c>
      <c r="LMO91" t="s">
        <v>146</v>
      </c>
      <c r="LMP91" t="s">
        <v>145</v>
      </c>
      <c r="LMQ91" t="s">
        <v>398</v>
      </c>
      <c r="LMR91">
        <v>1</v>
      </c>
      <c r="LMS91" t="s">
        <v>436</v>
      </c>
      <c r="LMT91" t="s">
        <v>437</v>
      </c>
      <c r="LMU91" t="s">
        <v>428</v>
      </c>
      <c r="LMW91" t="s">
        <v>146</v>
      </c>
      <c r="LMX91" t="s">
        <v>145</v>
      </c>
      <c r="LMY91" t="s">
        <v>398</v>
      </c>
      <c r="LMZ91">
        <v>1</v>
      </c>
      <c r="LNA91" t="s">
        <v>436</v>
      </c>
      <c r="LNB91" t="s">
        <v>437</v>
      </c>
      <c r="LNC91" t="s">
        <v>428</v>
      </c>
      <c r="LNE91" t="s">
        <v>146</v>
      </c>
      <c r="LNF91" t="s">
        <v>145</v>
      </c>
      <c r="LNG91" t="s">
        <v>398</v>
      </c>
      <c r="LNH91">
        <v>1</v>
      </c>
      <c r="LNI91" t="s">
        <v>436</v>
      </c>
      <c r="LNJ91" t="s">
        <v>437</v>
      </c>
      <c r="LNK91" t="s">
        <v>428</v>
      </c>
      <c r="LNM91" t="s">
        <v>146</v>
      </c>
      <c r="LNN91" t="s">
        <v>145</v>
      </c>
      <c r="LNO91" t="s">
        <v>398</v>
      </c>
      <c r="LNP91">
        <v>1</v>
      </c>
      <c r="LNQ91" t="s">
        <v>436</v>
      </c>
      <c r="LNR91" t="s">
        <v>437</v>
      </c>
      <c r="LNS91" t="s">
        <v>428</v>
      </c>
      <c r="LNU91" t="s">
        <v>146</v>
      </c>
      <c r="LNV91" t="s">
        <v>145</v>
      </c>
      <c r="LNW91" t="s">
        <v>398</v>
      </c>
      <c r="LNX91">
        <v>1</v>
      </c>
      <c r="LNY91" t="s">
        <v>436</v>
      </c>
      <c r="LNZ91" t="s">
        <v>437</v>
      </c>
      <c r="LOA91" t="s">
        <v>428</v>
      </c>
      <c r="LOC91" t="s">
        <v>146</v>
      </c>
      <c r="LOD91" t="s">
        <v>145</v>
      </c>
      <c r="LOE91" t="s">
        <v>398</v>
      </c>
      <c r="LOF91">
        <v>1</v>
      </c>
      <c r="LOG91" t="s">
        <v>436</v>
      </c>
      <c r="LOH91" t="s">
        <v>437</v>
      </c>
      <c r="LOI91" t="s">
        <v>428</v>
      </c>
      <c r="LOK91" t="s">
        <v>146</v>
      </c>
      <c r="LOL91" t="s">
        <v>145</v>
      </c>
      <c r="LOM91" t="s">
        <v>398</v>
      </c>
      <c r="LON91">
        <v>1</v>
      </c>
      <c r="LOO91" t="s">
        <v>436</v>
      </c>
      <c r="LOP91" t="s">
        <v>437</v>
      </c>
      <c r="LOQ91" t="s">
        <v>428</v>
      </c>
      <c r="LOS91" t="s">
        <v>146</v>
      </c>
      <c r="LOT91" t="s">
        <v>145</v>
      </c>
      <c r="LOU91" t="s">
        <v>398</v>
      </c>
      <c r="LOV91">
        <v>1</v>
      </c>
      <c r="LOW91" t="s">
        <v>436</v>
      </c>
      <c r="LOX91" t="s">
        <v>437</v>
      </c>
      <c r="LOY91" t="s">
        <v>428</v>
      </c>
      <c r="LPA91" t="s">
        <v>146</v>
      </c>
      <c r="LPB91" t="s">
        <v>145</v>
      </c>
      <c r="LPC91" t="s">
        <v>398</v>
      </c>
      <c r="LPD91">
        <v>1</v>
      </c>
      <c r="LPE91" t="s">
        <v>436</v>
      </c>
      <c r="LPF91" t="s">
        <v>437</v>
      </c>
      <c r="LPG91" t="s">
        <v>428</v>
      </c>
      <c r="LPI91" t="s">
        <v>146</v>
      </c>
      <c r="LPJ91" t="s">
        <v>145</v>
      </c>
      <c r="LPK91" t="s">
        <v>398</v>
      </c>
      <c r="LPL91">
        <v>1</v>
      </c>
      <c r="LPM91" t="s">
        <v>436</v>
      </c>
      <c r="LPN91" t="s">
        <v>437</v>
      </c>
      <c r="LPO91" t="s">
        <v>428</v>
      </c>
      <c r="LPQ91" t="s">
        <v>146</v>
      </c>
      <c r="LPR91" t="s">
        <v>145</v>
      </c>
      <c r="LPS91" t="s">
        <v>398</v>
      </c>
      <c r="LPT91">
        <v>1</v>
      </c>
      <c r="LPU91" t="s">
        <v>436</v>
      </c>
      <c r="LPV91" t="s">
        <v>437</v>
      </c>
      <c r="LPW91" t="s">
        <v>428</v>
      </c>
      <c r="LPY91" t="s">
        <v>146</v>
      </c>
      <c r="LPZ91" t="s">
        <v>145</v>
      </c>
      <c r="LQA91" t="s">
        <v>398</v>
      </c>
      <c r="LQB91">
        <v>1</v>
      </c>
      <c r="LQC91" t="s">
        <v>436</v>
      </c>
      <c r="LQD91" t="s">
        <v>437</v>
      </c>
      <c r="LQE91" t="s">
        <v>428</v>
      </c>
      <c r="LQG91" t="s">
        <v>146</v>
      </c>
      <c r="LQH91" t="s">
        <v>145</v>
      </c>
      <c r="LQI91" t="s">
        <v>398</v>
      </c>
      <c r="LQJ91">
        <v>1</v>
      </c>
      <c r="LQK91" t="s">
        <v>436</v>
      </c>
      <c r="LQL91" t="s">
        <v>437</v>
      </c>
      <c r="LQM91" t="s">
        <v>428</v>
      </c>
      <c r="LQO91" t="s">
        <v>146</v>
      </c>
      <c r="LQP91" t="s">
        <v>145</v>
      </c>
      <c r="LQQ91" t="s">
        <v>398</v>
      </c>
      <c r="LQR91">
        <v>1</v>
      </c>
      <c r="LQS91" t="s">
        <v>436</v>
      </c>
      <c r="LQT91" t="s">
        <v>437</v>
      </c>
      <c r="LQU91" t="s">
        <v>428</v>
      </c>
      <c r="LQW91" t="s">
        <v>146</v>
      </c>
      <c r="LQX91" t="s">
        <v>145</v>
      </c>
      <c r="LQY91" t="s">
        <v>398</v>
      </c>
      <c r="LQZ91">
        <v>1</v>
      </c>
      <c r="LRA91" t="s">
        <v>436</v>
      </c>
      <c r="LRB91" t="s">
        <v>437</v>
      </c>
      <c r="LRC91" t="s">
        <v>428</v>
      </c>
      <c r="LRE91" t="s">
        <v>146</v>
      </c>
      <c r="LRF91" t="s">
        <v>145</v>
      </c>
      <c r="LRG91" t="s">
        <v>398</v>
      </c>
      <c r="LRH91">
        <v>1</v>
      </c>
      <c r="LRI91" t="s">
        <v>436</v>
      </c>
      <c r="LRJ91" t="s">
        <v>437</v>
      </c>
      <c r="LRK91" t="s">
        <v>428</v>
      </c>
      <c r="LRM91" t="s">
        <v>146</v>
      </c>
      <c r="LRN91" t="s">
        <v>145</v>
      </c>
      <c r="LRO91" t="s">
        <v>398</v>
      </c>
      <c r="LRP91">
        <v>1</v>
      </c>
      <c r="LRQ91" t="s">
        <v>436</v>
      </c>
      <c r="LRR91" t="s">
        <v>437</v>
      </c>
      <c r="LRS91" t="s">
        <v>428</v>
      </c>
      <c r="LRU91" t="s">
        <v>146</v>
      </c>
      <c r="LRV91" t="s">
        <v>145</v>
      </c>
      <c r="LRW91" t="s">
        <v>398</v>
      </c>
      <c r="LRX91">
        <v>1</v>
      </c>
      <c r="LRY91" t="s">
        <v>436</v>
      </c>
      <c r="LRZ91" t="s">
        <v>437</v>
      </c>
      <c r="LSA91" t="s">
        <v>428</v>
      </c>
      <c r="LSC91" t="s">
        <v>146</v>
      </c>
      <c r="LSD91" t="s">
        <v>145</v>
      </c>
      <c r="LSE91" t="s">
        <v>398</v>
      </c>
      <c r="LSF91">
        <v>1</v>
      </c>
      <c r="LSG91" t="s">
        <v>436</v>
      </c>
      <c r="LSH91" t="s">
        <v>437</v>
      </c>
      <c r="LSI91" t="s">
        <v>428</v>
      </c>
      <c r="LSK91" t="s">
        <v>146</v>
      </c>
      <c r="LSL91" t="s">
        <v>145</v>
      </c>
      <c r="LSM91" t="s">
        <v>398</v>
      </c>
      <c r="LSN91">
        <v>1</v>
      </c>
      <c r="LSO91" t="s">
        <v>436</v>
      </c>
      <c r="LSP91" t="s">
        <v>437</v>
      </c>
      <c r="LSQ91" t="s">
        <v>428</v>
      </c>
      <c r="LSS91" t="s">
        <v>146</v>
      </c>
      <c r="LST91" t="s">
        <v>145</v>
      </c>
      <c r="LSU91" t="s">
        <v>398</v>
      </c>
      <c r="LSV91">
        <v>1</v>
      </c>
      <c r="LSW91" t="s">
        <v>436</v>
      </c>
      <c r="LSX91" t="s">
        <v>437</v>
      </c>
      <c r="LSY91" t="s">
        <v>428</v>
      </c>
      <c r="LTA91" t="s">
        <v>146</v>
      </c>
      <c r="LTB91" t="s">
        <v>145</v>
      </c>
      <c r="LTC91" t="s">
        <v>398</v>
      </c>
      <c r="LTD91">
        <v>1</v>
      </c>
      <c r="LTE91" t="s">
        <v>436</v>
      </c>
      <c r="LTF91" t="s">
        <v>437</v>
      </c>
      <c r="LTG91" t="s">
        <v>428</v>
      </c>
      <c r="LTI91" t="s">
        <v>146</v>
      </c>
      <c r="LTJ91" t="s">
        <v>145</v>
      </c>
      <c r="LTK91" t="s">
        <v>398</v>
      </c>
      <c r="LTL91">
        <v>1</v>
      </c>
      <c r="LTM91" t="s">
        <v>436</v>
      </c>
      <c r="LTN91" t="s">
        <v>437</v>
      </c>
      <c r="LTO91" t="s">
        <v>428</v>
      </c>
      <c r="LTQ91" t="s">
        <v>146</v>
      </c>
      <c r="LTR91" t="s">
        <v>145</v>
      </c>
      <c r="LTS91" t="s">
        <v>398</v>
      </c>
      <c r="LTT91">
        <v>1</v>
      </c>
      <c r="LTU91" t="s">
        <v>436</v>
      </c>
      <c r="LTV91" t="s">
        <v>437</v>
      </c>
      <c r="LTW91" t="s">
        <v>428</v>
      </c>
      <c r="LTY91" t="s">
        <v>146</v>
      </c>
      <c r="LTZ91" t="s">
        <v>145</v>
      </c>
      <c r="LUA91" t="s">
        <v>398</v>
      </c>
      <c r="LUB91">
        <v>1</v>
      </c>
      <c r="LUC91" t="s">
        <v>436</v>
      </c>
      <c r="LUD91" t="s">
        <v>437</v>
      </c>
      <c r="LUE91" t="s">
        <v>428</v>
      </c>
      <c r="LUG91" t="s">
        <v>146</v>
      </c>
      <c r="LUH91" t="s">
        <v>145</v>
      </c>
      <c r="LUI91" t="s">
        <v>398</v>
      </c>
      <c r="LUJ91">
        <v>1</v>
      </c>
      <c r="LUK91" t="s">
        <v>436</v>
      </c>
      <c r="LUL91" t="s">
        <v>437</v>
      </c>
      <c r="LUM91" t="s">
        <v>428</v>
      </c>
      <c r="LUO91" t="s">
        <v>146</v>
      </c>
      <c r="LUP91" t="s">
        <v>145</v>
      </c>
      <c r="LUQ91" t="s">
        <v>398</v>
      </c>
      <c r="LUR91">
        <v>1</v>
      </c>
      <c r="LUS91" t="s">
        <v>436</v>
      </c>
      <c r="LUT91" t="s">
        <v>437</v>
      </c>
      <c r="LUU91" t="s">
        <v>428</v>
      </c>
      <c r="LUW91" t="s">
        <v>146</v>
      </c>
      <c r="LUX91" t="s">
        <v>145</v>
      </c>
      <c r="LUY91" t="s">
        <v>398</v>
      </c>
      <c r="LUZ91">
        <v>1</v>
      </c>
      <c r="LVA91" t="s">
        <v>436</v>
      </c>
      <c r="LVB91" t="s">
        <v>437</v>
      </c>
      <c r="LVC91" t="s">
        <v>428</v>
      </c>
      <c r="LVE91" t="s">
        <v>146</v>
      </c>
      <c r="LVF91" t="s">
        <v>145</v>
      </c>
      <c r="LVG91" t="s">
        <v>398</v>
      </c>
      <c r="LVH91">
        <v>1</v>
      </c>
      <c r="LVI91" t="s">
        <v>436</v>
      </c>
      <c r="LVJ91" t="s">
        <v>437</v>
      </c>
      <c r="LVK91" t="s">
        <v>428</v>
      </c>
      <c r="LVM91" t="s">
        <v>146</v>
      </c>
      <c r="LVN91" t="s">
        <v>145</v>
      </c>
      <c r="LVO91" t="s">
        <v>398</v>
      </c>
      <c r="LVP91">
        <v>1</v>
      </c>
      <c r="LVQ91" t="s">
        <v>436</v>
      </c>
      <c r="LVR91" t="s">
        <v>437</v>
      </c>
      <c r="LVS91" t="s">
        <v>428</v>
      </c>
      <c r="LVU91" t="s">
        <v>146</v>
      </c>
      <c r="LVV91" t="s">
        <v>145</v>
      </c>
      <c r="LVW91" t="s">
        <v>398</v>
      </c>
      <c r="LVX91">
        <v>1</v>
      </c>
      <c r="LVY91" t="s">
        <v>436</v>
      </c>
      <c r="LVZ91" t="s">
        <v>437</v>
      </c>
      <c r="LWA91" t="s">
        <v>428</v>
      </c>
      <c r="LWC91" t="s">
        <v>146</v>
      </c>
      <c r="LWD91" t="s">
        <v>145</v>
      </c>
      <c r="LWE91" t="s">
        <v>398</v>
      </c>
      <c r="LWF91">
        <v>1</v>
      </c>
      <c r="LWG91" t="s">
        <v>436</v>
      </c>
      <c r="LWH91" t="s">
        <v>437</v>
      </c>
      <c r="LWI91" t="s">
        <v>428</v>
      </c>
      <c r="LWK91" t="s">
        <v>146</v>
      </c>
      <c r="LWL91" t="s">
        <v>145</v>
      </c>
      <c r="LWM91" t="s">
        <v>398</v>
      </c>
      <c r="LWN91">
        <v>1</v>
      </c>
      <c r="LWO91" t="s">
        <v>436</v>
      </c>
      <c r="LWP91" t="s">
        <v>437</v>
      </c>
      <c r="LWQ91" t="s">
        <v>428</v>
      </c>
      <c r="LWS91" t="s">
        <v>146</v>
      </c>
      <c r="LWT91" t="s">
        <v>145</v>
      </c>
      <c r="LWU91" t="s">
        <v>398</v>
      </c>
      <c r="LWV91">
        <v>1</v>
      </c>
      <c r="LWW91" t="s">
        <v>436</v>
      </c>
      <c r="LWX91" t="s">
        <v>437</v>
      </c>
      <c r="LWY91" t="s">
        <v>428</v>
      </c>
      <c r="LXA91" t="s">
        <v>146</v>
      </c>
      <c r="LXB91" t="s">
        <v>145</v>
      </c>
      <c r="LXC91" t="s">
        <v>398</v>
      </c>
      <c r="LXD91">
        <v>1</v>
      </c>
      <c r="LXE91" t="s">
        <v>436</v>
      </c>
      <c r="LXF91" t="s">
        <v>437</v>
      </c>
      <c r="LXG91" t="s">
        <v>428</v>
      </c>
      <c r="LXI91" t="s">
        <v>146</v>
      </c>
      <c r="LXJ91" t="s">
        <v>145</v>
      </c>
      <c r="LXK91" t="s">
        <v>398</v>
      </c>
      <c r="LXL91">
        <v>1</v>
      </c>
      <c r="LXM91" t="s">
        <v>436</v>
      </c>
      <c r="LXN91" t="s">
        <v>437</v>
      </c>
      <c r="LXO91" t="s">
        <v>428</v>
      </c>
      <c r="LXQ91" t="s">
        <v>146</v>
      </c>
      <c r="LXR91" t="s">
        <v>145</v>
      </c>
      <c r="LXS91" t="s">
        <v>398</v>
      </c>
      <c r="LXT91">
        <v>1</v>
      </c>
      <c r="LXU91" t="s">
        <v>436</v>
      </c>
      <c r="LXV91" t="s">
        <v>437</v>
      </c>
      <c r="LXW91" t="s">
        <v>428</v>
      </c>
      <c r="LXY91" t="s">
        <v>146</v>
      </c>
      <c r="LXZ91" t="s">
        <v>145</v>
      </c>
      <c r="LYA91" t="s">
        <v>398</v>
      </c>
      <c r="LYB91">
        <v>1</v>
      </c>
      <c r="LYC91" t="s">
        <v>436</v>
      </c>
      <c r="LYD91" t="s">
        <v>437</v>
      </c>
      <c r="LYE91" t="s">
        <v>428</v>
      </c>
      <c r="LYG91" t="s">
        <v>146</v>
      </c>
      <c r="LYH91" t="s">
        <v>145</v>
      </c>
      <c r="LYI91" t="s">
        <v>398</v>
      </c>
      <c r="LYJ91">
        <v>1</v>
      </c>
      <c r="LYK91" t="s">
        <v>436</v>
      </c>
      <c r="LYL91" t="s">
        <v>437</v>
      </c>
      <c r="LYM91" t="s">
        <v>428</v>
      </c>
      <c r="LYO91" t="s">
        <v>146</v>
      </c>
      <c r="LYP91" t="s">
        <v>145</v>
      </c>
      <c r="LYQ91" t="s">
        <v>398</v>
      </c>
      <c r="LYR91">
        <v>1</v>
      </c>
      <c r="LYS91" t="s">
        <v>436</v>
      </c>
      <c r="LYT91" t="s">
        <v>437</v>
      </c>
      <c r="LYU91" t="s">
        <v>428</v>
      </c>
      <c r="LYW91" t="s">
        <v>146</v>
      </c>
      <c r="LYX91" t="s">
        <v>145</v>
      </c>
      <c r="LYY91" t="s">
        <v>398</v>
      </c>
      <c r="LYZ91">
        <v>1</v>
      </c>
      <c r="LZA91" t="s">
        <v>436</v>
      </c>
      <c r="LZB91" t="s">
        <v>437</v>
      </c>
      <c r="LZC91" t="s">
        <v>428</v>
      </c>
      <c r="LZE91" t="s">
        <v>146</v>
      </c>
      <c r="LZF91" t="s">
        <v>145</v>
      </c>
      <c r="LZG91" t="s">
        <v>398</v>
      </c>
      <c r="LZH91">
        <v>1</v>
      </c>
      <c r="LZI91" t="s">
        <v>436</v>
      </c>
      <c r="LZJ91" t="s">
        <v>437</v>
      </c>
      <c r="LZK91" t="s">
        <v>428</v>
      </c>
      <c r="LZM91" t="s">
        <v>146</v>
      </c>
      <c r="LZN91" t="s">
        <v>145</v>
      </c>
      <c r="LZO91" t="s">
        <v>398</v>
      </c>
      <c r="LZP91">
        <v>1</v>
      </c>
      <c r="LZQ91" t="s">
        <v>436</v>
      </c>
      <c r="LZR91" t="s">
        <v>437</v>
      </c>
      <c r="LZS91" t="s">
        <v>428</v>
      </c>
      <c r="LZU91" t="s">
        <v>146</v>
      </c>
      <c r="LZV91" t="s">
        <v>145</v>
      </c>
      <c r="LZW91" t="s">
        <v>398</v>
      </c>
      <c r="LZX91">
        <v>1</v>
      </c>
      <c r="LZY91" t="s">
        <v>436</v>
      </c>
      <c r="LZZ91" t="s">
        <v>437</v>
      </c>
      <c r="MAA91" t="s">
        <v>428</v>
      </c>
      <c r="MAC91" t="s">
        <v>146</v>
      </c>
      <c r="MAD91" t="s">
        <v>145</v>
      </c>
      <c r="MAE91" t="s">
        <v>398</v>
      </c>
      <c r="MAF91">
        <v>1</v>
      </c>
      <c r="MAG91" t="s">
        <v>436</v>
      </c>
      <c r="MAH91" t="s">
        <v>437</v>
      </c>
      <c r="MAI91" t="s">
        <v>428</v>
      </c>
      <c r="MAK91" t="s">
        <v>146</v>
      </c>
      <c r="MAL91" t="s">
        <v>145</v>
      </c>
      <c r="MAM91" t="s">
        <v>398</v>
      </c>
      <c r="MAN91">
        <v>1</v>
      </c>
      <c r="MAO91" t="s">
        <v>436</v>
      </c>
      <c r="MAP91" t="s">
        <v>437</v>
      </c>
      <c r="MAQ91" t="s">
        <v>428</v>
      </c>
      <c r="MAS91" t="s">
        <v>146</v>
      </c>
      <c r="MAT91" t="s">
        <v>145</v>
      </c>
      <c r="MAU91" t="s">
        <v>398</v>
      </c>
      <c r="MAV91">
        <v>1</v>
      </c>
      <c r="MAW91" t="s">
        <v>436</v>
      </c>
      <c r="MAX91" t="s">
        <v>437</v>
      </c>
      <c r="MAY91" t="s">
        <v>428</v>
      </c>
      <c r="MBA91" t="s">
        <v>146</v>
      </c>
      <c r="MBB91" t="s">
        <v>145</v>
      </c>
      <c r="MBC91" t="s">
        <v>398</v>
      </c>
      <c r="MBD91">
        <v>1</v>
      </c>
      <c r="MBE91" t="s">
        <v>436</v>
      </c>
      <c r="MBF91" t="s">
        <v>437</v>
      </c>
      <c r="MBG91" t="s">
        <v>428</v>
      </c>
      <c r="MBI91" t="s">
        <v>146</v>
      </c>
      <c r="MBJ91" t="s">
        <v>145</v>
      </c>
      <c r="MBK91" t="s">
        <v>398</v>
      </c>
      <c r="MBL91">
        <v>1</v>
      </c>
      <c r="MBM91" t="s">
        <v>436</v>
      </c>
      <c r="MBN91" t="s">
        <v>437</v>
      </c>
      <c r="MBO91" t="s">
        <v>428</v>
      </c>
      <c r="MBQ91" t="s">
        <v>146</v>
      </c>
      <c r="MBR91" t="s">
        <v>145</v>
      </c>
      <c r="MBS91" t="s">
        <v>398</v>
      </c>
      <c r="MBT91">
        <v>1</v>
      </c>
      <c r="MBU91" t="s">
        <v>436</v>
      </c>
      <c r="MBV91" t="s">
        <v>437</v>
      </c>
      <c r="MBW91" t="s">
        <v>428</v>
      </c>
      <c r="MBY91" t="s">
        <v>146</v>
      </c>
      <c r="MBZ91" t="s">
        <v>145</v>
      </c>
      <c r="MCA91" t="s">
        <v>398</v>
      </c>
      <c r="MCB91">
        <v>1</v>
      </c>
      <c r="MCC91" t="s">
        <v>436</v>
      </c>
      <c r="MCD91" t="s">
        <v>437</v>
      </c>
      <c r="MCE91" t="s">
        <v>428</v>
      </c>
      <c r="MCG91" t="s">
        <v>146</v>
      </c>
      <c r="MCH91" t="s">
        <v>145</v>
      </c>
      <c r="MCI91" t="s">
        <v>398</v>
      </c>
      <c r="MCJ91">
        <v>1</v>
      </c>
      <c r="MCK91" t="s">
        <v>436</v>
      </c>
      <c r="MCL91" t="s">
        <v>437</v>
      </c>
      <c r="MCM91" t="s">
        <v>428</v>
      </c>
      <c r="MCO91" t="s">
        <v>146</v>
      </c>
      <c r="MCP91" t="s">
        <v>145</v>
      </c>
      <c r="MCQ91" t="s">
        <v>398</v>
      </c>
      <c r="MCR91">
        <v>1</v>
      </c>
      <c r="MCS91" t="s">
        <v>436</v>
      </c>
      <c r="MCT91" t="s">
        <v>437</v>
      </c>
      <c r="MCU91" t="s">
        <v>428</v>
      </c>
      <c r="MCW91" t="s">
        <v>146</v>
      </c>
      <c r="MCX91" t="s">
        <v>145</v>
      </c>
      <c r="MCY91" t="s">
        <v>398</v>
      </c>
      <c r="MCZ91">
        <v>1</v>
      </c>
      <c r="MDA91" t="s">
        <v>436</v>
      </c>
      <c r="MDB91" t="s">
        <v>437</v>
      </c>
      <c r="MDC91" t="s">
        <v>428</v>
      </c>
      <c r="MDE91" t="s">
        <v>146</v>
      </c>
      <c r="MDF91" t="s">
        <v>145</v>
      </c>
      <c r="MDG91" t="s">
        <v>398</v>
      </c>
      <c r="MDH91">
        <v>1</v>
      </c>
      <c r="MDI91" t="s">
        <v>436</v>
      </c>
      <c r="MDJ91" t="s">
        <v>437</v>
      </c>
      <c r="MDK91" t="s">
        <v>428</v>
      </c>
      <c r="MDM91" t="s">
        <v>146</v>
      </c>
      <c r="MDN91" t="s">
        <v>145</v>
      </c>
      <c r="MDO91" t="s">
        <v>398</v>
      </c>
      <c r="MDP91">
        <v>1</v>
      </c>
      <c r="MDQ91" t="s">
        <v>436</v>
      </c>
      <c r="MDR91" t="s">
        <v>437</v>
      </c>
      <c r="MDS91" t="s">
        <v>428</v>
      </c>
      <c r="MDU91" t="s">
        <v>146</v>
      </c>
      <c r="MDV91" t="s">
        <v>145</v>
      </c>
      <c r="MDW91" t="s">
        <v>398</v>
      </c>
      <c r="MDX91">
        <v>1</v>
      </c>
      <c r="MDY91" t="s">
        <v>436</v>
      </c>
      <c r="MDZ91" t="s">
        <v>437</v>
      </c>
      <c r="MEA91" t="s">
        <v>428</v>
      </c>
      <c r="MEC91" t="s">
        <v>146</v>
      </c>
      <c r="MED91" t="s">
        <v>145</v>
      </c>
      <c r="MEE91" t="s">
        <v>398</v>
      </c>
      <c r="MEF91">
        <v>1</v>
      </c>
      <c r="MEG91" t="s">
        <v>436</v>
      </c>
      <c r="MEH91" t="s">
        <v>437</v>
      </c>
      <c r="MEI91" t="s">
        <v>428</v>
      </c>
      <c r="MEK91" t="s">
        <v>146</v>
      </c>
      <c r="MEL91" t="s">
        <v>145</v>
      </c>
      <c r="MEM91" t="s">
        <v>398</v>
      </c>
      <c r="MEN91">
        <v>1</v>
      </c>
      <c r="MEO91" t="s">
        <v>436</v>
      </c>
      <c r="MEP91" t="s">
        <v>437</v>
      </c>
      <c r="MEQ91" t="s">
        <v>428</v>
      </c>
      <c r="MES91" t="s">
        <v>146</v>
      </c>
      <c r="MET91" t="s">
        <v>145</v>
      </c>
      <c r="MEU91" t="s">
        <v>398</v>
      </c>
      <c r="MEV91">
        <v>1</v>
      </c>
      <c r="MEW91" t="s">
        <v>436</v>
      </c>
      <c r="MEX91" t="s">
        <v>437</v>
      </c>
      <c r="MEY91" t="s">
        <v>428</v>
      </c>
      <c r="MFA91" t="s">
        <v>146</v>
      </c>
      <c r="MFB91" t="s">
        <v>145</v>
      </c>
      <c r="MFC91" t="s">
        <v>398</v>
      </c>
      <c r="MFD91">
        <v>1</v>
      </c>
      <c r="MFE91" t="s">
        <v>436</v>
      </c>
      <c r="MFF91" t="s">
        <v>437</v>
      </c>
      <c r="MFG91" t="s">
        <v>428</v>
      </c>
      <c r="MFI91" t="s">
        <v>146</v>
      </c>
      <c r="MFJ91" t="s">
        <v>145</v>
      </c>
      <c r="MFK91" t="s">
        <v>398</v>
      </c>
      <c r="MFL91">
        <v>1</v>
      </c>
      <c r="MFM91" t="s">
        <v>436</v>
      </c>
      <c r="MFN91" t="s">
        <v>437</v>
      </c>
      <c r="MFO91" t="s">
        <v>428</v>
      </c>
      <c r="MFQ91" t="s">
        <v>146</v>
      </c>
      <c r="MFR91" t="s">
        <v>145</v>
      </c>
      <c r="MFS91" t="s">
        <v>398</v>
      </c>
      <c r="MFT91">
        <v>1</v>
      </c>
      <c r="MFU91" t="s">
        <v>436</v>
      </c>
      <c r="MFV91" t="s">
        <v>437</v>
      </c>
      <c r="MFW91" t="s">
        <v>428</v>
      </c>
      <c r="MFY91" t="s">
        <v>146</v>
      </c>
      <c r="MFZ91" t="s">
        <v>145</v>
      </c>
      <c r="MGA91" t="s">
        <v>398</v>
      </c>
      <c r="MGB91">
        <v>1</v>
      </c>
      <c r="MGC91" t="s">
        <v>436</v>
      </c>
      <c r="MGD91" t="s">
        <v>437</v>
      </c>
      <c r="MGE91" t="s">
        <v>428</v>
      </c>
      <c r="MGG91" t="s">
        <v>146</v>
      </c>
      <c r="MGH91" t="s">
        <v>145</v>
      </c>
      <c r="MGI91" t="s">
        <v>398</v>
      </c>
      <c r="MGJ91">
        <v>1</v>
      </c>
      <c r="MGK91" t="s">
        <v>436</v>
      </c>
      <c r="MGL91" t="s">
        <v>437</v>
      </c>
      <c r="MGM91" t="s">
        <v>428</v>
      </c>
      <c r="MGO91" t="s">
        <v>146</v>
      </c>
      <c r="MGP91" t="s">
        <v>145</v>
      </c>
      <c r="MGQ91" t="s">
        <v>398</v>
      </c>
      <c r="MGR91">
        <v>1</v>
      </c>
      <c r="MGS91" t="s">
        <v>436</v>
      </c>
      <c r="MGT91" t="s">
        <v>437</v>
      </c>
      <c r="MGU91" t="s">
        <v>428</v>
      </c>
      <c r="MGW91" t="s">
        <v>146</v>
      </c>
      <c r="MGX91" t="s">
        <v>145</v>
      </c>
      <c r="MGY91" t="s">
        <v>398</v>
      </c>
      <c r="MGZ91">
        <v>1</v>
      </c>
      <c r="MHA91" t="s">
        <v>436</v>
      </c>
      <c r="MHB91" t="s">
        <v>437</v>
      </c>
      <c r="MHC91" t="s">
        <v>428</v>
      </c>
      <c r="MHE91" t="s">
        <v>146</v>
      </c>
      <c r="MHF91" t="s">
        <v>145</v>
      </c>
      <c r="MHG91" t="s">
        <v>398</v>
      </c>
      <c r="MHH91">
        <v>1</v>
      </c>
      <c r="MHI91" t="s">
        <v>436</v>
      </c>
      <c r="MHJ91" t="s">
        <v>437</v>
      </c>
      <c r="MHK91" t="s">
        <v>428</v>
      </c>
      <c r="MHM91" t="s">
        <v>146</v>
      </c>
      <c r="MHN91" t="s">
        <v>145</v>
      </c>
      <c r="MHO91" t="s">
        <v>398</v>
      </c>
      <c r="MHP91">
        <v>1</v>
      </c>
      <c r="MHQ91" t="s">
        <v>436</v>
      </c>
      <c r="MHR91" t="s">
        <v>437</v>
      </c>
      <c r="MHS91" t="s">
        <v>428</v>
      </c>
      <c r="MHU91" t="s">
        <v>146</v>
      </c>
      <c r="MHV91" t="s">
        <v>145</v>
      </c>
      <c r="MHW91" t="s">
        <v>398</v>
      </c>
      <c r="MHX91">
        <v>1</v>
      </c>
      <c r="MHY91" t="s">
        <v>436</v>
      </c>
      <c r="MHZ91" t="s">
        <v>437</v>
      </c>
      <c r="MIA91" t="s">
        <v>428</v>
      </c>
      <c r="MIC91" t="s">
        <v>146</v>
      </c>
      <c r="MID91" t="s">
        <v>145</v>
      </c>
      <c r="MIE91" t="s">
        <v>398</v>
      </c>
      <c r="MIF91">
        <v>1</v>
      </c>
      <c r="MIG91" t="s">
        <v>436</v>
      </c>
      <c r="MIH91" t="s">
        <v>437</v>
      </c>
      <c r="MII91" t="s">
        <v>428</v>
      </c>
      <c r="MIK91" t="s">
        <v>146</v>
      </c>
      <c r="MIL91" t="s">
        <v>145</v>
      </c>
      <c r="MIM91" t="s">
        <v>398</v>
      </c>
      <c r="MIN91">
        <v>1</v>
      </c>
      <c r="MIO91" t="s">
        <v>436</v>
      </c>
      <c r="MIP91" t="s">
        <v>437</v>
      </c>
      <c r="MIQ91" t="s">
        <v>428</v>
      </c>
      <c r="MIS91" t="s">
        <v>146</v>
      </c>
      <c r="MIT91" t="s">
        <v>145</v>
      </c>
      <c r="MIU91" t="s">
        <v>398</v>
      </c>
      <c r="MIV91">
        <v>1</v>
      </c>
      <c r="MIW91" t="s">
        <v>436</v>
      </c>
      <c r="MIX91" t="s">
        <v>437</v>
      </c>
      <c r="MIY91" t="s">
        <v>428</v>
      </c>
      <c r="MJA91" t="s">
        <v>146</v>
      </c>
      <c r="MJB91" t="s">
        <v>145</v>
      </c>
      <c r="MJC91" t="s">
        <v>398</v>
      </c>
      <c r="MJD91">
        <v>1</v>
      </c>
      <c r="MJE91" t="s">
        <v>436</v>
      </c>
      <c r="MJF91" t="s">
        <v>437</v>
      </c>
      <c r="MJG91" t="s">
        <v>428</v>
      </c>
      <c r="MJI91" t="s">
        <v>146</v>
      </c>
      <c r="MJJ91" t="s">
        <v>145</v>
      </c>
      <c r="MJK91" t="s">
        <v>398</v>
      </c>
      <c r="MJL91">
        <v>1</v>
      </c>
      <c r="MJM91" t="s">
        <v>436</v>
      </c>
      <c r="MJN91" t="s">
        <v>437</v>
      </c>
      <c r="MJO91" t="s">
        <v>428</v>
      </c>
      <c r="MJQ91" t="s">
        <v>146</v>
      </c>
      <c r="MJR91" t="s">
        <v>145</v>
      </c>
      <c r="MJS91" t="s">
        <v>398</v>
      </c>
      <c r="MJT91">
        <v>1</v>
      </c>
      <c r="MJU91" t="s">
        <v>436</v>
      </c>
      <c r="MJV91" t="s">
        <v>437</v>
      </c>
      <c r="MJW91" t="s">
        <v>428</v>
      </c>
      <c r="MJY91" t="s">
        <v>146</v>
      </c>
      <c r="MJZ91" t="s">
        <v>145</v>
      </c>
      <c r="MKA91" t="s">
        <v>398</v>
      </c>
      <c r="MKB91">
        <v>1</v>
      </c>
      <c r="MKC91" t="s">
        <v>436</v>
      </c>
      <c r="MKD91" t="s">
        <v>437</v>
      </c>
      <c r="MKE91" t="s">
        <v>428</v>
      </c>
      <c r="MKG91" t="s">
        <v>146</v>
      </c>
      <c r="MKH91" t="s">
        <v>145</v>
      </c>
      <c r="MKI91" t="s">
        <v>398</v>
      </c>
      <c r="MKJ91">
        <v>1</v>
      </c>
      <c r="MKK91" t="s">
        <v>436</v>
      </c>
      <c r="MKL91" t="s">
        <v>437</v>
      </c>
      <c r="MKM91" t="s">
        <v>428</v>
      </c>
      <c r="MKO91" t="s">
        <v>146</v>
      </c>
      <c r="MKP91" t="s">
        <v>145</v>
      </c>
      <c r="MKQ91" t="s">
        <v>398</v>
      </c>
      <c r="MKR91">
        <v>1</v>
      </c>
      <c r="MKS91" t="s">
        <v>436</v>
      </c>
      <c r="MKT91" t="s">
        <v>437</v>
      </c>
      <c r="MKU91" t="s">
        <v>428</v>
      </c>
      <c r="MKW91" t="s">
        <v>146</v>
      </c>
      <c r="MKX91" t="s">
        <v>145</v>
      </c>
      <c r="MKY91" t="s">
        <v>398</v>
      </c>
      <c r="MKZ91">
        <v>1</v>
      </c>
      <c r="MLA91" t="s">
        <v>436</v>
      </c>
      <c r="MLB91" t="s">
        <v>437</v>
      </c>
      <c r="MLC91" t="s">
        <v>428</v>
      </c>
      <c r="MLE91" t="s">
        <v>146</v>
      </c>
      <c r="MLF91" t="s">
        <v>145</v>
      </c>
      <c r="MLG91" t="s">
        <v>398</v>
      </c>
      <c r="MLH91">
        <v>1</v>
      </c>
      <c r="MLI91" t="s">
        <v>436</v>
      </c>
      <c r="MLJ91" t="s">
        <v>437</v>
      </c>
      <c r="MLK91" t="s">
        <v>428</v>
      </c>
      <c r="MLM91" t="s">
        <v>146</v>
      </c>
      <c r="MLN91" t="s">
        <v>145</v>
      </c>
      <c r="MLO91" t="s">
        <v>398</v>
      </c>
      <c r="MLP91">
        <v>1</v>
      </c>
      <c r="MLQ91" t="s">
        <v>436</v>
      </c>
      <c r="MLR91" t="s">
        <v>437</v>
      </c>
      <c r="MLS91" t="s">
        <v>428</v>
      </c>
      <c r="MLU91" t="s">
        <v>146</v>
      </c>
      <c r="MLV91" t="s">
        <v>145</v>
      </c>
      <c r="MLW91" t="s">
        <v>398</v>
      </c>
      <c r="MLX91">
        <v>1</v>
      </c>
      <c r="MLY91" t="s">
        <v>436</v>
      </c>
      <c r="MLZ91" t="s">
        <v>437</v>
      </c>
      <c r="MMA91" t="s">
        <v>428</v>
      </c>
      <c r="MMC91" t="s">
        <v>146</v>
      </c>
      <c r="MMD91" t="s">
        <v>145</v>
      </c>
      <c r="MME91" t="s">
        <v>398</v>
      </c>
      <c r="MMF91">
        <v>1</v>
      </c>
      <c r="MMG91" t="s">
        <v>436</v>
      </c>
      <c r="MMH91" t="s">
        <v>437</v>
      </c>
      <c r="MMI91" t="s">
        <v>428</v>
      </c>
      <c r="MMK91" t="s">
        <v>146</v>
      </c>
      <c r="MML91" t="s">
        <v>145</v>
      </c>
      <c r="MMM91" t="s">
        <v>398</v>
      </c>
      <c r="MMN91">
        <v>1</v>
      </c>
      <c r="MMO91" t="s">
        <v>436</v>
      </c>
      <c r="MMP91" t="s">
        <v>437</v>
      </c>
      <c r="MMQ91" t="s">
        <v>428</v>
      </c>
      <c r="MMS91" t="s">
        <v>146</v>
      </c>
      <c r="MMT91" t="s">
        <v>145</v>
      </c>
      <c r="MMU91" t="s">
        <v>398</v>
      </c>
      <c r="MMV91">
        <v>1</v>
      </c>
      <c r="MMW91" t="s">
        <v>436</v>
      </c>
      <c r="MMX91" t="s">
        <v>437</v>
      </c>
      <c r="MMY91" t="s">
        <v>428</v>
      </c>
      <c r="MNA91" t="s">
        <v>146</v>
      </c>
      <c r="MNB91" t="s">
        <v>145</v>
      </c>
      <c r="MNC91" t="s">
        <v>398</v>
      </c>
      <c r="MND91">
        <v>1</v>
      </c>
      <c r="MNE91" t="s">
        <v>436</v>
      </c>
      <c r="MNF91" t="s">
        <v>437</v>
      </c>
      <c r="MNG91" t="s">
        <v>428</v>
      </c>
      <c r="MNI91" t="s">
        <v>146</v>
      </c>
      <c r="MNJ91" t="s">
        <v>145</v>
      </c>
      <c r="MNK91" t="s">
        <v>398</v>
      </c>
      <c r="MNL91">
        <v>1</v>
      </c>
      <c r="MNM91" t="s">
        <v>436</v>
      </c>
      <c r="MNN91" t="s">
        <v>437</v>
      </c>
      <c r="MNO91" t="s">
        <v>428</v>
      </c>
      <c r="MNQ91" t="s">
        <v>146</v>
      </c>
      <c r="MNR91" t="s">
        <v>145</v>
      </c>
      <c r="MNS91" t="s">
        <v>398</v>
      </c>
      <c r="MNT91">
        <v>1</v>
      </c>
      <c r="MNU91" t="s">
        <v>436</v>
      </c>
      <c r="MNV91" t="s">
        <v>437</v>
      </c>
      <c r="MNW91" t="s">
        <v>428</v>
      </c>
      <c r="MNY91" t="s">
        <v>146</v>
      </c>
      <c r="MNZ91" t="s">
        <v>145</v>
      </c>
      <c r="MOA91" t="s">
        <v>398</v>
      </c>
      <c r="MOB91">
        <v>1</v>
      </c>
      <c r="MOC91" t="s">
        <v>436</v>
      </c>
      <c r="MOD91" t="s">
        <v>437</v>
      </c>
      <c r="MOE91" t="s">
        <v>428</v>
      </c>
      <c r="MOG91" t="s">
        <v>146</v>
      </c>
      <c r="MOH91" t="s">
        <v>145</v>
      </c>
      <c r="MOI91" t="s">
        <v>398</v>
      </c>
      <c r="MOJ91">
        <v>1</v>
      </c>
      <c r="MOK91" t="s">
        <v>436</v>
      </c>
      <c r="MOL91" t="s">
        <v>437</v>
      </c>
      <c r="MOM91" t="s">
        <v>428</v>
      </c>
      <c r="MOO91" t="s">
        <v>146</v>
      </c>
      <c r="MOP91" t="s">
        <v>145</v>
      </c>
      <c r="MOQ91" t="s">
        <v>398</v>
      </c>
      <c r="MOR91">
        <v>1</v>
      </c>
      <c r="MOS91" t="s">
        <v>436</v>
      </c>
      <c r="MOT91" t="s">
        <v>437</v>
      </c>
      <c r="MOU91" t="s">
        <v>428</v>
      </c>
      <c r="MOW91" t="s">
        <v>146</v>
      </c>
      <c r="MOX91" t="s">
        <v>145</v>
      </c>
      <c r="MOY91" t="s">
        <v>398</v>
      </c>
      <c r="MOZ91">
        <v>1</v>
      </c>
      <c r="MPA91" t="s">
        <v>436</v>
      </c>
      <c r="MPB91" t="s">
        <v>437</v>
      </c>
      <c r="MPC91" t="s">
        <v>428</v>
      </c>
      <c r="MPE91" t="s">
        <v>146</v>
      </c>
      <c r="MPF91" t="s">
        <v>145</v>
      </c>
      <c r="MPG91" t="s">
        <v>398</v>
      </c>
      <c r="MPH91">
        <v>1</v>
      </c>
      <c r="MPI91" t="s">
        <v>436</v>
      </c>
      <c r="MPJ91" t="s">
        <v>437</v>
      </c>
      <c r="MPK91" t="s">
        <v>428</v>
      </c>
      <c r="MPM91" t="s">
        <v>146</v>
      </c>
      <c r="MPN91" t="s">
        <v>145</v>
      </c>
      <c r="MPO91" t="s">
        <v>398</v>
      </c>
      <c r="MPP91">
        <v>1</v>
      </c>
      <c r="MPQ91" t="s">
        <v>436</v>
      </c>
      <c r="MPR91" t="s">
        <v>437</v>
      </c>
      <c r="MPS91" t="s">
        <v>428</v>
      </c>
      <c r="MPU91" t="s">
        <v>146</v>
      </c>
      <c r="MPV91" t="s">
        <v>145</v>
      </c>
      <c r="MPW91" t="s">
        <v>398</v>
      </c>
      <c r="MPX91">
        <v>1</v>
      </c>
      <c r="MPY91" t="s">
        <v>436</v>
      </c>
      <c r="MPZ91" t="s">
        <v>437</v>
      </c>
      <c r="MQA91" t="s">
        <v>428</v>
      </c>
      <c r="MQC91" t="s">
        <v>146</v>
      </c>
      <c r="MQD91" t="s">
        <v>145</v>
      </c>
      <c r="MQE91" t="s">
        <v>398</v>
      </c>
      <c r="MQF91">
        <v>1</v>
      </c>
      <c r="MQG91" t="s">
        <v>436</v>
      </c>
      <c r="MQH91" t="s">
        <v>437</v>
      </c>
      <c r="MQI91" t="s">
        <v>428</v>
      </c>
      <c r="MQK91" t="s">
        <v>146</v>
      </c>
      <c r="MQL91" t="s">
        <v>145</v>
      </c>
      <c r="MQM91" t="s">
        <v>398</v>
      </c>
      <c r="MQN91">
        <v>1</v>
      </c>
      <c r="MQO91" t="s">
        <v>436</v>
      </c>
      <c r="MQP91" t="s">
        <v>437</v>
      </c>
      <c r="MQQ91" t="s">
        <v>428</v>
      </c>
      <c r="MQS91" t="s">
        <v>146</v>
      </c>
      <c r="MQT91" t="s">
        <v>145</v>
      </c>
      <c r="MQU91" t="s">
        <v>398</v>
      </c>
      <c r="MQV91">
        <v>1</v>
      </c>
      <c r="MQW91" t="s">
        <v>436</v>
      </c>
      <c r="MQX91" t="s">
        <v>437</v>
      </c>
      <c r="MQY91" t="s">
        <v>428</v>
      </c>
      <c r="MRA91" t="s">
        <v>146</v>
      </c>
      <c r="MRB91" t="s">
        <v>145</v>
      </c>
      <c r="MRC91" t="s">
        <v>398</v>
      </c>
      <c r="MRD91">
        <v>1</v>
      </c>
      <c r="MRE91" t="s">
        <v>436</v>
      </c>
      <c r="MRF91" t="s">
        <v>437</v>
      </c>
      <c r="MRG91" t="s">
        <v>428</v>
      </c>
      <c r="MRI91" t="s">
        <v>146</v>
      </c>
      <c r="MRJ91" t="s">
        <v>145</v>
      </c>
      <c r="MRK91" t="s">
        <v>398</v>
      </c>
      <c r="MRL91">
        <v>1</v>
      </c>
      <c r="MRM91" t="s">
        <v>436</v>
      </c>
      <c r="MRN91" t="s">
        <v>437</v>
      </c>
      <c r="MRO91" t="s">
        <v>428</v>
      </c>
      <c r="MRQ91" t="s">
        <v>146</v>
      </c>
      <c r="MRR91" t="s">
        <v>145</v>
      </c>
      <c r="MRS91" t="s">
        <v>398</v>
      </c>
      <c r="MRT91">
        <v>1</v>
      </c>
      <c r="MRU91" t="s">
        <v>436</v>
      </c>
      <c r="MRV91" t="s">
        <v>437</v>
      </c>
      <c r="MRW91" t="s">
        <v>428</v>
      </c>
      <c r="MRY91" t="s">
        <v>146</v>
      </c>
      <c r="MRZ91" t="s">
        <v>145</v>
      </c>
      <c r="MSA91" t="s">
        <v>398</v>
      </c>
      <c r="MSB91">
        <v>1</v>
      </c>
      <c r="MSC91" t="s">
        <v>436</v>
      </c>
      <c r="MSD91" t="s">
        <v>437</v>
      </c>
      <c r="MSE91" t="s">
        <v>428</v>
      </c>
      <c r="MSG91" t="s">
        <v>146</v>
      </c>
      <c r="MSH91" t="s">
        <v>145</v>
      </c>
      <c r="MSI91" t="s">
        <v>398</v>
      </c>
      <c r="MSJ91">
        <v>1</v>
      </c>
      <c r="MSK91" t="s">
        <v>436</v>
      </c>
      <c r="MSL91" t="s">
        <v>437</v>
      </c>
      <c r="MSM91" t="s">
        <v>428</v>
      </c>
      <c r="MSO91" t="s">
        <v>146</v>
      </c>
      <c r="MSP91" t="s">
        <v>145</v>
      </c>
      <c r="MSQ91" t="s">
        <v>398</v>
      </c>
      <c r="MSR91">
        <v>1</v>
      </c>
      <c r="MSS91" t="s">
        <v>436</v>
      </c>
      <c r="MST91" t="s">
        <v>437</v>
      </c>
      <c r="MSU91" t="s">
        <v>428</v>
      </c>
      <c r="MSW91" t="s">
        <v>146</v>
      </c>
      <c r="MSX91" t="s">
        <v>145</v>
      </c>
      <c r="MSY91" t="s">
        <v>398</v>
      </c>
      <c r="MSZ91">
        <v>1</v>
      </c>
      <c r="MTA91" t="s">
        <v>436</v>
      </c>
      <c r="MTB91" t="s">
        <v>437</v>
      </c>
      <c r="MTC91" t="s">
        <v>428</v>
      </c>
      <c r="MTE91" t="s">
        <v>146</v>
      </c>
      <c r="MTF91" t="s">
        <v>145</v>
      </c>
      <c r="MTG91" t="s">
        <v>398</v>
      </c>
      <c r="MTH91">
        <v>1</v>
      </c>
      <c r="MTI91" t="s">
        <v>436</v>
      </c>
      <c r="MTJ91" t="s">
        <v>437</v>
      </c>
      <c r="MTK91" t="s">
        <v>428</v>
      </c>
      <c r="MTM91" t="s">
        <v>146</v>
      </c>
      <c r="MTN91" t="s">
        <v>145</v>
      </c>
      <c r="MTO91" t="s">
        <v>398</v>
      </c>
      <c r="MTP91">
        <v>1</v>
      </c>
      <c r="MTQ91" t="s">
        <v>436</v>
      </c>
      <c r="MTR91" t="s">
        <v>437</v>
      </c>
      <c r="MTS91" t="s">
        <v>428</v>
      </c>
      <c r="MTU91" t="s">
        <v>146</v>
      </c>
      <c r="MTV91" t="s">
        <v>145</v>
      </c>
      <c r="MTW91" t="s">
        <v>398</v>
      </c>
      <c r="MTX91">
        <v>1</v>
      </c>
      <c r="MTY91" t="s">
        <v>436</v>
      </c>
      <c r="MTZ91" t="s">
        <v>437</v>
      </c>
      <c r="MUA91" t="s">
        <v>428</v>
      </c>
      <c r="MUC91" t="s">
        <v>146</v>
      </c>
      <c r="MUD91" t="s">
        <v>145</v>
      </c>
      <c r="MUE91" t="s">
        <v>398</v>
      </c>
      <c r="MUF91">
        <v>1</v>
      </c>
      <c r="MUG91" t="s">
        <v>436</v>
      </c>
      <c r="MUH91" t="s">
        <v>437</v>
      </c>
      <c r="MUI91" t="s">
        <v>428</v>
      </c>
      <c r="MUK91" t="s">
        <v>146</v>
      </c>
      <c r="MUL91" t="s">
        <v>145</v>
      </c>
      <c r="MUM91" t="s">
        <v>398</v>
      </c>
      <c r="MUN91">
        <v>1</v>
      </c>
      <c r="MUO91" t="s">
        <v>436</v>
      </c>
      <c r="MUP91" t="s">
        <v>437</v>
      </c>
      <c r="MUQ91" t="s">
        <v>428</v>
      </c>
      <c r="MUS91" t="s">
        <v>146</v>
      </c>
      <c r="MUT91" t="s">
        <v>145</v>
      </c>
      <c r="MUU91" t="s">
        <v>398</v>
      </c>
      <c r="MUV91">
        <v>1</v>
      </c>
      <c r="MUW91" t="s">
        <v>436</v>
      </c>
      <c r="MUX91" t="s">
        <v>437</v>
      </c>
      <c r="MUY91" t="s">
        <v>428</v>
      </c>
      <c r="MVA91" t="s">
        <v>146</v>
      </c>
      <c r="MVB91" t="s">
        <v>145</v>
      </c>
      <c r="MVC91" t="s">
        <v>398</v>
      </c>
      <c r="MVD91">
        <v>1</v>
      </c>
      <c r="MVE91" t="s">
        <v>436</v>
      </c>
      <c r="MVF91" t="s">
        <v>437</v>
      </c>
      <c r="MVG91" t="s">
        <v>428</v>
      </c>
      <c r="MVI91" t="s">
        <v>146</v>
      </c>
      <c r="MVJ91" t="s">
        <v>145</v>
      </c>
      <c r="MVK91" t="s">
        <v>398</v>
      </c>
      <c r="MVL91">
        <v>1</v>
      </c>
      <c r="MVM91" t="s">
        <v>436</v>
      </c>
      <c r="MVN91" t="s">
        <v>437</v>
      </c>
      <c r="MVO91" t="s">
        <v>428</v>
      </c>
      <c r="MVQ91" t="s">
        <v>146</v>
      </c>
      <c r="MVR91" t="s">
        <v>145</v>
      </c>
      <c r="MVS91" t="s">
        <v>398</v>
      </c>
      <c r="MVT91">
        <v>1</v>
      </c>
      <c r="MVU91" t="s">
        <v>436</v>
      </c>
      <c r="MVV91" t="s">
        <v>437</v>
      </c>
      <c r="MVW91" t="s">
        <v>428</v>
      </c>
      <c r="MVY91" t="s">
        <v>146</v>
      </c>
      <c r="MVZ91" t="s">
        <v>145</v>
      </c>
      <c r="MWA91" t="s">
        <v>398</v>
      </c>
      <c r="MWB91">
        <v>1</v>
      </c>
      <c r="MWC91" t="s">
        <v>436</v>
      </c>
      <c r="MWD91" t="s">
        <v>437</v>
      </c>
      <c r="MWE91" t="s">
        <v>428</v>
      </c>
      <c r="MWG91" t="s">
        <v>146</v>
      </c>
      <c r="MWH91" t="s">
        <v>145</v>
      </c>
      <c r="MWI91" t="s">
        <v>398</v>
      </c>
      <c r="MWJ91">
        <v>1</v>
      </c>
      <c r="MWK91" t="s">
        <v>436</v>
      </c>
      <c r="MWL91" t="s">
        <v>437</v>
      </c>
      <c r="MWM91" t="s">
        <v>428</v>
      </c>
      <c r="MWO91" t="s">
        <v>146</v>
      </c>
      <c r="MWP91" t="s">
        <v>145</v>
      </c>
      <c r="MWQ91" t="s">
        <v>398</v>
      </c>
      <c r="MWR91">
        <v>1</v>
      </c>
      <c r="MWS91" t="s">
        <v>436</v>
      </c>
      <c r="MWT91" t="s">
        <v>437</v>
      </c>
      <c r="MWU91" t="s">
        <v>428</v>
      </c>
      <c r="MWW91" t="s">
        <v>146</v>
      </c>
      <c r="MWX91" t="s">
        <v>145</v>
      </c>
      <c r="MWY91" t="s">
        <v>398</v>
      </c>
      <c r="MWZ91">
        <v>1</v>
      </c>
      <c r="MXA91" t="s">
        <v>436</v>
      </c>
      <c r="MXB91" t="s">
        <v>437</v>
      </c>
      <c r="MXC91" t="s">
        <v>428</v>
      </c>
      <c r="MXE91" t="s">
        <v>146</v>
      </c>
      <c r="MXF91" t="s">
        <v>145</v>
      </c>
      <c r="MXG91" t="s">
        <v>398</v>
      </c>
      <c r="MXH91">
        <v>1</v>
      </c>
      <c r="MXI91" t="s">
        <v>436</v>
      </c>
      <c r="MXJ91" t="s">
        <v>437</v>
      </c>
      <c r="MXK91" t="s">
        <v>428</v>
      </c>
      <c r="MXM91" t="s">
        <v>146</v>
      </c>
      <c r="MXN91" t="s">
        <v>145</v>
      </c>
      <c r="MXO91" t="s">
        <v>398</v>
      </c>
      <c r="MXP91">
        <v>1</v>
      </c>
      <c r="MXQ91" t="s">
        <v>436</v>
      </c>
      <c r="MXR91" t="s">
        <v>437</v>
      </c>
      <c r="MXS91" t="s">
        <v>428</v>
      </c>
      <c r="MXU91" t="s">
        <v>146</v>
      </c>
      <c r="MXV91" t="s">
        <v>145</v>
      </c>
      <c r="MXW91" t="s">
        <v>398</v>
      </c>
      <c r="MXX91">
        <v>1</v>
      </c>
      <c r="MXY91" t="s">
        <v>436</v>
      </c>
      <c r="MXZ91" t="s">
        <v>437</v>
      </c>
      <c r="MYA91" t="s">
        <v>428</v>
      </c>
      <c r="MYC91" t="s">
        <v>146</v>
      </c>
      <c r="MYD91" t="s">
        <v>145</v>
      </c>
      <c r="MYE91" t="s">
        <v>398</v>
      </c>
      <c r="MYF91">
        <v>1</v>
      </c>
      <c r="MYG91" t="s">
        <v>436</v>
      </c>
      <c r="MYH91" t="s">
        <v>437</v>
      </c>
      <c r="MYI91" t="s">
        <v>428</v>
      </c>
      <c r="MYK91" t="s">
        <v>146</v>
      </c>
      <c r="MYL91" t="s">
        <v>145</v>
      </c>
      <c r="MYM91" t="s">
        <v>398</v>
      </c>
      <c r="MYN91">
        <v>1</v>
      </c>
      <c r="MYO91" t="s">
        <v>436</v>
      </c>
      <c r="MYP91" t="s">
        <v>437</v>
      </c>
      <c r="MYQ91" t="s">
        <v>428</v>
      </c>
      <c r="MYS91" t="s">
        <v>146</v>
      </c>
      <c r="MYT91" t="s">
        <v>145</v>
      </c>
      <c r="MYU91" t="s">
        <v>398</v>
      </c>
      <c r="MYV91">
        <v>1</v>
      </c>
      <c r="MYW91" t="s">
        <v>436</v>
      </c>
      <c r="MYX91" t="s">
        <v>437</v>
      </c>
      <c r="MYY91" t="s">
        <v>428</v>
      </c>
      <c r="MZA91" t="s">
        <v>146</v>
      </c>
      <c r="MZB91" t="s">
        <v>145</v>
      </c>
      <c r="MZC91" t="s">
        <v>398</v>
      </c>
      <c r="MZD91">
        <v>1</v>
      </c>
      <c r="MZE91" t="s">
        <v>436</v>
      </c>
      <c r="MZF91" t="s">
        <v>437</v>
      </c>
      <c r="MZG91" t="s">
        <v>428</v>
      </c>
      <c r="MZI91" t="s">
        <v>146</v>
      </c>
      <c r="MZJ91" t="s">
        <v>145</v>
      </c>
      <c r="MZK91" t="s">
        <v>398</v>
      </c>
      <c r="MZL91">
        <v>1</v>
      </c>
      <c r="MZM91" t="s">
        <v>436</v>
      </c>
      <c r="MZN91" t="s">
        <v>437</v>
      </c>
      <c r="MZO91" t="s">
        <v>428</v>
      </c>
      <c r="MZQ91" t="s">
        <v>146</v>
      </c>
      <c r="MZR91" t="s">
        <v>145</v>
      </c>
      <c r="MZS91" t="s">
        <v>398</v>
      </c>
      <c r="MZT91">
        <v>1</v>
      </c>
      <c r="MZU91" t="s">
        <v>436</v>
      </c>
      <c r="MZV91" t="s">
        <v>437</v>
      </c>
      <c r="MZW91" t="s">
        <v>428</v>
      </c>
      <c r="MZY91" t="s">
        <v>146</v>
      </c>
      <c r="MZZ91" t="s">
        <v>145</v>
      </c>
      <c r="NAA91" t="s">
        <v>398</v>
      </c>
      <c r="NAB91">
        <v>1</v>
      </c>
      <c r="NAC91" t="s">
        <v>436</v>
      </c>
      <c r="NAD91" t="s">
        <v>437</v>
      </c>
      <c r="NAE91" t="s">
        <v>428</v>
      </c>
      <c r="NAG91" t="s">
        <v>146</v>
      </c>
      <c r="NAH91" t="s">
        <v>145</v>
      </c>
      <c r="NAI91" t="s">
        <v>398</v>
      </c>
      <c r="NAJ91">
        <v>1</v>
      </c>
      <c r="NAK91" t="s">
        <v>436</v>
      </c>
      <c r="NAL91" t="s">
        <v>437</v>
      </c>
      <c r="NAM91" t="s">
        <v>428</v>
      </c>
      <c r="NAO91" t="s">
        <v>146</v>
      </c>
      <c r="NAP91" t="s">
        <v>145</v>
      </c>
      <c r="NAQ91" t="s">
        <v>398</v>
      </c>
      <c r="NAR91">
        <v>1</v>
      </c>
      <c r="NAS91" t="s">
        <v>436</v>
      </c>
      <c r="NAT91" t="s">
        <v>437</v>
      </c>
      <c r="NAU91" t="s">
        <v>428</v>
      </c>
      <c r="NAW91" t="s">
        <v>146</v>
      </c>
      <c r="NAX91" t="s">
        <v>145</v>
      </c>
      <c r="NAY91" t="s">
        <v>398</v>
      </c>
      <c r="NAZ91">
        <v>1</v>
      </c>
      <c r="NBA91" t="s">
        <v>436</v>
      </c>
      <c r="NBB91" t="s">
        <v>437</v>
      </c>
      <c r="NBC91" t="s">
        <v>428</v>
      </c>
      <c r="NBE91" t="s">
        <v>146</v>
      </c>
      <c r="NBF91" t="s">
        <v>145</v>
      </c>
      <c r="NBG91" t="s">
        <v>398</v>
      </c>
      <c r="NBH91">
        <v>1</v>
      </c>
      <c r="NBI91" t="s">
        <v>436</v>
      </c>
      <c r="NBJ91" t="s">
        <v>437</v>
      </c>
      <c r="NBK91" t="s">
        <v>428</v>
      </c>
      <c r="NBM91" t="s">
        <v>146</v>
      </c>
      <c r="NBN91" t="s">
        <v>145</v>
      </c>
      <c r="NBO91" t="s">
        <v>398</v>
      </c>
      <c r="NBP91">
        <v>1</v>
      </c>
      <c r="NBQ91" t="s">
        <v>436</v>
      </c>
      <c r="NBR91" t="s">
        <v>437</v>
      </c>
      <c r="NBS91" t="s">
        <v>428</v>
      </c>
      <c r="NBU91" t="s">
        <v>146</v>
      </c>
      <c r="NBV91" t="s">
        <v>145</v>
      </c>
      <c r="NBW91" t="s">
        <v>398</v>
      </c>
      <c r="NBX91">
        <v>1</v>
      </c>
      <c r="NBY91" t="s">
        <v>436</v>
      </c>
      <c r="NBZ91" t="s">
        <v>437</v>
      </c>
      <c r="NCA91" t="s">
        <v>428</v>
      </c>
      <c r="NCC91" t="s">
        <v>146</v>
      </c>
      <c r="NCD91" t="s">
        <v>145</v>
      </c>
      <c r="NCE91" t="s">
        <v>398</v>
      </c>
      <c r="NCF91">
        <v>1</v>
      </c>
      <c r="NCG91" t="s">
        <v>436</v>
      </c>
      <c r="NCH91" t="s">
        <v>437</v>
      </c>
      <c r="NCI91" t="s">
        <v>428</v>
      </c>
      <c r="NCK91" t="s">
        <v>146</v>
      </c>
      <c r="NCL91" t="s">
        <v>145</v>
      </c>
      <c r="NCM91" t="s">
        <v>398</v>
      </c>
      <c r="NCN91">
        <v>1</v>
      </c>
      <c r="NCO91" t="s">
        <v>436</v>
      </c>
      <c r="NCP91" t="s">
        <v>437</v>
      </c>
      <c r="NCQ91" t="s">
        <v>428</v>
      </c>
      <c r="NCS91" t="s">
        <v>146</v>
      </c>
      <c r="NCT91" t="s">
        <v>145</v>
      </c>
      <c r="NCU91" t="s">
        <v>398</v>
      </c>
      <c r="NCV91">
        <v>1</v>
      </c>
      <c r="NCW91" t="s">
        <v>436</v>
      </c>
      <c r="NCX91" t="s">
        <v>437</v>
      </c>
      <c r="NCY91" t="s">
        <v>428</v>
      </c>
      <c r="NDA91" t="s">
        <v>146</v>
      </c>
      <c r="NDB91" t="s">
        <v>145</v>
      </c>
      <c r="NDC91" t="s">
        <v>398</v>
      </c>
      <c r="NDD91">
        <v>1</v>
      </c>
      <c r="NDE91" t="s">
        <v>436</v>
      </c>
      <c r="NDF91" t="s">
        <v>437</v>
      </c>
      <c r="NDG91" t="s">
        <v>428</v>
      </c>
      <c r="NDI91" t="s">
        <v>146</v>
      </c>
      <c r="NDJ91" t="s">
        <v>145</v>
      </c>
      <c r="NDK91" t="s">
        <v>398</v>
      </c>
      <c r="NDL91">
        <v>1</v>
      </c>
      <c r="NDM91" t="s">
        <v>436</v>
      </c>
      <c r="NDN91" t="s">
        <v>437</v>
      </c>
      <c r="NDO91" t="s">
        <v>428</v>
      </c>
      <c r="NDQ91" t="s">
        <v>146</v>
      </c>
      <c r="NDR91" t="s">
        <v>145</v>
      </c>
      <c r="NDS91" t="s">
        <v>398</v>
      </c>
      <c r="NDT91">
        <v>1</v>
      </c>
      <c r="NDU91" t="s">
        <v>436</v>
      </c>
      <c r="NDV91" t="s">
        <v>437</v>
      </c>
      <c r="NDW91" t="s">
        <v>428</v>
      </c>
      <c r="NDY91" t="s">
        <v>146</v>
      </c>
      <c r="NDZ91" t="s">
        <v>145</v>
      </c>
      <c r="NEA91" t="s">
        <v>398</v>
      </c>
      <c r="NEB91">
        <v>1</v>
      </c>
      <c r="NEC91" t="s">
        <v>436</v>
      </c>
      <c r="NED91" t="s">
        <v>437</v>
      </c>
      <c r="NEE91" t="s">
        <v>428</v>
      </c>
      <c r="NEG91" t="s">
        <v>146</v>
      </c>
      <c r="NEH91" t="s">
        <v>145</v>
      </c>
      <c r="NEI91" t="s">
        <v>398</v>
      </c>
      <c r="NEJ91">
        <v>1</v>
      </c>
      <c r="NEK91" t="s">
        <v>436</v>
      </c>
      <c r="NEL91" t="s">
        <v>437</v>
      </c>
      <c r="NEM91" t="s">
        <v>428</v>
      </c>
      <c r="NEO91" t="s">
        <v>146</v>
      </c>
      <c r="NEP91" t="s">
        <v>145</v>
      </c>
      <c r="NEQ91" t="s">
        <v>398</v>
      </c>
      <c r="NER91">
        <v>1</v>
      </c>
      <c r="NES91" t="s">
        <v>436</v>
      </c>
      <c r="NET91" t="s">
        <v>437</v>
      </c>
      <c r="NEU91" t="s">
        <v>428</v>
      </c>
      <c r="NEW91" t="s">
        <v>146</v>
      </c>
      <c r="NEX91" t="s">
        <v>145</v>
      </c>
      <c r="NEY91" t="s">
        <v>398</v>
      </c>
      <c r="NEZ91">
        <v>1</v>
      </c>
      <c r="NFA91" t="s">
        <v>436</v>
      </c>
      <c r="NFB91" t="s">
        <v>437</v>
      </c>
      <c r="NFC91" t="s">
        <v>428</v>
      </c>
      <c r="NFE91" t="s">
        <v>146</v>
      </c>
      <c r="NFF91" t="s">
        <v>145</v>
      </c>
      <c r="NFG91" t="s">
        <v>398</v>
      </c>
      <c r="NFH91">
        <v>1</v>
      </c>
      <c r="NFI91" t="s">
        <v>436</v>
      </c>
      <c r="NFJ91" t="s">
        <v>437</v>
      </c>
      <c r="NFK91" t="s">
        <v>428</v>
      </c>
      <c r="NFM91" t="s">
        <v>146</v>
      </c>
      <c r="NFN91" t="s">
        <v>145</v>
      </c>
      <c r="NFO91" t="s">
        <v>398</v>
      </c>
      <c r="NFP91">
        <v>1</v>
      </c>
      <c r="NFQ91" t="s">
        <v>436</v>
      </c>
      <c r="NFR91" t="s">
        <v>437</v>
      </c>
      <c r="NFS91" t="s">
        <v>428</v>
      </c>
      <c r="NFU91" t="s">
        <v>146</v>
      </c>
      <c r="NFV91" t="s">
        <v>145</v>
      </c>
      <c r="NFW91" t="s">
        <v>398</v>
      </c>
      <c r="NFX91">
        <v>1</v>
      </c>
      <c r="NFY91" t="s">
        <v>436</v>
      </c>
      <c r="NFZ91" t="s">
        <v>437</v>
      </c>
      <c r="NGA91" t="s">
        <v>428</v>
      </c>
      <c r="NGC91" t="s">
        <v>146</v>
      </c>
      <c r="NGD91" t="s">
        <v>145</v>
      </c>
      <c r="NGE91" t="s">
        <v>398</v>
      </c>
      <c r="NGF91">
        <v>1</v>
      </c>
      <c r="NGG91" t="s">
        <v>436</v>
      </c>
      <c r="NGH91" t="s">
        <v>437</v>
      </c>
      <c r="NGI91" t="s">
        <v>428</v>
      </c>
      <c r="NGK91" t="s">
        <v>146</v>
      </c>
      <c r="NGL91" t="s">
        <v>145</v>
      </c>
      <c r="NGM91" t="s">
        <v>398</v>
      </c>
      <c r="NGN91">
        <v>1</v>
      </c>
      <c r="NGO91" t="s">
        <v>436</v>
      </c>
      <c r="NGP91" t="s">
        <v>437</v>
      </c>
      <c r="NGQ91" t="s">
        <v>428</v>
      </c>
      <c r="NGS91" t="s">
        <v>146</v>
      </c>
      <c r="NGT91" t="s">
        <v>145</v>
      </c>
      <c r="NGU91" t="s">
        <v>398</v>
      </c>
      <c r="NGV91">
        <v>1</v>
      </c>
      <c r="NGW91" t="s">
        <v>436</v>
      </c>
      <c r="NGX91" t="s">
        <v>437</v>
      </c>
      <c r="NGY91" t="s">
        <v>428</v>
      </c>
      <c r="NHA91" t="s">
        <v>146</v>
      </c>
      <c r="NHB91" t="s">
        <v>145</v>
      </c>
      <c r="NHC91" t="s">
        <v>398</v>
      </c>
      <c r="NHD91">
        <v>1</v>
      </c>
      <c r="NHE91" t="s">
        <v>436</v>
      </c>
      <c r="NHF91" t="s">
        <v>437</v>
      </c>
      <c r="NHG91" t="s">
        <v>428</v>
      </c>
      <c r="NHI91" t="s">
        <v>146</v>
      </c>
      <c r="NHJ91" t="s">
        <v>145</v>
      </c>
      <c r="NHK91" t="s">
        <v>398</v>
      </c>
      <c r="NHL91">
        <v>1</v>
      </c>
      <c r="NHM91" t="s">
        <v>436</v>
      </c>
      <c r="NHN91" t="s">
        <v>437</v>
      </c>
      <c r="NHO91" t="s">
        <v>428</v>
      </c>
      <c r="NHQ91" t="s">
        <v>146</v>
      </c>
      <c r="NHR91" t="s">
        <v>145</v>
      </c>
      <c r="NHS91" t="s">
        <v>398</v>
      </c>
      <c r="NHT91">
        <v>1</v>
      </c>
      <c r="NHU91" t="s">
        <v>436</v>
      </c>
      <c r="NHV91" t="s">
        <v>437</v>
      </c>
      <c r="NHW91" t="s">
        <v>428</v>
      </c>
      <c r="NHY91" t="s">
        <v>146</v>
      </c>
      <c r="NHZ91" t="s">
        <v>145</v>
      </c>
      <c r="NIA91" t="s">
        <v>398</v>
      </c>
      <c r="NIB91">
        <v>1</v>
      </c>
      <c r="NIC91" t="s">
        <v>436</v>
      </c>
      <c r="NID91" t="s">
        <v>437</v>
      </c>
      <c r="NIE91" t="s">
        <v>428</v>
      </c>
      <c r="NIG91" t="s">
        <v>146</v>
      </c>
      <c r="NIH91" t="s">
        <v>145</v>
      </c>
      <c r="NII91" t="s">
        <v>398</v>
      </c>
      <c r="NIJ91">
        <v>1</v>
      </c>
      <c r="NIK91" t="s">
        <v>436</v>
      </c>
      <c r="NIL91" t="s">
        <v>437</v>
      </c>
      <c r="NIM91" t="s">
        <v>428</v>
      </c>
      <c r="NIO91" t="s">
        <v>146</v>
      </c>
      <c r="NIP91" t="s">
        <v>145</v>
      </c>
      <c r="NIQ91" t="s">
        <v>398</v>
      </c>
      <c r="NIR91">
        <v>1</v>
      </c>
      <c r="NIS91" t="s">
        <v>436</v>
      </c>
      <c r="NIT91" t="s">
        <v>437</v>
      </c>
      <c r="NIU91" t="s">
        <v>428</v>
      </c>
      <c r="NIW91" t="s">
        <v>146</v>
      </c>
      <c r="NIX91" t="s">
        <v>145</v>
      </c>
      <c r="NIY91" t="s">
        <v>398</v>
      </c>
      <c r="NIZ91">
        <v>1</v>
      </c>
      <c r="NJA91" t="s">
        <v>436</v>
      </c>
      <c r="NJB91" t="s">
        <v>437</v>
      </c>
      <c r="NJC91" t="s">
        <v>428</v>
      </c>
      <c r="NJE91" t="s">
        <v>146</v>
      </c>
      <c r="NJF91" t="s">
        <v>145</v>
      </c>
      <c r="NJG91" t="s">
        <v>398</v>
      </c>
      <c r="NJH91">
        <v>1</v>
      </c>
      <c r="NJI91" t="s">
        <v>436</v>
      </c>
      <c r="NJJ91" t="s">
        <v>437</v>
      </c>
      <c r="NJK91" t="s">
        <v>428</v>
      </c>
      <c r="NJM91" t="s">
        <v>146</v>
      </c>
      <c r="NJN91" t="s">
        <v>145</v>
      </c>
      <c r="NJO91" t="s">
        <v>398</v>
      </c>
      <c r="NJP91">
        <v>1</v>
      </c>
      <c r="NJQ91" t="s">
        <v>436</v>
      </c>
      <c r="NJR91" t="s">
        <v>437</v>
      </c>
      <c r="NJS91" t="s">
        <v>428</v>
      </c>
      <c r="NJU91" t="s">
        <v>146</v>
      </c>
      <c r="NJV91" t="s">
        <v>145</v>
      </c>
      <c r="NJW91" t="s">
        <v>398</v>
      </c>
      <c r="NJX91">
        <v>1</v>
      </c>
      <c r="NJY91" t="s">
        <v>436</v>
      </c>
      <c r="NJZ91" t="s">
        <v>437</v>
      </c>
      <c r="NKA91" t="s">
        <v>428</v>
      </c>
      <c r="NKC91" t="s">
        <v>146</v>
      </c>
      <c r="NKD91" t="s">
        <v>145</v>
      </c>
      <c r="NKE91" t="s">
        <v>398</v>
      </c>
      <c r="NKF91">
        <v>1</v>
      </c>
      <c r="NKG91" t="s">
        <v>436</v>
      </c>
      <c r="NKH91" t="s">
        <v>437</v>
      </c>
      <c r="NKI91" t="s">
        <v>428</v>
      </c>
      <c r="NKK91" t="s">
        <v>146</v>
      </c>
      <c r="NKL91" t="s">
        <v>145</v>
      </c>
      <c r="NKM91" t="s">
        <v>398</v>
      </c>
      <c r="NKN91">
        <v>1</v>
      </c>
      <c r="NKO91" t="s">
        <v>436</v>
      </c>
      <c r="NKP91" t="s">
        <v>437</v>
      </c>
      <c r="NKQ91" t="s">
        <v>428</v>
      </c>
      <c r="NKS91" t="s">
        <v>146</v>
      </c>
      <c r="NKT91" t="s">
        <v>145</v>
      </c>
      <c r="NKU91" t="s">
        <v>398</v>
      </c>
      <c r="NKV91">
        <v>1</v>
      </c>
      <c r="NKW91" t="s">
        <v>436</v>
      </c>
      <c r="NKX91" t="s">
        <v>437</v>
      </c>
      <c r="NKY91" t="s">
        <v>428</v>
      </c>
      <c r="NLA91" t="s">
        <v>146</v>
      </c>
      <c r="NLB91" t="s">
        <v>145</v>
      </c>
      <c r="NLC91" t="s">
        <v>398</v>
      </c>
      <c r="NLD91">
        <v>1</v>
      </c>
      <c r="NLE91" t="s">
        <v>436</v>
      </c>
      <c r="NLF91" t="s">
        <v>437</v>
      </c>
      <c r="NLG91" t="s">
        <v>428</v>
      </c>
      <c r="NLI91" t="s">
        <v>146</v>
      </c>
      <c r="NLJ91" t="s">
        <v>145</v>
      </c>
      <c r="NLK91" t="s">
        <v>398</v>
      </c>
      <c r="NLL91">
        <v>1</v>
      </c>
      <c r="NLM91" t="s">
        <v>436</v>
      </c>
      <c r="NLN91" t="s">
        <v>437</v>
      </c>
      <c r="NLO91" t="s">
        <v>428</v>
      </c>
      <c r="NLQ91" t="s">
        <v>146</v>
      </c>
      <c r="NLR91" t="s">
        <v>145</v>
      </c>
      <c r="NLS91" t="s">
        <v>398</v>
      </c>
      <c r="NLT91">
        <v>1</v>
      </c>
      <c r="NLU91" t="s">
        <v>436</v>
      </c>
      <c r="NLV91" t="s">
        <v>437</v>
      </c>
      <c r="NLW91" t="s">
        <v>428</v>
      </c>
      <c r="NLY91" t="s">
        <v>146</v>
      </c>
      <c r="NLZ91" t="s">
        <v>145</v>
      </c>
      <c r="NMA91" t="s">
        <v>398</v>
      </c>
      <c r="NMB91">
        <v>1</v>
      </c>
      <c r="NMC91" t="s">
        <v>436</v>
      </c>
      <c r="NMD91" t="s">
        <v>437</v>
      </c>
      <c r="NME91" t="s">
        <v>428</v>
      </c>
      <c r="NMG91" t="s">
        <v>146</v>
      </c>
      <c r="NMH91" t="s">
        <v>145</v>
      </c>
      <c r="NMI91" t="s">
        <v>398</v>
      </c>
      <c r="NMJ91">
        <v>1</v>
      </c>
      <c r="NMK91" t="s">
        <v>436</v>
      </c>
      <c r="NML91" t="s">
        <v>437</v>
      </c>
      <c r="NMM91" t="s">
        <v>428</v>
      </c>
      <c r="NMO91" t="s">
        <v>146</v>
      </c>
      <c r="NMP91" t="s">
        <v>145</v>
      </c>
      <c r="NMQ91" t="s">
        <v>398</v>
      </c>
      <c r="NMR91">
        <v>1</v>
      </c>
      <c r="NMS91" t="s">
        <v>436</v>
      </c>
      <c r="NMT91" t="s">
        <v>437</v>
      </c>
      <c r="NMU91" t="s">
        <v>428</v>
      </c>
      <c r="NMW91" t="s">
        <v>146</v>
      </c>
      <c r="NMX91" t="s">
        <v>145</v>
      </c>
      <c r="NMY91" t="s">
        <v>398</v>
      </c>
      <c r="NMZ91">
        <v>1</v>
      </c>
      <c r="NNA91" t="s">
        <v>436</v>
      </c>
      <c r="NNB91" t="s">
        <v>437</v>
      </c>
      <c r="NNC91" t="s">
        <v>428</v>
      </c>
      <c r="NNE91" t="s">
        <v>146</v>
      </c>
      <c r="NNF91" t="s">
        <v>145</v>
      </c>
      <c r="NNG91" t="s">
        <v>398</v>
      </c>
      <c r="NNH91">
        <v>1</v>
      </c>
      <c r="NNI91" t="s">
        <v>436</v>
      </c>
      <c r="NNJ91" t="s">
        <v>437</v>
      </c>
      <c r="NNK91" t="s">
        <v>428</v>
      </c>
      <c r="NNM91" t="s">
        <v>146</v>
      </c>
      <c r="NNN91" t="s">
        <v>145</v>
      </c>
      <c r="NNO91" t="s">
        <v>398</v>
      </c>
      <c r="NNP91">
        <v>1</v>
      </c>
      <c r="NNQ91" t="s">
        <v>436</v>
      </c>
      <c r="NNR91" t="s">
        <v>437</v>
      </c>
      <c r="NNS91" t="s">
        <v>428</v>
      </c>
      <c r="NNU91" t="s">
        <v>146</v>
      </c>
      <c r="NNV91" t="s">
        <v>145</v>
      </c>
      <c r="NNW91" t="s">
        <v>398</v>
      </c>
      <c r="NNX91">
        <v>1</v>
      </c>
      <c r="NNY91" t="s">
        <v>436</v>
      </c>
      <c r="NNZ91" t="s">
        <v>437</v>
      </c>
      <c r="NOA91" t="s">
        <v>428</v>
      </c>
      <c r="NOC91" t="s">
        <v>146</v>
      </c>
      <c r="NOD91" t="s">
        <v>145</v>
      </c>
      <c r="NOE91" t="s">
        <v>398</v>
      </c>
      <c r="NOF91">
        <v>1</v>
      </c>
      <c r="NOG91" t="s">
        <v>436</v>
      </c>
      <c r="NOH91" t="s">
        <v>437</v>
      </c>
      <c r="NOI91" t="s">
        <v>428</v>
      </c>
      <c r="NOK91" t="s">
        <v>146</v>
      </c>
      <c r="NOL91" t="s">
        <v>145</v>
      </c>
      <c r="NOM91" t="s">
        <v>398</v>
      </c>
      <c r="NON91">
        <v>1</v>
      </c>
      <c r="NOO91" t="s">
        <v>436</v>
      </c>
      <c r="NOP91" t="s">
        <v>437</v>
      </c>
      <c r="NOQ91" t="s">
        <v>428</v>
      </c>
      <c r="NOS91" t="s">
        <v>146</v>
      </c>
      <c r="NOT91" t="s">
        <v>145</v>
      </c>
      <c r="NOU91" t="s">
        <v>398</v>
      </c>
      <c r="NOV91">
        <v>1</v>
      </c>
      <c r="NOW91" t="s">
        <v>436</v>
      </c>
      <c r="NOX91" t="s">
        <v>437</v>
      </c>
      <c r="NOY91" t="s">
        <v>428</v>
      </c>
      <c r="NPA91" t="s">
        <v>146</v>
      </c>
      <c r="NPB91" t="s">
        <v>145</v>
      </c>
      <c r="NPC91" t="s">
        <v>398</v>
      </c>
      <c r="NPD91">
        <v>1</v>
      </c>
      <c r="NPE91" t="s">
        <v>436</v>
      </c>
      <c r="NPF91" t="s">
        <v>437</v>
      </c>
      <c r="NPG91" t="s">
        <v>428</v>
      </c>
      <c r="NPI91" t="s">
        <v>146</v>
      </c>
      <c r="NPJ91" t="s">
        <v>145</v>
      </c>
      <c r="NPK91" t="s">
        <v>398</v>
      </c>
      <c r="NPL91">
        <v>1</v>
      </c>
      <c r="NPM91" t="s">
        <v>436</v>
      </c>
      <c r="NPN91" t="s">
        <v>437</v>
      </c>
      <c r="NPO91" t="s">
        <v>428</v>
      </c>
      <c r="NPQ91" t="s">
        <v>146</v>
      </c>
      <c r="NPR91" t="s">
        <v>145</v>
      </c>
      <c r="NPS91" t="s">
        <v>398</v>
      </c>
      <c r="NPT91">
        <v>1</v>
      </c>
      <c r="NPU91" t="s">
        <v>436</v>
      </c>
      <c r="NPV91" t="s">
        <v>437</v>
      </c>
      <c r="NPW91" t="s">
        <v>428</v>
      </c>
      <c r="NPY91" t="s">
        <v>146</v>
      </c>
      <c r="NPZ91" t="s">
        <v>145</v>
      </c>
      <c r="NQA91" t="s">
        <v>398</v>
      </c>
      <c r="NQB91">
        <v>1</v>
      </c>
      <c r="NQC91" t="s">
        <v>436</v>
      </c>
      <c r="NQD91" t="s">
        <v>437</v>
      </c>
      <c r="NQE91" t="s">
        <v>428</v>
      </c>
      <c r="NQG91" t="s">
        <v>146</v>
      </c>
      <c r="NQH91" t="s">
        <v>145</v>
      </c>
      <c r="NQI91" t="s">
        <v>398</v>
      </c>
      <c r="NQJ91">
        <v>1</v>
      </c>
      <c r="NQK91" t="s">
        <v>436</v>
      </c>
      <c r="NQL91" t="s">
        <v>437</v>
      </c>
      <c r="NQM91" t="s">
        <v>428</v>
      </c>
      <c r="NQO91" t="s">
        <v>146</v>
      </c>
      <c r="NQP91" t="s">
        <v>145</v>
      </c>
      <c r="NQQ91" t="s">
        <v>398</v>
      </c>
      <c r="NQR91">
        <v>1</v>
      </c>
      <c r="NQS91" t="s">
        <v>436</v>
      </c>
      <c r="NQT91" t="s">
        <v>437</v>
      </c>
      <c r="NQU91" t="s">
        <v>428</v>
      </c>
      <c r="NQW91" t="s">
        <v>146</v>
      </c>
      <c r="NQX91" t="s">
        <v>145</v>
      </c>
      <c r="NQY91" t="s">
        <v>398</v>
      </c>
      <c r="NQZ91">
        <v>1</v>
      </c>
      <c r="NRA91" t="s">
        <v>436</v>
      </c>
      <c r="NRB91" t="s">
        <v>437</v>
      </c>
      <c r="NRC91" t="s">
        <v>428</v>
      </c>
      <c r="NRE91" t="s">
        <v>146</v>
      </c>
      <c r="NRF91" t="s">
        <v>145</v>
      </c>
      <c r="NRG91" t="s">
        <v>398</v>
      </c>
      <c r="NRH91">
        <v>1</v>
      </c>
      <c r="NRI91" t="s">
        <v>436</v>
      </c>
      <c r="NRJ91" t="s">
        <v>437</v>
      </c>
      <c r="NRK91" t="s">
        <v>428</v>
      </c>
      <c r="NRM91" t="s">
        <v>146</v>
      </c>
      <c r="NRN91" t="s">
        <v>145</v>
      </c>
      <c r="NRO91" t="s">
        <v>398</v>
      </c>
      <c r="NRP91">
        <v>1</v>
      </c>
      <c r="NRQ91" t="s">
        <v>436</v>
      </c>
      <c r="NRR91" t="s">
        <v>437</v>
      </c>
      <c r="NRS91" t="s">
        <v>428</v>
      </c>
      <c r="NRU91" t="s">
        <v>146</v>
      </c>
      <c r="NRV91" t="s">
        <v>145</v>
      </c>
      <c r="NRW91" t="s">
        <v>398</v>
      </c>
      <c r="NRX91">
        <v>1</v>
      </c>
      <c r="NRY91" t="s">
        <v>436</v>
      </c>
      <c r="NRZ91" t="s">
        <v>437</v>
      </c>
      <c r="NSA91" t="s">
        <v>428</v>
      </c>
      <c r="NSC91" t="s">
        <v>146</v>
      </c>
      <c r="NSD91" t="s">
        <v>145</v>
      </c>
      <c r="NSE91" t="s">
        <v>398</v>
      </c>
      <c r="NSF91">
        <v>1</v>
      </c>
      <c r="NSG91" t="s">
        <v>436</v>
      </c>
      <c r="NSH91" t="s">
        <v>437</v>
      </c>
      <c r="NSI91" t="s">
        <v>428</v>
      </c>
      <c r="NSK91" t="s">
        <v>146</v>
      </c>
      <c r="NSL91" t="s">
        <v>145</v>
      </c>
      <c r="NSM91" t="s">
        <v>398</v>
      </c>
      <c r="NSN91">
        <v>1</v>
      </c>
      <c r="NSO91" t="s">
        <v>436</v>
      </c>
      <c r="NSP91" t="s">
        <v>437</v>
      </c>
      <c r="NSQ91" t="s">
        <v>428</v>
      </c>
      <c r="NSS91" t="s">
        <v>146</v>
      </c>
      <c r="NST91" t="s">
        <v>145</v>
      </c>
      <c r="NSU91" t="s">
        <v>398</v>
      </c>
      <c r="NSV91">
        <v>1</v>
      </c>
      <c r="NSW91" t="s">
        <v>436</v>
      </c>
      <c r="NSX91" t="s">
        <v>437</v>
      </c>
      <c r="NSY91" t="s">
        <v>428</v>
      </c>
      <c r="NTA91" t="s">
        <v>146</v>
      </c>
      <c r="NTB91" t="s">
        <v>145</v>
      </c>
      <c r="NTC91" t="s">
        <v>398</v>
      </c>
      <c r="NTD91">
        <v>1</v>
      </c>
      <c r="NTE91" t="s">
        <v>436</v>
      </c>
      <c r="NTF91" t="s">
        <v>437</v>
      </c>
      <c r="NTG91" t="s">
        <v>428</v>
      </c>
      <c r="NTI91" t="s">
        <v>146</v>
      </c>
      <c r="NTJ91" t="s">
        <v>145</v>
      </c>
      <c r="NTK91" t="s">
        <v>398</v>
      </c>
      <c r="NTL91">
        <v>1</v>
      </c>
      <c r="NTM91" t="s">
        <v>436</v>
      </c>
      <c r="NTN91" t="s">
        <v>437</v>
      </c>
      <c r="NTO91" t="s">
        <v>428</v>
      </c>
      <c r="NTQ91" t="s">
        <v>146</v>
      </c>
      <c r="NTR91" t="s">
        <v>145</v>
      </c>
      <c r="NTS91" t="s">
        <v>398</v>
      </c>
      <c r="NTT91">
        <v>1</v>
      </c>
      <c r="NTU91" t="s">
        <v>436</v>
      </c>
      <c r="NTV91" t="s">
        <v>437</v>
      </c>
      <c r="NTW91" t="s">
        <v>428</v>
      </c>
      <c r="NTY91" t="s">
        <v>146</v>
      </c>
      <c r="NTZ91" t="s">
        <v>145</v>
      </c>
      <c r="NUA91" t="s">
        <v>398</v>
      </c>
      <c r="NUB91">
        <v>1</v>
      </c>
      <c r="NUC91" t="s">
        <v>436</v>
      </c>
      <c r="NUD91" t="s">
        <v>437</v>
      </c>
      <c r="NUE91" t="s">
        <v>428</v>
      </c>
      <c r="NUG91" t="s">
        <v>146</v>
      </c>
      <c r="NUH91" t="s">
        <v>145</v>
      </c>
      <c r="NUI91" t="s">
        <v>398</v>
      </c>
      <c r="NUJ91">
        <v>1</v>
      </c>
      <c r="NUK91" t="s">
        <v>436</v>
      </c>
      <c r="NUL91" t="s">
        <v>437</v>
      </c>
      <c r="NUM91" t="s">
        <v>428</v>
      </c>
      <c r="NUO91" t="s">
        <v>146</v>
      </c>
      <c r="NUP91" t="s">
        <v>145</v>
      </c>
      <c r="NUQ91" t="s">
        <v>398</v>
      </c>
      <c r="NUR91">
        <v>1</v>
      </c>
      <c r="NUS91" t="s">
        <v>436</v>
      </c>
      <c r="NUT91" t="s">
        <v>437</v>
      </c>
      <c r="NUU91" t="s">
        <v>428</v>
      </c>
      <c r="NUW91" t="s">
        <v>146</v>
      </c>
      <c r="NUX91" t="s">
        <v>145</v>
      </c>
      <c r="NUY91" t="s">
        <v>398</v>
      </c>
      <c r="NUZ91">
        <v>1</v>
      </c>
      <c r="NVA91" t="s">
        <v>436</v>
      </c>
      <c r="NVB91" t="s">
        <v>437</v>
      </c>
      <c r="NVC91" t="s">
        <v>428</v>
      </c>
      <c r="NVE91" t="s">
        <v>146</v>
      </c>
      <c r="NVF91" t="s">
        <v>145</v>
      </c>
      <c r="NVG91" t="s">
        <v>398</v>
      </c>
      <c r="NVH91">
        <v>1</v>
      </c>
      <c r="NVI91" t="s">
        <v>436</v>
      </c>
      <c r="NVJ91" t="s">
        <v>437</v>
      </c>
      <c r="NVK91" t="s">
        <v>428</v>
      </c>
      <c r="NVM91" t="s">
        <v>146</v>
      </c>
      <c r="NVN91" t="s">
        <v>145</v>
      </c>
      <c r="NVO91" t="s">
        <v>398</v>
      </c>
      <c r="NVP91">
        <v>1</v>
      </c>
      <c r="NVQ91" t="s">
        <v>436</v>
      </c>
      <c r="NVR91" t="s">
        <v>437</v>
      </c>
      <c r="NVS91" t="s">
        <v>428</v>
      </c>
      <c r="NVU91" t="s">
        <v>146</v>
      </c>
      <c r="NVV91" t="s">
        <v>145</v>
      </c>
      <c r="NVW91" t="s">
        <v>398</v>
      </c>
      <c r="NVX91">
        <v>1</v>
      </c>
      <c r="NVY91" t="s">
        <v>436</v>
      </c>
      <c r="NVZ91" t="s">
        <v>437</v>
      </c>
      <c r="NWA91" t="s">
        <v>428</v>
      </c>
      <c r="NWC91" t="s">
        <v>146</v>
      </c>
      <c r="NWD91" t="s">
        <v>145</v>
      </c>
      <c r="NWE91" t="s">
        <v>398</v>
      </c>
      <c r="NWF91">
        <v>1</v>
      </c>
      <c r="NWG91" t="s">
        <v>436</v>
      </c>
      <c r="NWH91" t="s">
        <v>437</v>
      </c>
      <c r="NWI91" t="s">
        <v>428</v>
      </c>
      <c r="NWK91" t="s">
        <v>146</v>
      </c>
      <c r="NWL91" t="s">
        <v>145</v>
      </c>
      <c r="NWM91" t="s">
        <v>398</v>
      </c>
      <c r="NWN91">
        <v>1</v>
      </c>
      <c r="NWO91" t="s">
        <v>436</v>
      </c>
      <c r="NWP91" t="s">
        <v>437</v>
      </c>
      <c r="NWQ91" t="s">
        <v>428</v>
      </c>
      <c r="NWS91" t="s">
        <v>146</v>
      </c>
      <c r="NWT91" t="s">
        <v>145</v>
      </c>
      <c r="NWU91" t="s">
        <v>398</v>
      </c>
      <c r="NWV91">
        <v>1</v>
      </c>
      <c r="NWW91" t="s">
        <v>436</v>
      </c>
      <c r="NWX91" t="s">
        <v>437</v>
      </c>
      <c r="NWY91" t="s">
        <v>428</v>
      </c>
      <c r="NXA91" t="s">
        <v>146</v>
      </c>
      <c r="NXB91" t="s">
        <v>145</v>
      </c>
      <c r="NXC91" t="s">
        <v>398</v>
      </c>
      <c r="NXD91">
        <v>1</v>
      </c>
      <c r="NXE91" t="s">
        <v>436</v>
      </c>
      <c r="NXF91" t="s">
        <v>437</v>
      </c>
      <c r="NXG91" t="s">
        <v>428</v>
      </c>
      <c r="NXI91" t="s">
        <v>146</v>
      </c>
      <c r="NXJ91" t="s">
        <v>145</v>
      </c>
      <c r="NXK91" t="s">
        <v>398</v>
      </c>
      <c r="NXL91">
        <v>1</v>
      </c>
      <c r="NXM91" t="s">
        <v>436</v>
      </c>
      <c r="NXN91" t="s">
        <v>437</v>
      </c>
      <c r="NXO91" t="s">
        <v>428</v>
      </c>
      <c r="NXQ91" t="s">
        <v>146</v>
      </c>
      <c r="NXR91" t="s">
        <v>145</v>
      </c>
      <c r="NXS91" t="s">
        <v>398</v>
      </c>
      <c r="NXT91">
        <v>1</v>
      </c>
      <c r="NXU91" t="s">
        <v>436</v>
      </c>
      <c r="NXV91" t="s">
        <v>437</v>
      </c>
      <c r="NXW91" t="s">
        <v>428</v>
      </c>
      <c r="NXY91" t="s">
        <v>146</v>
      </c>
      <c r="NXZ91" t="s">
        <v>145</v>
      </c>
      <c r="NYA91" t="s">
        <v>398</v>
      </c>
      <c r="NYB91">
        <v>1</v>
      </c>
      <c r="NYC91" t="s">
        <v>436</v>
      </c>
      <c r="NYD91" t="s">
        <v>437</v>
      </c>
      <c r="NYE91" t="s">
        <v>428</v>
      </c>
      <c r="NYG91" t="s">
        <v>146</v>
      </c>
      <c r="NYH91" t="s">
        <v>145</v>
      </c>
      <c r="NYI91" t="s">
        <v>398</v>
      </c>
      <c r="NYJ91">
        <v>1</v>
      </c>
      <c r="NYK91" t="s">
        <v>436</v>
      </c>
      <c r="NYL91" t="s">
        <v>437</v>
      </c>
      <c r="NYM91" t="s">
        <v>428</v>
      </c>
      <c r="NYO91" t="s">
        <v>146</v>
      </c>
      <c r="NYP91" t="s">
        <v>145</v>
      </c>
      <c r="NYQ91" t="s">
        <v>398</v>
      </c>
      <c r="NYR91">
        <v>1</v>
      </c>
      <c r="NYS91" t="s">
        <v>436</v>
      </c>
      <c r="NYT91" t="s">
        <v>437</v>
      </c>
      <c r="NYU91" t="s">
        <v>428</v>
      </c>
      <c r="NYW91" t="s">
        <v>146</v>
      </c>
      <c r="NYX91" t="s">
        <v>145</v>
      </c>
      <c r="NYY91" t="s">
        <v>398</v>
      </c>
      <c r="NYZ91">
        <v>1</v>
      </c>
      <c r="NZA91" t="s">
        <v>436</v>
      </c>
      <c r="NZB91" t="s">
        <v>437</v>
      </c>
      <c r="NZC91" t="s">
        <v>428</v>
      </c>
      <c r="NZE91" t="s">
        <v>146</v>
      </c>
      <c r="NZF91" t="s">
        <v>145</v>
      </c>
      <c r="NZG91" t="s">
        <v>398</v>
      </c>
      <c r="NZH91">
        <v>1</v>
      </c>
      <c r="NZI91" t="s">
        <v>436</v>
      </c>
      <c r="NZJ91" t="s">
        <v>437</v>
      </c>
      <c r="NZK91" t="s">
        <v>428</v>
      </c>
      <c r="NZM91" t="s">
        <v>146</v>
      </c>
      <c r="NZN91" t="s">
        <v>145</v>
      </c>
      <c r="NZO91" t="s">
        <v>398</v>
      </c>
      <c r="NZP91">
        <v>1</v>
      </c>
      <c r="NZQ91" t="s">
        <v>436</v>
      </c>
      <c r="NZR91" t="s">
        <v>437</v>
      </c>
      <c r="NZS91" t="s">
        <v>428</v>
      </c>
      <c r="NZU91" t="s">
        <v>146</v>
      </c>
      <c r="NZV91" t="s">
        <v>145</v>
      </c>
      <c r="NZW91" t="s">
        <v>398</v>
      </c>
      <c r="NZX91">
        <v>1</v>
      </c>
      <c r="NZY91" t="s">
        <v>436</v>
      </c>
      <c r="NZZ91" t="s">
        <v>437</v>
      </c>
      <c r="OAA91" t="s">
        <v>428</v>
      </c>
      <c r="OAC91" t="s">
        <v>146</v>
      </c>
      <c r="OAD91" t="s">
        <v>145</v>
      </c>
      <c r="OAE91" t="s">
        <v>398</v>
      </c>
      <c r="OAF91">
        <v>1</v>
      </c>
      <c r="OAG91" t="s">
        <v>436</v>
      </c>
      <c r="OAH91" t="s">
        <v>437</v>
      </c>
      <c r="OAI91" t="s">
        <v>428</v>
      </c>
      <c r="OAK91" t="s">
        <v>146</v>
      </c>
      <c r="OAL91" t="s">
        <v>145</v>
      </c>
      <c r="OAM91" t="s">
        <v>398</v>
      </c>
      <c r="OAN91">
        <v>1</v>
      </c>
      <c r="OAO91" t="s">
        <v>436</v>
      </c>
      <c r="OAP91" t="s">
        <v>437</v>
      </c>
      <c r="OAQ91" t="s">
        <v>428</v>
      </c>
      <c r="OAS91" t="s">
        <v>146</v>
      </c>
      <c r="OAT91" t="s">
        <v>145</v>
      </c>
      <c r="OAU91" t="s">
        <v>398</v>
      </c>
      <c r="OAV91">
        <v>1</v>
      </c>
      <c r="OAW91" t="s">
        <v>436</v>
      </c>
      <c r="OAX91" t="s">
        <v>437</v>
      </c>
      <c r="OAY91" t="s">
        <v>428</v>
      </c>
      <c r="OBA91" t="s">
        <v>146</v>
      </c>
      <c r="OBB91" t="s">
        <v>145</v>
      </c>
      <c r="OBC91" t="s">
        <v>398</v>
      </c>
      <c r="OBD91">
        <v>1</v>
      </c>
      <c r="OBE91" t="s">
        <v>436</v>
      </c>
      <c r="OBF91" t="s">
        <v>437</v>
      </c>
      <c r="OBG91" t="s">
        <v>428</v>
      </c>
      <c r="OBI91" t="s">
        <v>146</v>
      </c>
      <c r="OBJ91" t="s">
        <v>145</v>
      </c>
      <c r="OBK91" t="s">
        <v>398</v>
      </c>
      <c r="OBL91">
        <v>1</v>
      </c>
      <c r="OBM91" t="s">
        <v>436</v>
      </c>
      <c r="OBN91" t="s">
        <v>437</v>
      </c>
      <c r="OBO91" t="s">
        <v>428</v>
      </c>
      <c r="OBQ91" t="s">
        <v>146</v>
      </c>
      <c r="OBR91" t="s">
        <v>145</v>
      </c>
      <c r="OBS91" t="s">
        <v>398</v>
      </c>
      <c r="OBT91">
        <v>1</v>
      </c>
      <c r="OBU91" t="s">
        <v>436</v>
      </c>
      <c r="OBV91" t="s">
        <v>437</v>
      </c>
      <c r="OBW91" t="s">
        <v>428</v>
      </c>
      <c r="OBY91" t="s">
        <v>146</v>
      </c>
      <c r="OBZ91" t="s">
        <v>145</v>
      </c>
      <c r="OCA91" t="s">
        <v>398</v>
      </c>
      <c r="OCB91">
        <v>1</v>
      </c>
      <c r="OCC91" t="s">
        <v>436</v>
      </c>
      <c r="OCD91" t="s">
        <v>437</v>
      </c>
      <c r="OCE91" t="s">
        <v>428</v>
      </c>
      <c r="OCG91" t="s">
        <v>146</v>
      </c>
      <c r="OCH91" t="s">
        <v>145</v>
      </c>
      <c r="OCI91" t="s">
        <v>398</v>
      </c>
      <c r="OCJ91">
        <v>1</v>
      </c>
      <c r="OCK91" t="s">
        <v>436</v>
      </c>
      <c r="OCL91" t="s">
        <v>437</v>
      </c>
      <c r="OCM91" t="s">
        <v>428</v>
      </c>
      <c r="OCO91" t="s">
        <v>146</v>
      </c>
      <c r="OCP91" t="s">
        <v>145</v>
      </c>
      <c r="OCQ91" t="s">
        <v>398</v>
      </c>
      <c r="OCR91">
        <v>1</v>
      </c>
      <c r="OCS91" t="s">
        <v>436</v>
      </c>
      <c r="OCT91" t="s">
        <v>437</v>
      </c>
      <c r="OCU91" t="s">
        <v>428</v>
      </c>
      <c r="OCW91" t="s">
        <v>146</v>
      </c>
      <c r="OCX91" t="s">
        <v>145</v>
      </c>
      <c r="OCY91" t="s">
        <v>398</v>
      </c>
      <c r="OCZ91">
        <v>1</v>
      </c>
      <c r="ODA91" t="s">
        <v>436</v>
      </c>
      <c r="ODB91" t="s">
        <v>437</v>
      </c>
      <c r="ODC91" t="s">
        <v>428</v>
      </c>
      <c r="ODE91" t="s">
        <v>146</v>
      </c>
      <c r="ODF91" t="s">
        <v>145</v>
      </c>
      <c r="ODG91" t="s">
        <v>398</v>
      </c>
      <c r="ODH91">
        <v>1</v>
      </c>
      <c r="ODI91" t="s">
        <v>436</v>
      </c>
      <c r="ODJ91" t="s">
        <v>437</v>
      </c>
      <c r="ODK91" t="s">
        <v>428</v>
      </c>
      <c r="ODM91" t="s">
        <v>146</v>
      </c>
      <c r="ODN91" t="s">
        <v>145</v>
      </c>
      <c r="ODO91" t="s">
        <v>398</v>
      </c>
      <c r="ODP91">
        <v>1</v>
      </c>
      <c r="ODQ91" t="s">
        <v>436</v>
      </c>
      <c r="ODR91" t="s">
        <v>437</v>
      </c>
      <c r="ODS91" t="s">
        <v>428</v>
      </c>
      <c r="ODU91" t="s">
        <v>146</v>
      </c>
      <c r="ODV91" t="s">
        <v>145</v>
      </c>
      <c r="ODW91" t="s">
        <v>398</v>
      </c>
      <c r="ODX91">
        <v>1</v>
      </c>
      <c r="ODY91" t="s">
        <v>436</v>
      </c>
      <c r="ODZ91" t="s">
        <v>437</v>
      </c>
      <c r="OEA91" t="s">
        <v>428</v>
      </c>
      <c r="OEC91" t="s">
        <v>146</v>
      </c>
      <c r="OED91" t="s">
        <v>145</v>
      </c>
      <c r="OEE91" t="s">
        <v>398</v>
      </c>
      <c r="OEF91">
        <v>1</v>
      </c>
      <c r="OEG91" t="s">
        <v>436</v>
      </c>
      <c r="OEH91" t="s">
        <v>437</v>
      </c>
      <c r="OEI91" t="s">
        <v>428</v>
      </c>
      <c r="OEK91" t="s">
        <v>146</v>
      </c>
      <c r="OEL91" t="s">
        <v>145</v>
      </c>
      <c r="OEM91" t="s">
        <v>398</v>
      </c>
      <c r="OEN91">
        <v>1</v>
      </c>
      <c r="OEO91" t="s">
        <v>436</v>
      </c>
      <c r="OEP91" t="s">
        <v>437</v>
      </c>
      <c r="OEQ91" t="s">
        <v>428</v>
      </c>
      <c r="OES91" t="s">
        <v>146</v>
      </c>
      <c r="OET91" t="s">
        <v>145</v>
      </c>
      <c r="OEU91" t="s">
        <v>398</v>
      </c>
      <c r="OEV91">
        <v>1</v>
      </c>
      <c r="OEW91" t="s">
        <v>436</v>
      </c>
      <c r="OEX91" t="s">
        <v>437</v>
      </c>
      <c r="OEY91" t="s">
        <v>428</v>
      </c>
      <c r="OFA91" t="s">
        <v>146</v>
      </c>
      <c r="OFB91" t="s">
        <v>145</v>
      </c>
      <c r="OFC91" t="s">
        <v>398</v>
      </c>
      <c r="OFD91">
        <v>1</v>
      </c>
      <c r="OFE91" t="s">
        <v>436</v>
      </c>
      <c r="OFF91" t="s">
        <v>437</v>
      </c>
      <c r="OFG91" t="s">
        <v>428</v>
      </c>
      <c r="OFI91" t="s">
        <v>146</v>
      </c>
      <c r="OFJ91" t="s">
        <v>145</v>
      </c>
      <c r="OFK91" t="s">
        <v>398</v>
      </c>
      <c r="OFL91">
        <v>1</v>
      </c>
      <c r="OFM91" t="s">
        <v>436</v>
      </c>
      <c r="OFN91" t="s">
        <v>437</v>
      </c>
      <c r="OFO91" t="s">
        <v>428</v>
      </c>
      <c r="OFQ91" t="s">
        <v>146</v>
      </c>
      <c r="OFR91" t="s">
        <v>145</v>
      </c>
      <c r="OFS91" t="s">
        <v>398</v>
      </c>
      <c r="OFT91">
        <v>1</v>
      </c>
      <c r="OFU91" t="s">
        <v>436</v>
      </c>
      <c r="OFV91" t="s">
        <v>437</v>
      </c>
      <c r="OFW91" t="s">
        <v>428</v>
      </c>
      <c r="OFY91" t="s">
        <v>146</v>
      </c>
      <c r="OFZ91" t="s">
        <v>145</v>
      </c>
      <c r="OGA91" t="s">
        <v>398</v>
      </c>
      <c r="OGB91">
        <v>1</v>
      </c>
      <c r="OGC91" t="s">
        <v>436</v>
      </c>
      <c r="OGD91" t="s">
        <v>437</v>
      </c>
      <c r="OGE91" t="s">
        <v>428</v>
      </c>
      <c r="OGG91" t="s">
        <v>146</v>
      </c>
      <c r="OGH91" t="s">
        <v>145</v>
      </c>
      <c r="OGI91" t="s">
        <v>398</v>
      </c>
      <c r="OGJ91">
        <v>1</v>
      </c>
      <c r="OGK91" t="s">
        <v>436</v>
      </c>
      <c r="OGL91" t="s">
        <v>437</v>
      </c>
      <c r="OGM91" t="s">
        <v>428</v>
      </c>
      <c r="OGO91" t="s">
        <v>146</v>
      </c>
      <c r="OGP91" t="s">
        <v>145</v>
      </c>
      <c r="OGQ91" t="s">
        <v>398</v>
      </c>
      <c r="OGR91">
        <v>1</v>
      </c>
      <c r="OGS91" t="s">
        <v>436</v>
      </c>
      <c r="OGT91" t="s">
        <v>437</v>
      </c>
      <c r="OGU91" t="s">
        <v>428</v>
      </c>
      <c r="OGW91" t="s">
        <v>146</v>
      </c>
      <c r="OGX91" t="s">
        <v>145</v>
      </c>
      <c r="OGY91" t="s">
        <v>398</v>
      </c>
      <c r="OGZ91">
        <v>1</v>
      </c>
      <c r="OHA91" t="s">
        <v>436</v>
      </c>
      <c r="OHB91" t="s">
        <v>437</v>
      </c>
      <c r="OHC91" t="s">
        <v>428</v>
      </c>
      <c r="OHE91" t="s">
        <v>146</v>
      </c>
      <c r="OHF91" t="s">
        <v>145</v>
      </c>
      <c r="OHG91" t="s">
        <v>398</v>
      </c>
      <c r="OHH91">
        <v>1</v>
      </c>
      <c r="OHI91" t="s">
        <v>436</v>
      </c>
      <c r="OHJ91" t="s">
        <v>437</v>
      </c>
      <c r="OHK91" t="s">
        <v>428</v>
      </c>
      <c r="OHM91" t="s">
        <v>146</v>
      </c>
      <c r="OHN91" t="s">
        <v>145</v>
      </c>
      <c r="OHO91" t="s">
        <v>398</v>
      </c>
      <c r="OHP91">
        <v>1</v>
      </c>
      <c r="OHQ91" t="s">
        <v>436</v>
      </c>
      <c r="OHR91" t="s">
        <v>437</v>
      </c>
      <c r="OHS91" t="s">
        <v>428</v>
      </c>
      <c r="OHU91" t="s">
        <v>146</v>
      </c>
      <c r="OHV91" t="s">
        <v>145</v>
      </c>
      <c r="OHW91" t="s">
        <v>398</v>
      </c>
      <c r="OHX91">
        <v>1</v>
      </c>
      <c r="OHY91" t="s">
        <v>436</v>
      </c>
      <c r="OHZ91" t="s">
        <v>437</v>
      </c>
      <c r="OIA91" t="s">
        <v>428</v>
      </c>
      <c r="OIC91" t="s">
        <v>146</v>
      </c>
      <c r="OID91" t="s">
        <v>145</v>
      </c>
      <c r="OIE91" t="s">
        <v>398</v>
      </c>
      <c r="OIF91">
        <v>1</v>
      </c>
      <c r="OIG91" t="s">
        <v>436</v>
      </c>
      <c r="OIH91" t="s">
        <v>437</v>
      </c>
      <c r="OII91" t="s">
        <v>428</v>
      </c>
      <c r="OIK91" t="s">
        <v>146</v>
      </c>
      <c r="OIL91" t="s">
        <v>145</v>
      </c>
      <c r="OIM91" t="s">
        <v>398</v>
      </c>
      <c r="OIN91">
        <v>1</v>
      </c>
      <c r="OIO91" t="s">
        <v>436</v>
      </c>
      <c r="OIP91" t="s">
        <v>437</v>
      </c>
      <c r="OIQ91" t="s">
        <v>428</v>
      </c>
      <c r="OIS91" t="s">
        <v>146</v>
      </c>
      <c r="OIT91" t="s">
        <v>145</v>
      </c>
      <c r="OIU91" t="s">
        <v>398</v>
      </c>
      <c r="OIV91">
        <v>1</v>
      </c>
      <c r="OIW91" t="s">
        <v>436</v>
      </c>
      <c r="OIX91" t="s">
        <v>437</v>
      </c>
      <c r="OIY91" t="s">
        <v>428</v>
      </c>
      <c r="OJA91" t="s">
        <v>146</v>
      </c>
      <c r="OJB91" t="s">
        <v>145</v>
      </c>
      <c r="OJC91" t="s">
        <v>398</v>
      </c>
      <c r="OJD91">
        <v>1</v>
      </c>
      <c r="OJE91" t="s">
        <v>436</v>
      </c>
      <c r="OJF91" t="s">
        <v>437</v>
      </c>
      <c r="OJG91" t="s">
        <v>428</v>
      </c>
      <c r="OJI91" t="s">
        <v>146</v>
      </c>
      <c r="OJJ91" t="s">
        <v>145</v>
      </c>
      <c r="OJK91" t="s">
        <v>398</v>
      </c>
      <c r="OJL91">
        <v>1</v>
      </c>
      <c r="OJM91" t="s">
        <v>436</v>
      </c>
      <c r="OJN91" t="s">
        <v>437</v>
      </c>
      <c r="OJO91" t="s">
        <v>428</v>
      </c>
      <c r="OJQ91" t="s">
        <v>146</v>
      </c>
      <c r="OJR91" t="s">
        <v>145</v>
      </c>
      <c r="OJS91" t="s">
        <v>398</v>
      </c>
      <c r="OJT91">
        <v>1</v>
      </c>
      <c r="OJU91" t="s">
        <v>436</v>
      </c>
      <c r="OJV91" t="s">
        <v>437</v>
      </c>
      <c r="OJW91" t="s">
        <v>428</v>
      </c>
      <c r="OJY91" t="s">
        <v>146</v>
      </c>
      <c r="OJZ91" t="s">
        <v>145</v>
      </c>
      <c r="OKA91" t="s">
        <v>398</v>
      </c>
      <c r="OKB91">
        <v>1</v>
      </c>
      <c r="OKC91" t="s">
        <v>436</v>
      </c>
      <c r="OKD91" t="s">
        <v>437</v>
      </c>
      <c r="OKE91" t="s">
        <v>428</v>
      </c>
      <c r="OKG91" t="s">
        <v>146</v>
      </c>
      <c r="OKH91" t="s">
        <v>145</v>
      </c>
      <c r="OKI91" t="s">
        <v>398</v>
      </c>
      <c r="OKJ91">
        <v>1</v>
      </c>
      <c r="OKK91" t="s">
        <v>436</v>
      </c>
      <c r="OKL91" t="s">
        <v>437</v>
      </c>
      <c r="OKM91" t="s">
        <v>428</v>
      </c>
      <c r="OKO91" t="s">
        <v>146</v>
      </c>
      <c r="OKP91" t="s">
        <v>145</v>
      </c>
      <c r="OKQ91" t="s">
        <v>398</v>
      </c>
      <c r="OKR91">
        <v>1</v>
      </c>
      <c r="OKS91" t="s">
        <v>436</v>
      </c>
      <c r="OKT91" t="s">
        <v>437</v>
      </c>
      <c r="OKU91" t="s">
        <v>428</v>
      </c>
      <c r="OKW91" t="s">
        <v>146</v>
      </c>
      <c r="OKX91" t="s">
        <v>145</v>
      </c>
      <c r="OKY91" t="s">
        <v>398</v>
      </c>
      <c r="OKZ91">
        <v>1</v>
      </c>
      <c r="OLA91" t="s">
        <v>436</v>
      </c>
      <c r="OLB91" t="s">
        <v>437</v>
      </c>
      <c r="OLC91" t="s">
        <v>428</v>
      </c>
      <c r="OLE91" t="s">
        <v>146</v>
      </c>
      <c r="OLF91" t="s">
        <v>145</v>
      </c>
      <c r="OLG91" t="s">
        <v>398</v>
      </c>
      <c r="OLH91">
        <v>1</v>
      </c>
      <c r="OLI91" t="s">
        <v>436</v>
      </c>
      <c r="OLJ91" t="s">
        <v>437</v>
      </c>
      <c r="OLK91" t="s">
        <v>428</v>
      </c>
      <c r="OLM91" t="s">
        <v>146</v>
      </c>
      <c r="OLN91" t="s">
        <v>145</v>
      </c>
      <c r="OLO91" t="s">
        <v>398</v>
      </c>
      <c r="OLP91">
        <v>1</v>
      </c>
      <c r="OLQ91" t="s">
        <v>436</v>
      </c>
      <c r="OLR91" t="s">
        <v>437</v>
      </c>
      <c r="OLS91" t="s">
        <v>428</v>
      </c>
      <c r="OLU91" t="s">
        <v>146</v>
      </c>
      <c r="OLV91" t="s">
        <v>145</v>
      </c>
      <c r="OLW91" t="s">
        <v>398</v>
      </c>
      <c r="OLX91">
        <v>1</v>
      </c>
      <c r="OLY91" t="s">
        <v>436</v>
      </c>
      <c r="OLZ91" t="s">
        <v>437</v>
      </c>
      <c r="OMA91" t="s">
        <v>428</v>
      </c>
      <c r="OMC91" t="s">
        <v>146</v>
      </c>
      <c r="OMD91" t="s">
        <v>145</v>
      </c>
      <c r="OME91" t="s">
        <v>398</v>
      </c>
      <c r="OMF91">
        <v>1</v>
      </c>
      <c r="OMG91" t="s">
        <v>436</v>
      </c>
      <c r="OMH91" t="s">
        <v>437</v>
      </c>
      <c r="OMI91" t="s">
        <v>428</v>
      </c>
      <c r="OMK91" t="s">
        <v>146</v>
      </c>
      <c r="OML91" t="s">
        <v>145</v>
      </c>
      <c r="OMM91" t="s">
        <v>398</v>
      </c>
      <c r="OMN91">
        <v>1</v>
      </c>
      <c r="OMO91" t="s">
        <v>436</v>
      </c>
      <c r="OMP91" t="s">
        <v>437</v>
      </c>
      <c r="OMQ91" t="s">
        <v>428</v>
      </c>
      <c r="OMS91" t="s">
        <v>146</v>
      </c>
      <c r="OMT91" t="s">
        <v>145</v>
      </c>
      <c r="OMU91" t="s">
        <v>398</v>
      </c>
      <c r="OMV91">
        <v>1</v>
      </c>
      <c r="OMW91" t="s">
        <v>436</v>
      </c>
      <c r="OMX91" t="s">
        <v>437</v>
      </c>
      <c r="OMY91" t="s">
        <v>428</v>
      </c>
      <c r="ONA91" t="s">
        <v>146</v>
      </c>
      <c r="ONB91" t="s">
        <v>145</v>
      </c>
      <c r="ONC91" t="s">
        <v>398</v>
      </c>
      <c r="OND91">
        <v>1</v>
      </c>
      <c r="ONE91" t="s">
        <v>436</v>
      </c>
      <c r="ONF91" t="s">
        <v>437</v>
      </c>
      <c r="ONG91" t="s">
        <v>428</v>
      </c>
      <c r="ONI91" t="s">
        <v>146</v>
      </c>
      <c r="ONJ91" t="s">
        <v>145</v>
      </c>
      <c r="ONK91" t="s">
        <v>398</v>
      </c>
      <c r="ONL91">
        <v>1</v>
      </c>
      <c r="ONM91" t="s">
        <v>436</v>
      </c>
      <c r="ONN91" t="s">
        <v>437</v>
      </c>
      <c r="ONO91" t="s">
        <v>428</v>
      </c>
      <c r="ONQ91" t="s">
        <v>146</v>
      </c>
      <c r="ONR91" t="s">
        <v>145</v>
      </c>
      <c r="ONS91" t="s">
        <v>398</v>
      </c>
      <c r="ONT91">
        <v>1</v>
      </c>
      <c r="ONU91" t="s">
        <v>436</v>
      </c>
      <c r="ONV91" t="s">
        <v>437</v>
      </c>
      <c r="ONW91" t="s">
        <v>428</v>
      </c>
      <c r="ONY91" t="s">
        <v>146</v>
      </c>
      <c r="ONZ91" t="s">
        <v>145</v>
      </c>
      <c r="OOA91" t="s">
        <v>398</v>
      </c>
      <c r="OOB91">
        <v>1</v>
      </c>
      <c r="OOC91" t="s">
        <v>436</v>
      </c>
      <c r="OOD91" t="s">
        <v>437</v>
      </c>
      <c r="OOE91" t="s">
        <v>428</v>
      </c>
      <c r="OOG91" t="s">
        <v>146</v>
      </c>
      <c r="OOH91" t="s">
        <v>145</v>
      </c>
      <c r="OOI91" t="s">
        <v>398</v>
      </c>
      <c r="OOJ91">
        <v>1</v>
      </c>
      <c r="OOK91" t="s">
        <v>436</v>
      </c>
      <c r="OOL91" t="s">
        <v>437</v>
      </c>
      <c r="OOM91" t="s">
        <v>428</v>
      </c>
      <c r="OOO91" t="s">
        <v>146</v>
      </c>
      <c r="OOP91" t="s">
        <v>145</v>
      </c>
      <c r="OOQ91" t="s">
        <v>398</v>
      </c>
      <c r="OOR91">
        <v>1</v>
      </c>
      <c r="OOS91" t="s">
        <v>436</v>
      </c>
      <c r="OOT91" t="s">
        <v>437</v>
      </c>
      <c r="OOU91" t="s">
        <v>428</v>
      </c>
      <c r="OOW91" t="s">
        <v>146</v>
      </c>
      <c r="OOX91" t="s">
        <v>145</v>
      </c>
      <c r="OOY91" t="s">
        <v>398</v>
      </c>
      <c r="OOZ91">
        <v>1</v>
      </c>
      <c r="OPA91" t="s">
        <v>436</v>
      </c>
      <c r="OPB91" t="s">
        <v>437</v>
      </c>
      <c r="OPC91" t="s">
        <v>428</v>
      </c>
      <c r="OPE91" t="s">
        <v>146</v>
      </c>
      <c r="OPF91" t="s">
        <v>145</v>
      </c>
      <c r="OPG91" t="s">
        <v>398</v>
      </c>
      <c r="OPH91">
        <v>1</v>
      </c>
      <c r="OPI91" t="s">
        <v>436</v>
      </c>
      <c r="OPJ91" t="s">
        <v>437</v>
      </c>
      <c r="OPK91" t="s">
        <v>428</v>
      </c>
      <c r="OPM91" t="s">
        <v>146</v>
      </c>
      <c r="OPN91" t="s">
        <v>145</v>
      </c>
      <c r="OPO91" t="s">
        <v>398</v>
      </c>
      <c r="OPP91">
        <v>1</v>
      </c>
      <c r="OPQ91" t="s">
        <v>436</v>
      </c>
      <c r="OPR91" t="s">
        <v>437</v>
      </c>
      <c r="OPS91" t="s">
        <v>428</v>
      </c>
      <c r="OPU91" t="s">
        <v>146</v>
      </c>
      <c r="OPV91" t="s">
        <v>145</v>
      </c>
      <c r="OPW91" t="s">
        <v>398</v>
      </c>
      <c r="OPX91">
        <v>1</v>
      </c>
      <c r="OPY91" t="s">
        <v>436</v>
      </c>
      <c r="OPZ91" t="s">
        <v>437</v>
      </c>
      <c r="OQA91" t="s">
        <v>428</v>
      </c>
      <c r="OQC91" t="s">
        <v>146</v>
      </c>
      <c r="OQD91" t="s">
        <v>145</v>
      </c>
      <c r="OQE91" t="s">
        <v>398</v>
      </c>
      <c r="OQF91">
        <v>1</v>
      </c>
      <c r="OQG91" t="s">
        <v>436</v>
      </c>
      <c r="OQH91" t="s">
        <v>437</v>
      </c>
      <c r="OQI91" t="s">
        <v>428</v>
      </c>
      <c r="OQK91" t="s">
        <v>146</v>
      </c>
      <c r="OQL91" t="s">
        <v>145</v>
      </c>
      <c r="OQM91" t="s">
        <v>398</v>
      </c>
      <c r="OQN91">
        <v>1</v>
      </c>
      <c r="OQO91" t="s">
        <v>436</v>
      </c>
      <c r="OQP91" t="s">
        <v>437</v>
      </c>
      <c r="OQQ91" t="s">
        <v>428</v>
      </c>
      <c r="OQS91" t="s">
        <v>146</v>
      </c>
      <c r="OQT91" t="s">
        <v>145</v>
      </c>
      <c r="OQU91" t="s">
        <v>398</v>
      </c>
      <c r="OQV91">
        <v>1</v>
      </c>
      <c r="OQW91" t="s">
        <v>436</v>
      </c>
      <c r="OQX91" t="s">
        <v>437</v>
      </c>
      <c r="OQY91" t="s">
        <v>428</v>
      </c>
      <c r="ORA91" t="s">
        <v>146</v>
      </c>
      <c r="ORB91" t="s">
        <v>145</v>
      </c>
      <c r="ORC91" t="s">
        <v>398</v>
      </c>
      <c r="ORD91">
        <v>1</v>
      </c>
      <c r="ORE91" t="s">
        <v>436</v>
      </c>
      <c r="ORF91" t="s">
        <v>437</v>
      </c>
      <c r="ORG91" t="s">
        <v>428</v>
      </c>
      <c r="ORI91" t="s">
        <v>146</v>
      </c>
      <c r="ORJ91" t="s">
        <v>145</v>
      </c>
      <c r="ORK91" t="s">
        <v>398</v>
      </c>
      <c r="ORL91">
        <v>1</v>
      </c>
      <c r="ORM91" t="s">
        <v>436</v>
      </c>
      <c r="ORN91" t="s">
        <v>437</v>
      </c>
      <c r="ORO91" t="s">
        <v>428</v>
      </c>
      <c r="ORQ91" t="s">
        <v>146</v>
      </c>
      <c r="ORR91" t="s">
        <v>145</v>
      </c>
      <c r="ORS91" t="s">
        <v>398</v>
      </c>
      <c r="ORT91">
        <v>1</v>
      </c>
      <c r="ORU91" t="s">
        <v>436</v>
      </c>
      <c r="ORV91" t="s">
        <v>437</v>
      </c>
      <c r="ORW91" t="s">
        <v>428</v>
      </c>
      <c r="ORY91" t="s">
        <v>146</v>
      </c>
      <c r="ORZ91" t="s">
        <v>145</v>
      </c>
      <c r="OSA91" t="s">
        <v>398</v>
      </c>
      <c r="OSB91">
        <v>1</v>
      </c>
      <c r="OSC91" t="s">
        <v>436</v>
      </c>
      <c r="OSD91" t="s">
        <v>437</v>
      </c>
      <c r="OSE91" t="s">
        <v>428</v>
      </c>
      <c r="OSG91" t="s">
        <v>146</v>
      </c>
      <c r="OSH91" t="s">
        <v>145</v>
      </c>
      <c r="OSI91" t="s">
        <v>398</v>
      </c>
      <c r="OSJ91">
        <v>1</v>
      </c>
      <c r="OSK91" t="s">
        <v>436</v>
      </c>
      <c r="OSL91" t="s">
        <v>437</v>
      </c>
      <c r="OSM91" t="s">
        <v>428</v>
      </c>
      <c r="OSO91" t="s">
        <v>146</v>
      </c>
      <c r="OSP91" t="s">
        <v>145</v>
      </c>
      <c r="OSQ91" t="s">
        <v>398</v>
      </c>
      <c r="OSR91">
        <v>1</v>
      </c>
      <c r="OSS91" t="s">
        <v>436</v>
      </c>
      <c r="OST91" t="s">
        <v>437</v>
      </c>
      <c r="OSU91" t="s">
        <v>428</v>
      </c>
      <c r="OSW91" t="s">
        <v>146</v>
      </c>
      <c r="OSX91" t="s">
        <v>145</v>
      </c>
      <c r="OSY91" t="s">
        <v>398</v>
      </c>
      <c r="OSZ91">
        <v>1</v>
      </c>
      <c r="OTA91" t="s">
        <v>436</v>
      </c>
      <c r="OTB91" t="s">
        <v>437</v>
      </c>
      <c r="OTC91" t="s">
        <v>428</v>
      </c>
      <c r="OTE91" t="s">
        <v>146</v>
      </c>
      <c r="OTF91" t="s">
        <v>145</v>
      </c>
      <c r="OTG91" t="s">
        <v>398</v>
      </c>
      <c r="OTH91">
        <v>1</v>
      </c>
      <c r="OTI91" t="s">
        <v>436</v>
      </c>
      <c r="OTJ91" t="s">
        <v>437</v>
      </c>
      <c r="OTK91" t="s">
        <v>428</v>
      </c>
      <c r="OTM91" t="s">
        <v>146</v>
      </c>
      <c r="OTN91" t="s">
        <v>145</v>
      </c>
      <c r="OTO91" t="s">
        <v>398</v>
      </c>
      <c r="OTP91">
        <v>1</v>
      </c>
      <c r="OTQ91" t="s">
        <v>436</v>
      </c>
      <c r="OTR91" t="s">
        <v>437</v>
      </c>
      <c r="OTS91" t="s">
        <v>428</v>
      </c>
      <c r="OTU91" t="s">
        <v>146</v>
      </c>
      <c r="OTV91" t="s">
        <v>145</v>
      </c>
      <c r="OTW91" t="s">
        <v>398</v>
      </c>
      <c r="OTX91">
        <v>1</v>
      </c>
      <c r="OTY91" t="s">
        <v>436</v>
      </c>
      <c r="OTZ91" t="s">
        <v>437</v>
      </c>
      <c r="OUA91" t="s">
        <v>428</v>
      </c>
      <c r="OUC91" t="s">
        <v>146</v>
      </c>
      <c r="OUD91" t="s">
        <v>145</v>
      </c>
      <c r="OUE91" t="s">
        <v>398</v>
      </c>
      <c r="OUF91">
        <v>1</v>
      </c>
      <c r="OUG91" t="s">
        <v>436</v>
      </c>
      <c r="OUH91" t="s">
        <v>437</v>
      </c>
      <c r="OUI91" t="s">
        <v>428</v>
      </c>
      <c r="OUK91" t="s">
        <v>146</v>
      </c>
      <c r="OUL91" t="s">
        <v>145</v>
      </c>
      <c r="OUM91" t="s">
        <v>398</v>
      </c>
      <c r="OUN91">
        <v>1</v>
      </c>
      <c r="OUO91" t="s">
        <v>436</v>
      </c>
      <c r="OUP91" t="s">
        <v>437</v>
      </c>
      <c r="OUQ91" t="s">
        <v>428</v>
      </c>
      <c r="OUS91" t="s">
        <v>146</v>
      </c>
      <c r="OUT91" t="s">
        <v>145</v>
      </c>
      <c r="OUU91" t="s">
        <v>398</v>
      </c>
      <c r="OUV91">
        <v>1</v>
      </c>
      <c r="OUW91" t="s">
        <v>436</v>
      </c>
      <c r="OUX91" t="s">
        <v>437</v>
      </c>
      <c r="OUY91" t="s">
        <v>428</v>
      </c>
      <c r="OVA91" t="s">
        <v>146</v>
      </c>
      <c r="OVB91" t="s">
        <v>145</v>
      </c>
      <c r="OVC91" t="s">
        <v>398</v>
      </c>
      <c r="OVD91">
        <v>1</v>
      </c>
      <c r="OVE91" t="s">
        <v>436</v>
      </c>
      <c r="OVF91" t="s">
        <v>437</v>
      </c>
      <c r="OVG91" t="s">
        <v>428</v>
      </c>
      <c r="OVI91" t="s">
        <v>146</v>
      </c>
      <c r="OVJ91" t="s">
        <v>145</v>
      </c>
      <c r="OVK91" t="s">
        <v>398</v>
      </c>
      <c r="OVL91">
        <v>1</v>
      </c>
      <c r="OVM91" t="s">
        <v>436</v>
      </c>
      <c r="OVN91" t="s">
        <v>437</v>
      </c>
      <c r="OVO91" t="s">
        <v>428</v>
      </c>
      <c r="OVQ91" t="s">
        <v>146</v>
      </c>
      <c r="OVR91" t="s">
        <v>145</v>
      </c>
      <c r="OVS91" t="s">
        <v>398</v>
      </c>
      <c r="OVT91">
        <v>1</v>
      </c>
      <c r="OVU91" t="s">
        <v>436</v>
      </c>
      <c r="OVV91" t="s">
        <v>437</v>
      </c>
      <c r="OVW91" t="s">
        <v>428</v>
      </c>
      <c r="OVY91" t="s">
        <v>146</v>
      </c>
      <c r="OVZ91" t="s">
        <v>145</v>
      </c>
      <c r="OWA91" t="s">
        <v>398</v>
      </c>
      <c r="OWB91">
        <v>1</v>
      </c>
      <c r="OWC91" t="s">
        <v>436</v>
      </c>
      <c r="OWD91" t="s">
        <v>437</v>
      </c>
      <c r="OWE91" t="s">
        <v>428</v>
      </c>
      <c r="OWG91" t="s">
        <v>146</v>
      </c>
      <c r="OWH91" t="s">
        <v>145</v>
      </c>
      <c r="OWI91" t="s">
        <v>398</v>
      </c>
      <c r="OWJ91">
        <v>1</v>
      </c>
      <c r="OWK91" t="s">
        <v>436</v>
      </c>
      <c r="OWL91" t="s">
        <v>437</v>
      </c>
      <c r="OWM91" t="s">
        <v>428</v>
      </c>
      <c r="OWO91" t="s">
        <v>146</v>
      </c>
      <c r="OWP91" t="s">
        <v>145</v>
      </c>
      <c r="OWQ91" t="s">
        <v>398</v>
      </c>
      <c r="OWR91">
        <v>1</v>
      </c>
      <c r="OWS91" t="s">
        <v>436</v>
      </c>
      <c r="OWT91" t="s">
        <v>437</v>
      </c>
      <c r="OWU91" t="s">
        <v>428</v>
      </c>
      <c r="OWW91" t="s">
        <v>146</v>
      </c>
      <c r="OWX91" t="s">
        <v>145</v>
      </c>
      <c r="OWY91" t="s">
        <v>398</v>
      </c>
      <c r="OWZ91">
        <v>1</v>
      </c>
      <c r="OXA91" t="s">
        <v>436</v>
      </c>
      <c r="OXB91" t="s">
        <v>437</v>
      </c>
      <c r="OXC91" t="s">
        <v>428</v>
      </c>
      <c r="OXE91" t="s">
        <v>146</v>
      </c>
      <c r="OXF91" t="s">
        <v>145</v>
      </c>
      <c r="OXG91" t="s">
        <v>398</v>
      </c>
      <c r="OXH91">
        <v>1</v>
      </c>
      <c r="OXI91" t="s">
        <v>436</v>
      </c>
      <c r="OXJ91" t="s">
        <v>437</v>
      </c>
      <c r="OXK91" t="s">
        <v>428</v>
      </c>
      <c r="OXM91" t="s">
        <v>146</v>
      </c>
      <c r="OXN91" t="s">
        <v>145</v>
      </c>
      <c r="OXO91" t="s">
        <v>398</v>
      </c>
      <c r="OXP91">
        <v>1</v>
      </c>
      <c r="OXQ91" t="s">
        <v>436</v>
      </c>
      <c r="OXR91" t="s">
        <v>437</v>
      </c>
      <c r="OXS91" t="s">
        <v>428</v>
      </c>
      <c r="OXU91" t="s">
        <v>146</v>
      </c>
      <c r="OXV91" t="s">
        <v>145</v>
      </c>
      <c r="OXW91" t="s">
        <v>398</v>
      </c>
      <c r="OXX91">
        <v>1</v>
      </c>
      <c r="OXY91" t="s">
        <v>436</v>
      </c>
      <c r="OXZ91" t="s">
        <v>437</v>
      </c>
      <c r="OYA91" t="s">
        <v>428</v>
      </c>
      <c r="OYC91" t="s">
        <v>146</v>
      </c>
      <c r="OYD91" t="s">
        <v>145</v>
      </c>
      <c r="OYE91" t="s">
        <v>398</v>
      </c>
      <c r="OYF91">
        <v>1</v>
      </c>
      <c r="OYG91" t="s">
        <v>436</v>
      </c>
      <c r="OYH91" t="s">
        <v>437</v>
      </c>
      <c r="OYI91" t="s">
        <v>428</v>
      </c>
      <c r="OYK91" t="s">
        <v>146</v>
      </c>
      <c r="OYL91" t="s">
        <v>145</v>
      </c>
      <c r="OYM91" t="s">
        <v>398</v>
      </c>
      <c r="OYN91">
        <v>1</v>
      </c>
      <c r="OYO91" t="s">
        <v>436</v>
      </c>
      <c r="OYP91" t="s">
        <v>437</v>
      </c>
      <c r="OYQ91" t="s">
        <v>428</v>
      </c>
      <c r="OYS91" t="s">
        <v>146</v>
      </c>
      <c r="OYT91" t="s">
        <v>145</v>
      </c>
      <c r="OYU91" t="s">
        <v>398</v>
      </c>
      <c r="OYV91">
        <v>1</v>
      </c>
      <c r="OYW91" t="s">
        <v>436</v>
      </c>
      <c r="OYX91" t="s">
        <v>437</v>
      </c>
      <c r="OYY91" t="s">
        <v>428</v>
      </c>
      <c r="OZA91" t="s">
        <v>146</v>
      </c>
      <c r="OZB91" t="s">
        <v>145</v>
      </c>
      <c r="OZC91" t="s">
        <v>398</v>
      </c>
      <c r="OZD91">
        <v>1</v>
      </c>
      <c r="OZE91" t="s">
        <v>436</v>
      </c>
      <c r="OZF91" t="s">
        <v>437</v>
      </c>
      <c r="OZG91" t="s">
        <v>428</v>
      </c>
      <c r="OZI91" t="s">
        <v>146</v>
      </c>
      <c r="OZJ91" t="s">
        <v>145</v>
      </c>
      <c r="OZK91" t="s">
        <v>398</v>
      </c>
      <c r="OZL91">
        <v>1</v>
      </c>
      <c r="OZM91" t="s">
        <v>436</v>
      </c>
      <c r="OZN91" t="s">
        <v>437</v>
      </c>
      <c r="OZO91" t="s">
        <v>428</v>
      </c>
      <c r="OZQ91" t="s">
        <v>146</v>
      </c>
      <c r="OZR91" t="s">
        <v>145</v>
      </c>
      <c r="OZS91" t="s">
        <v>398</v>
      </c>
      <c r="OZT91">
        <v>1</v>
      </c>
      <c r="OZU91" t="s">
        <v>436</v>
      </c>
      <c r="OZV91" t="s">
        <v>437</v>
      </c>
      <c r="OZW91" t="s">
        <v>428</v>
      </c>
      <c r="OZY91" t="s">
        <v>146</v>
      </c>
      <c r="OZZ91" t="s">
        <v>145</v>
      </c>
      <c r="PAA91" t="s">
        <v>398</v>
      </c>
      <c r="PAB91">
        <v>1</v>
      </c>
      <c r="PAC91" t="s">
        <v>436</v>
      </c>
      <c r="PAD91" t="s">
        <v>437</v>
      </c>
      <c r="PAE91" t="s">
        <v>428</v>
      </c>
      <c r="PAG91" t="s">
        <v>146</v>
      </c>
      <c r="PAH91" t="s">
        <v>145</v>
      </c>
      <c r="PAI91" t="s">
        <v>398</v>
      </c>
      <c r="PAJ91">
        <v>1</v>
      </c>
      <c r="PAK91" t="s">
        <v>436</v>
      </c>
      <c r="PAL91" t="s">
        <v>437</v>
      </c>
      <c r="PAM91" t="s">
        <v>428</v>
      </c>
      <c r="PAO91" t="s">
        <v>146</v>
      </c>
      <c r="PAP91" t="s">
        <v>145</v>
      </c>
      <c r="PAQ91" t="s">
        <v>398</v>
      </c>
      <c r="PAR91">
        <v>1</v>
      </c>
      <c r="PAS91" t="s">
        <v>436</v>
      </c>
      <c r="PAT91" t="s">
        <v>437</v>
      </c>
      <c r="PAU91" t="s">
        <v>428</v>
      </c>
      <c r="PAW91" t="s">
        <v>146</v>
      </c>
      <c r="PAX91" t="s">
        <v>145</v>
      </c>
      <c r="PAY91" t="s">
        <v>398</v>
      </c>
      <c r="PAZ91">
        <v>1</v>
      </c>
      <c r="PBA91" t="s">
        <v>436</v>
      </c>
      <c r="PBB91" t="s">
        <v>437</v>
      </c>
      <c r="PBC91" t="s">
        <v>428</v>
      </c>
      <c r="PBE91" t="s">
        <v>146</v>
      </c>
      <c r="PBF91" t="s">
        <v>145</v>
      </c>
      <c r="PBG91" t="s">
        <v>398</v>
      </c>
      <c r="PBH91">
        <v>1</v>
      </c>
      <c r="PBI91" t="s">
        <v>436</v>
      </c>
      <c r="PBJ91" t="s">
        <v>437</v>
      </c>
      <c r="PBK91" t="s">
        <v>428</v>
      </c>
      <c r="PBM91" t="s">
        <v>146</v>
      </c>
      <c r="PBN91" t="s">
        <v>145</v>
      </c>
      <c r="PBO91" t="s">
        <v>398</v>
      </c>
      <c r="PBP91">
        <v>1</v>
      </c>
      <c r="PBQ91" t="s">
        <v>436</v>
      </c>
      <c r="PBR91" t="s">
        <v>437</v>
      </c>
      <c r="PBS91" t="s">
        <v>428</v>
      </c>
      <c r="PBU91" t="s">
        <v>146</v>
      </c>
      <c r="PBV91" t="s">
        <v>145</v>
      </c>
      <c r="PBW91" t="s">
        <v>398</v>
      </c>
      <c r="PBX91">
        <v>1</v>
      </c>
      <c r="PBY91" t="s">
        <v>436</v>
      </c>
      <c r="PBZ91" t="s">
        <v>437</v>
      </c>
      <c r="PCA91" t="s">
        <v>428</v>
      </c>
      <c r="PCC91" t="s">
        <v>146</v>
      </c>
      <c r="PCD91" t="s">
        <v>145</v>
      </c>
      <c r="PCE91" t="s">
        <v>398</v>
      </c>
      <c r="PCF91">
        <v>1</v>
      </c>
      <c r="PCG91" t="s">
        <v>436</v>
      </c>
      <c r="PCH91" t="s">
        <v>437</v>
      </c>
      <c r="PCI91" t="s">
        <v>428</v>
      </c>
      <c r="PCK91" t="s">
        <v>146</v>
      </c>
      <c r="PCL91" t="s">
        <v>145</v>
      </c>
      <c r="PCM91" t="s">
        <v>398</v>
      </c>
      <c r="PCN91">
        <v>1</v>
      </c>
      <c r="PCO91" t="s">
        <v>436</v>
      </c>
      <c r="PCP91" t="s">
        <v>437</v>
      </c>
      <c r="PCQ91" t="s">
        <v>428</v>
      </c>
      <c r="PCS91" t="s">
        <v>146</v>
      </c>
      <c r="PCT91" t="s">
        <v>145</v>
      </c>
      <c r="PCU91" t="s">
        <v>398</v>
      </c>
      <c r="PCV91">
        <v>1</v>
      </c>
      <c r="PCW91" t="s">
        <v>436</v>
      </c>
      <c r="PCX91" t="s">
        <v>437</v>
      </c>
      <c r="PCY91" t="s">
        <v>428</v>
      </c>
      <c r="PDA91" t="s">
        <v>146</v>
      </c>
      <c r="PDB91" t="s">
        <v>145</v>
      </c>
      <c r="PDC91" t="s">
        <v>398</v>
      </c>
      <c r="PDD91">
        <v>1</v>
      </c>
      <c r="PDE91" t="s">
        <v>436</v>
      </c>
      <c r="PDF91" t="s">
        <v>437</v>
      </c>
      <c r="PDG91" t="s">
        <v>428</v>
      </c>
      <c r="PDI91" t="s">
        <v>146</v>
      </c>
      <c r="PDJ91" t="s">
        <v>145</v>
      </c>
      <c r="PDK91" t="s">
        <v>398</v>
      </c>
      <c r="PDL91">
        <v>1</v>
      </c>
      <c r="PDM91" t="s">
        <v>436</v>
      </c>
      <c r="PDN91" t="s">
        <v>437</v>
      </c>
      <c r="PDO91" t="s">
        <v>428</v>
      </c>
      <c r="PDQ91" t="s">
        <v>146</v>
      </c>
      <c r="PDR91" t="s">
        <v>145</v>
      </c>
      <c r="PDS91" t="s">
        <v>398</v>
      </c>
      <c r="PDT91">
        <v>1</v>
      </c>
      <c r="PDU91" t="s">
        <v>436</v>
      </c>
      <c r="PDV91" t="s">
        <v>437</v>
      </c>
      <c r="PDW91" t="s">
        <v>428</v>
      </c>
      <c r="PDY91" t="s">
        <v>146</v>
      </c>
      <c r="PDZ91" t="s">
        <v>145</v>
      </c>
      <c r="PEA91" t="s">
        <v>398</v>
      </c>
      <c r="PEB91">
        <v>1</v>
      </c>
      <c r="PEC91" t="s">
        <v>436</v>
      </c>
      <c r="PED91" t="s">
        <v>437</v>
      </c>
      <c r="PEE91" t="s">
        <v>428</v>
      </c>
      <c r="PEG91" t="s">
        <v>146</v>
      </c>
      <c r="PEH91" t="s">
        <v>145</v>
      </c>
      <c r="PEI91" t="s">
        <v>398</v>
      </c>
      <c r="PEJ91">
        <v>1</v>
      </c>
      <c r="PEK91" t="s">
        <v>436</v>
      </c>
      <c r="PEL91" t="s">
        <v>437</v>
      </c>
      <c r="PEM91" t="s">
        <v>428</v>
      </c>
      <c r="PEO91" t="s">
        <v>146</v>
      </c>
      <c r="PEP91" t="s">
        <v>145</v>
      </c>
      <c r="PEQ91" t="s">
        <v>398</v>
      </c>
      <c r="PER91">
        <v>1</v>
      </c>
      <c r="PES91" t="s">
        <v>436</v>
      </c>
      <c r="PET91" t="s">
        <v>437</v>
      </c>
      <c r="PEU91" t="s">
        <v>428</v>
      </c>
      <c r="PEW91" t="s">
        <v>146</v>
      </c>
      <c r="PEX91" t="s">
        <v>145</v>
      </c>
      <c r="PEY91" t="s">
        <v>398</v>
      </c>
      <c r="PEZ91">
        <v>1</v>
      </c>
      <c r="PFA91" t="s">
        <v>436</v>
      </c>
      <c r="PFB91" t="s">
        <v>437</v>
      </c>
      <c r="PFC91" t="s">
        <v>428</v>
      </c>
      <c r="PFE91" t="s">
        <v>146</v>
      </c>
      <c r="PFF91" t="s">
        <v>145</v>
      </c>
      <c r="PFG91" t="s">
        <v>398</v>
      </c>
      <c r="PFH91">
        <v>1</v>
      </c>
      <c r="PFI91" t="s">
        <v>436</v>
      </c>
      <c r="PFJ91" t="s">
        <v>437</v>
      </c>
      <c r="PFK91" t="s">
        <v>428</v>
      </c>
      <c r="PFM91" t="s">
        <v>146</v>
      </c>
      <c r="PFN91" t="s">
        <v>145</v>
      </c>
      <c r="PFO91" t="s">
        <v>398</v>
      </c>
      <c r="PFP91">
        <v>1</v>
      </c>
      <c r="PFQ91" t="s">
        <v>436</v>
      </c>
      <c r="PFR91" t="s">
        <v>437</v>
      </c>
      <c r="PFS91" t="s">
        <v>428</v>
      </c>
      <c r="PFU91" t="s">
        <v>146</v>
      </c>
      <c r="PFV91" t="s">
        <v>145</v>
      </c>
      <c r="PFW91" t="s">
        <v>398</v>
      </c>
      <c r="PFX91">
        <v>1</v>
      </c>
      <c r="PFY91" t="s">
        <v>436</v>
      </c>
      <c r="PFZ91" t="s">
        <v>437</v>
      </c>
      <c r="PGA91" t="s">
        <v>428</v>
      </c>
      <c r="PGC91" t="s">
        <v>146</v>
      </c>
      <c r="PGD91" t="s">
        <v>145</v>
      </c>
      <c r="PGE91" t="s">
        <v>398</v>
      </c>
      <c r="PGF91">
        <v>1</v>
      </c>
      <c r="PGG91" t="s">
        <v>436</v>
      </c>
      <c r="PGH91" t="s">
        <v>437</v>
      </c>
      <c r="PGI91" t="s">
        <v>428</v>
      </c>
      <c r="PGK91" t="s">
        <v>146</v>
      </c>
      <c r="PGL91" t="s">
        <v>145</v>
      </c>
      <c r="PGM91" t="s">
        <v>398</v>
      </c>
      <c r="PGN91">
        <v>1</v>
      </c>
      <c r="PGO91" t="s">
        <v>436</v>
      </c>
      <c r="PGP91" t="s">
        <v>437</v>
      </c>
      <c r="PGQ91" t="s">
        <v>428</v>
      </c>
      <c r="PGS91" t="s">
        <v>146</v>
      </c>
      <c r="PGT91" t="s">
        <v>145</v>
      </c>
      <c r="PGU91" t="s">
        <v>398</v>
      </c>
      <c r="PGV91">
        <v>1</v>
      </c>
      <c r="PGW91" t="s">
        <v>436</v>
      </c>
      <c r="PGX91" t="s">
        <v>437</v>
      </c>
      <c r="PGY91" t="s">
        <v>428</v>
      </c>
      <c r="PHA91" t="s">
        <v>146</v>
      </c>
      <c r="PHB91" t="s">
        <v>145</v>
      </c>
      <c r="PHC91" t="s">
        <v>398</v>
      </c>
      <c r="PHD91">
        <v>1</v>
      </c>
      <c r="PHE91" t="s">
        <v>436</v>
      </c>
      <c r="PHF91" t="s">
        <v>437</v>
      </c>
      <c r="PHG91" t="s">
        <v>428</v>
      </c>
      <c r="PHI91" t="s">
        <v>146</v>
      </c>
      <c r="PHJ91" t="s">
        <v>145</v>
      </c>
      <c r="PHK91" t="s">
        <v>398</v>
      </c>
      <c r="PHL91">
        <v>1</v>
      </c>
      <c r="PHM91" t="s">
        <v>436</v>
      </c>
      <c r="PHN91" t="s">
        <v>437</v>
      </c>
      <c r="PHO91" t="s">
        <v>428</v>
      </c>
      <c r="PHQ91" t="s">
        <v>146</v>
      </c>
      <c r="PHR91" t="s">
        <v>145</v>
      </c>
      <c r="PHS91" t="s">
        <v>398</v>
      </c>
      <c r="PHT91">
        <v>1</v>
      </c>
      <c r="PHU91" t="s">
        <v>436</v>
      </c>
      <c r="PHV91" t="s">
        <v>437</v>
      </c>
      <c r="PHW91" t="s">
        <v>428</v>
      </c>
      <c r="PHY91" t="s">
        <v>146</v>
      </c>
      <c r="PHZ91" t="s">
        <v>145</v>
      </c>
      <c r="PIA91" t="s">
        <v>398</v>
      </c>
      <c r="PIB91">
        <v>1</v>
      </c>
      <c r="PIC91" t="s">
        <v>436</v>
      </c>
      <c r="PID91" t="s">
        <v>437</v>
      </c>
      <c r="PIE91" t="s">
        <v>428</v>
      </c>
      <c r="PIG91" t="s">
        <v>146</v>
      </c>
      <c r="PIH91" t="s">
        <v>145</v>
      </c>
      <c r="PII91" t="s">
        <v>398</v>
      </c>
      <c r="PIJ91">
        <v>1</v>
      </c>
      <c r="PIK91" t="s">
        <v>436</v>
      </c>
      <c r="PIL91" t="s">
        <v>437</v>
      </c>
      <c r="PIM91" t="s">
        <v>428</v>
      </c>
      <c r="PIO91" t="s">
        <v>146</v>
      </c>
      <c r="PIP91" t="s">
        <v>145</v>
      </c>
      <c r="PIQ91" t="s">
        <v>398</v>
      </c>
      <c r="PIR91">
        <v>1</v>
      </c>
      <c r="PIS91" t="s">
        <v>436</v>
      </c>
      <c r="PIT91" t="s">
        <v>437</v>
      </c>
      <c r="PIU91" t="s">
        <v>428</v>
      </c>
      <c r="PIW91" t="s">
        <v>146</v>
      </c>
      <c r="PIX91" t="s">
        <v>145</v>
      </c>
      <c r="PIY91" t="s">
        <v>398</v>
      </c>
      <c r="PIZ91">
        <v>1</v>
      </c>
      <c r="PJA91" t="s">
        <v>436</v>
      </c>
      <c r="PJB91" t="s">
        <v>437</v>
      </c>
      <c r="PJC91" t="s">
        <v>428</v>
      </c>
      <c r="PJE91" t="s">
        <v>146</v>
      </c>
      <c r="PJF91" t="s">
        <v>145</v>
      </c>
      <c r="PJG91" t="s">
        <v>398</v>
      </c>
      <c r="PJH91">
        <v>1</v>
      </c>
      <c r="PJI91" t="s">
        <v>436</v>
      </c>
      <c r="PJJ91" t="s">
        <v>437</v>
      </c>
      <c r="PJK91" t="s">
        <v>428</v>
      </c>
      <c r="PJM91" t="s">
        <v>146</v>
      </c>
      <c r="PJN91" t="s">
        <v>145</v>
      </c>
      <c r="PJO91" t="s">
        <v>398</v>
      </c>
      <c r="PJP91">
        <v>1</v>
      </c>
      <c r="PJQ91" t="s">
        <v>436</v>
      </c>
      <c r="PJR91" t="s">
        <v>437</v>
      </c>
      <c r="PJS91" t="s">
        <v>428</v>
      </c>
      <c r="PJU91" t="s">
        <v>146</v>
      </c>
      <c r="PJV91" t="s">
        <v>145</v>
      </c>
      <c r="PJW91" t="s">
        <v>398</v>
      </c>
      <c r="PJX91">
        <v>1</v>
      </c>
      <c r="PJY91" t="s">
        <v>436</v>
      </c>
      <c r="PJZ91" t="s">
        <v>437</v>
      </c>
      <c r="PKA91" t="s">
        <v>428</v>
      </c>
      <c r="PKC91" t="s">
        <v>146</v>
      </c>
      <c r="PKD91" t="s">
        <v>145</v>
      </c>
      <c r="PKE91" t="s">
        <v>398</v>
      </c>
      <c r="PKF91">
        <v>1</v>
      </c>
      <c r="PKG91" t="s">
        <v>436</v>
      </c>
      <c r="PKH91" t="s">
        <v>437</v>
      </c>
      <c r="PKI91" t="s">
        <v>428</v>
      </c>
      <c r="PKK91" t="s">
        <v>146</v>
      </c>
      <c r="PKL91" t="s">
        <v>145</v>
      </c>
      <c r="PKM91" t="s">
        <v>398</v>
      </c>
      <c r="PKN91">
        <v>1</v>
      </c>
      <c r="PKO91" t="s">
        <v>436</v>
      </c>
      <c r="PKP91" t="s">
        <v>437</v>
      </c>
      <c r="PKQ91" t="s">
        <v>428</v>
      </c>
      <c r="PKS91" t="s">
        <v>146</v>
      </c>
      <c r="PKT91" t="s">
        <v>145</v>
      </c>
      <c r="PKU91" t="s">
        <v>398</v>
      </c>
      <c r="PKV91">
        <v>1</v>
      </c>
      <c r="PKW91" t="s">
        <v>436</v>
      </c>
      <c r="PKX91" t="s">
        <v>437</v>
      </c>
      <c r="PKY91" t="s">
        <v>428</v>
      </c>
      <c r="PLA91" t="s">
        <v>146</v>
      </c>
      <c r="PLB91" t="s">
        <v>145</v>
      </c>
      <c r="PLC91" t="s">
        <v>398</v>
      </c>
      <c r="PLD91">
        <v>1</v>
      </c>
      <c r="PLE91" t="s">
        <v>436</v>
      </c>
      <c r="PLF91" t="s">
        <v>437</v>
      </c>
      <c r="PLG91" t="s">
        <v>428</v>
      </c>
      <c r="PLI91" t="s">
        <v>146</v>
      </c>
      <c r="PLJ91" t="s">
        <v>145</v>
      </c>
      <c r="PLK91" t="s">
        <v>398</v>
      </c>
      <c r="PLL91">
        <v>1</v>
      </c>
      <c r="PLM91" t="s">
        <v>436</v>
      </c>
      <c r="PLN91" t="s">
        <v>437</v>
      </c>
      <c r="PLO91" t="s">
        <v>428</v>
      </c>
      <c r="PLQ91" t="s">
        <v>146</v>
      </c>
      <c r="PLR91" t="s">
        <v>145</v>
      </c>
      <c r="PLS91" t="s">
        <v>398</v>
      </c>
      <c r="PLT91">
        <v>1</v>
      </c>
      <c r="PLU91" t="s">
        <v>436</v>
      </c>
      <c r="PLV91" t="s">
        <v>437</v>
      </c>
      <c r="PLW91" t="s">
        <v>428</v>
      </c>
      <c r="PLY91" t="s">
        <v>146</v>
      </c>
      <c r="PLZ91" t="s">
        <v>145</v>
      </c>
      <c r="PMA91" t="s">
        <v>398</v>
      </c>
      <c r="PMB91">
        <v>1</v>
      </c>
      <c r="PMC91" t="s">
        <v>436</v>
      </c>
      <c r="PMD91" t="s">
        <v>437</v>
      </c>
      <c r="PME91" t="s">
        <v>428</v>
      </c>
      <c r="PMG91" t="s">
        <v>146</v>
      </c>
      <c r="PMH91" t="s">
        <v>145</v>
      </c>
      <c r="PMI91" t="s">
        <v>398</v>
      </c>
      <c r="PMJ91">
        <v>1</v>
      </c>
      <c r="PMK91" t="s">
        <v>436</v>
      </c>
      <c r="PML91" t="s">
        <v>437</v>
      </c>
      <c r="PMM91" t="s">
        <v>428</v>
      </c>
      <c r="PMO91" t="s">
        <v>146</v>
      </c>
      <c r="PMP91" t="s">
        <v>145</v>
      </c>
      <c r="PMQ91" t="s">
        <v>398</v>
      </c>
      <c r="PMR91">
        <v>1</v>
      </c>
      <c r="PMS91" t="s">
        <v>436</v>
      </c>
      <c r="PMT91" t="s">
        <v>437</v>
      </c>
      <c r="PMU91" t="s">
        <v>428</v>
      </c>
      <c r="PMW91" t="s">
        <v>146</v>
      </c>
      <c r="PMX91" t="s">
        <v>145</v>
      </c>
      <c r="PMY91" t="s">
        <v>398</v>
      </c>
      <c r="PMZ91">
        <v>1</v>
      </c>
      <c r="PNA91" t="s">
        <v>436</v>
      </c>
      <c r="PNB91" t="s">
        <v>437</v>
      </c>
      <c r="PNC91" t="s">
        <v>428</v>
      </c>
      <c r="PNE91" t="s">
        <v>146</v>
      </c>
      <c r="PNF91" t="s">
        <v>145</v>
      </c>
      <c r="PNG91" t="s">
        <v>398</v>
      </c>
      <c r="PNH91">
        <v>1</v>
      </c>
      <c r="PNI91" t="s">
        <v>436</v>
      </c>
      <c r="PNJ91" t="s">
        <v>437</v>
      </c>
      <c r="PNK91" t="s">
        <v>428</v>
      </c>
      <c r="PNM91" t="s">
        <v>146</v>
      </c>
      <c r="PNN91" t="s">
        <v>145</v>
      </c>
      <c r="PNO91" t="s">
        <v>398</v>
      </c>
      <c r="PNP91">
        <v>1</v>
      </c>
      <c r="PNQ91" t="s">
        <v>436</v>
      </c>
      <c r="PNR91" t="s">
        <v>437</v>
      </c>
      <c r="PNS91" t="s">
        <v>428</v>
      </c>
      <c r="PNU91" t="s">
        <v>146</v>
      </c>
      <c r="PNV91" t="s">
        <v>145</v>
      </c>
      <c r="PNW91" t="s">
        <v>398</v>
      </c>
      <c r="PNX91">
        <v>1</v>
      </c>
      <c r="PNY91" t="s">
        <v>436</v>
      </c>
      <c r="PNZ91" t="s">
        <v>437</v>
      </c>
      <c r="POA91" t="s">
        <v>428</v>
      </c>
      <c r="POC91" t="s">
        <v>146</v>
      </c>
      <c r="POD91" t="s">
        <v>145</v>
      </c>
      <c r="POE91" t="s">
        <v>398</v>
      </c>
      <c r="POF91">
        <v>1</v>
      </c>
      <c r="POG91" t="s">
        <v>436</v>
      </c>
      <c r="POH91" t="s">
        <v>437</v>
      </c>
      <c r="POI91" t="s">
        <v>428</v>
      </c>
      <c r="POK91" t="s">
        <v>146</v>
      </c>
      <c r="POL91" t="s">
        <v>145</v>
      </c>
      <c r="POM91" t="s">
        <v>398</v>
      </c>
      <c r="PON91">
        <v>1</v>
      </c>
      <c r="POO91" t="s">
        <v>436</v>
      </c>
      <c r="POP91" t="s">
        <v>437</v>
      </c>
      <c r="POQ91" t="s">
        <v>428</v>
      </c>
      <c r="POS91" t="s">
        <v>146</v>
      </c>
      <c r="POT91" t="s">
        <v>145</v>
      </c>
      <c r="POU91" t="s">
        <v>398</v>
      </c>
      <c r="POV91">
        <v>1</v>
      </c>
      <c r="POW91" t="s">
        <v>436</v>
      </c>
      <c r="POX91" t="s">
        <v>437</v>
      </c>
      <c r="POY91" t="s">
        <v>428</v>
      </c>
      <c r="PPA91" t="s">
        <v>146</v>
      </c>
      <c r="PPB91" t="s">
        <v>145</v>
      </c>
      <c r="PPC91" t="s">
        <v>398</v>
      </c>
      <c r="PPD91">
        <v>1</v>
      </c>
      <c r="PPE91" t="s">
        <v>436</v>
      </c>
      <c r="PPF91" t="s">
        <v>437</v>
      </c>
      <c r="PPG91" t="s">
        <v>428</v>
      </c>
      <c r="PPI91" t="s">
        <v>146</v>
      </c>
      <c r="PPJ91" t="s">
        <v>145</v>
      </c>
      <c r="PPK91" t="s">
        <v>398</v>
      </c>
      <c r="PPL91">
        <v>1</v>
      </c>
      <c r="PPM91" t="s">
        <v>436</v>
      </c>
      <c r="PPN91" t="s">
        <v>437</v>
      </c>
      <c r="PPO91" t="s">
        <v>428</v>
      </c>
      <c r="PPQ91" t="s">
        <v>146</v>
      </c>
      <c r="PPR91" t="s">
        <v>145</v>
      </c>
      <c r="PPS91" t="s">
        <v>398</v>
      </c>
      <c r="PPT91">
        <v>1</v>
      </c>
      <c r="PPU91" t="s">
        <v>436</v>
      </c>
      <c r="PPV91" t="s">
        <v>437</v>
      </c>
      <c r="PPW91" t="s">
        <v>428</v>
      </c>
      <c r="PPY91" t="s">
        <v>146</v>
      </c>
      <c r="PPZ91" t="s">
        <v>145</v>
      </c>
      <c r="PQA91" t="s">
        <v>398</v>
      </c>
      <c r="PQB91">
        <v>1</v>
      </c>
      <c r="PQC91" t="s">
        <v>436</v>
      </c>
      <c r="PQD91" t="s">
        <v>437</v>
      </c>
      <c r="PQE91" t="s">
        <v>428</v>
      </c>
      <c r="PQG91" t="s">
        <v>146</v>
      </c>
      <c r="PQH91" t="s">
        <v>145</v>
      </c>
      <c r="PQI91" t="s">
        <v>398</v>
      </c>
      <c r="PQJ91">
        <v>1</v>
      </c>
      <c r="PQK91" t="s">
        <v>436</v>
      </c>
      <c r="PQL91" t="s">
        <v>437</v>
      </c>
      <c r="PQM91" t="s">
        <v>428</v>
      </c>
      <c r="PQO91" t="s">
        <v>146</v>
      </c>
      <c r="PQP91" t="s">
        <v>145</v>
      </c>
      <c r="PQQ91" t="s">
        <v>398</v>
      </c>
      <c r="PQR91">
        <v>1</v>
      </c>
      <c r="PQS91" t="s">
        <v>436</v>
      </c>
      <c r="PQT91" t="s">
        <v>437</v>
      </c>
      <c r="PQU91" t="s">
        <v>428</v>
      </c>
      <c r="PQW91" t="s">
        <v>146</v>
      </c>
      <c r="PQX91" t="s">
        <v>145</v>
      </c>
      <c r="PQY91" t="s">
        <v>398</v>
      </c>
      <c r="PQZ91">
        <v>1</v>
      </c>
      <c r="PRA91" t="s">
        <v>436</v>
      </c>
      <c r="PRB91" t="s">
        <v>437</v>
      </c>
      <c r="PRC91" t="s">
        <v>428</v>
      </c>
      <c r="PRE91" t="s">
        <v>146</v>
      </c>
      <c r="PRF91" t="s">
        <v>145</v>
      </c>
      <c r="PRG91" t="s">
        <v>398</v>
      </c>
      <c r="PRH91">
        <v>1</v>
      </c>
      <c r="PRI91" t="s">
        <v>436</v>
      </c>
      <c r="PRJ91" t="s">
        <v>437</v>
      </c>
      <c r="PRK91" t="s">
        <v>428</v>
      </c>
      <c r="PRM91" t="s">
        <v>146</v>
      </c>
      <c r="PRN91" t="s">
        <v>145</v>
      </c>
      <c r="PRO91" t="s">
        <v>398</v>
      </c>
      <c r="PRP91">
        <v>1</v>
      </c>
      <c r="PRQ91" t="s">
        <v>436</v>
      </c>
      <c r="PRR91" t="s">
        <v>437</v>
      </c>
      <c r="PRS91" t="s">
        <v>428</v>
      </c>
      <c r="PRU91" t="s">
        <v>146</v>
      </c>
      <c r="PRV91" t="s">
        <v>145</v>
      </c>
      <c r="PRW91" t="s">
        <v>398</v>
      </c>
      <c r="PRX91">
        <v>1</v>
      </c>
      <c r="PRY91" t="s">
        <v>436</v>
      </c>
      <c r="PRZ91" t="s">
        <v>437</v>
      </c>
      <c r="PSA91" t="s">
        <v>428</v>
      </c>
      <c r="PSC91" t="s">
        <v>146</v>
      </c>
      <c r="PSD91" t="s">
        <v>145</v>
      </c>
      <c r="PSE91" t="s">
        <v>398</v>
      </c>
      <c r="PSF91">
        <v>1</v>
      </c>
      <c r="PSG91" t="s">
        <v>436</v>
      </c>
      <c r="PSH91" t="s">
        <v>437</v>
      </c>
      <c r="PSI91" t="s">
        <v>428</v>
      </c>
      <c r="PSK91" t="s">
        <v>146</v>
      </c>
      <c r="PSL91" t="s">
        <v>145</v>
      </c>
      <c r="PSM91" t="s">
        <v>398</v>
      </c>
      <c r="PSN91">
        <v>1</v>
      </c>
      <c r="PSO91" t="s">
        <v>436</v>
      </c>
      <c r="PSP91" t="s">
        <v>437</v>
      </c>
      <c r="PSQ91" t="s">
        <v>428</v>
      </c>
      <c r="PSS91" t="s">
        <v>146</v>
      </c>
      <c r="PST91" t="s">
        <v>145</v>
      </c>
      <c r="PSU91" t="s">
        <v>398</v>
      </c>
      <c r="PSV91">
        <v>1</v>
      </c>
      <c r="PSW91" t="s">
        <v>436</v>
      </c>
      <c r="PSX91" t="s">
        <v>437</v>
      </c>
      <c r="PSY91" t="s">
        <v>428</v>
      </c>
      <c r="PTA91" t="s">
        <v>146</v>
      </c>
      <c r="PTB91" t="s">
        <v>145</v>
      </c>
      <c r="PTC91" t="s">
        <v>398</v>
      </c>
      <c r="PTD91">
        <v>1</v>
      </c>
      <c r="PTE91" t="s">
        <v>436</v>
      </c>
      <c r="PTF91" t="s">
        <v>437</v>
      </c>
      <c r="PTG91" t="s">
        <v>428</v>
      </c>
      <c r="PTI91" t="s">
        <v>146</v>
      </c>
      <c r="PTJ91" t="s">
        <v>145</v>
      </c>
      <c r="PTK91" t="s">
        <v>398</v>
      </c>
      <c r="PTL91">
        <v>1</v>
      </c>
      <c r="PTM91" t="s">
        <v>436</v>
      </c>
      <c r="PTN91" t="s">
        <v>437</v>
      </c>
      <c r="PTO91" t="s">
        <v>428</v>
      </c>
      <c r="PTQ91" t="s">
        <v>146</v>
      </c>
      <c r="PTR91" t="s">
        <v>145</v>
      </c>
      <c r="PTS91" t="s">
        <v>398</v>
      </c>
      <c r="PTT91">
        <v>1</v>
      </c>
      <c r="PTU91" t="s">
        <v>436</v>
      </c>
      <c r="PTV91" t="s">
        <v>437</v>
      </c>
      <c r="PTW91" t="s">
        <v>428</v>
      </c>
      <c r="PTY91" t="s">
        <v>146</v>
      </c>
      <c r="PTZ91" t="s">
        <v>145</v>
      </c>
      <c r="PUA91" t="s">
        <v>398</v>
      </c>
      <c r="PUB91">
        <v>1</v>
      </c>
      <c r="PUC91" t="s">
        <v>436</v>
      </c>
      <c r="PUD91" t="s">
        <v>437</v>
      </c>
      <c r="PUE91" t="s">
        <v>428</v>
      </c>
      <c r="PUG91" t="s">
        <v>146</v>
      </c>
      <c r="PUH91" t="s">
        <v>145</v>
      </c>
      <c r="PUI91" t="s">
        <v>398</v>
      </c>
      <c r="PUJ91">
        <v>1</v>
      </c>
      <c r="PUK91" t="s">
        <v>436</v>
      </c>
      <c r="PUL91" t="s">
        <v>437</v>
      </c>
      <c r="PUM91" t="s">
        <v>428</v>
      </c>
      <c r="PUO91" t="s">
        <v>146</v>
      </c>
      <c r="PUP91" t="s">
        <v>145</v>
      </c>
      <c r="PUQ91" t="s">
        <v>398</v>
      </c>
      <c r="PUR91">
        <v>1</v>
      </c>
      <c r="PUS91" t="s">
        <v>436</v>
      </c>
      <c r="PUT91" t="s">
        <v>437</v>
      </c>
      <c r="PUU91" t="s">
        <v>428</v>
      </c>
      <c r="PUW91" t="s">
        <v>146</v>
      </c>
      <c r="PUX91" t="s">
        <v>145</v>
      </c>
      <c r="PUY91" t="s">
        <v>398</v>
      </c>
      <c r="PUZ91">
        <v>1</v>
      </c>
      <c r="PVA91" t="s">
        <v>436</v>
      </c>
      <c r="PVB91" t="s">
        <v>437</v>
      </c>
      <c r="PVC91" t="s">
        <v>428</v>
      </c>
      <c r="PVE91" t="s">
        <v>146</v>
      </c>
      <c r="PVF91" t="s">
        <v>145</v>
      </c>
      <c r="PVG91" t="s">
        <v>398</v>
      </c>
      <c r="PVH91">
        <v>1</v>
      </c>
      <c r="PVI91" t="s">
        <v>436</v>
      </c>
      <c r="PVJ91" t="s">
        <v>437</v>
      </c>
      <c r="PVK91" t="s">
        <v>428</v>
      </c>
      <c r="PVM91" t="s">
        <v>146</v>
      </c>
      <c r="PVN91" t="s">
        <v>145</v>
      </c>
      <c r="PVO91" t="s">
        <v>398</v>
      </c>
      <c r="PVP91">
        <v>1</v>
      </c>
      <c r="PVQ91" t="s">
        <v>436</v>
      </c>
      <c r="PVR91" t="s">
        <v>437</v>
      </c>
      <c r="PVS91" t="s">
        <v>428</v>
      </c>
      <c r="PVU91" t="s">
        <v>146</v>
      </c>
      <c r="PVV91" t="s">
        <v>145</v>
      </c>
      <c r="PVW91" t="s">
        <v>398</v>
      </c>
      <c r="PVX91">
        <v>1</v>
      </c>
      <c r="PVY91" t="s">
        <v>436</v>
      </c>
      <c r="PVZ91" t="s">
        <v>437</v>
      </c>
      <c r="PWA91" t="s">
        <v>428</v>
      </c>
      <c r="PWC91" t="s">
        <v>146</v>
      </c>
      <c r="PWD91" t="s">
        <v>145</v>
      </c>
      <c r="PWE91" t="s">
        <v>398</v>
      </c>
      <c r="PWF91">
        <v>1</v>
      </c>
      <c r="PWG91" t="s">
        <v>436</v>
      </c>
      <c r="PWH91" t="s">
        <v>437</v>
      </c>
      <c r="PWI91" t="s">
        <v>428</v>
      </c>
      <c r="PWK91" t="s">
        <v>146</v>
      </c>
      <c r="PWL91" t="s">
        <v>145</v>
      </c>
      <c r="PWM91" t="s">
        <v>398</v>
      </c>
      <c r="PWN91">
        <v>1</v>
      </c>
      <c r="PWO91" t="s">
        <v>436</v>
      </c>
      <c r="PWP91" t="s">
        <v>437</v>
      </c>
      <c r="PWQ91" t="s">
        <v>428</v>
      </c>
      <c r="PWS91" t="s">
        <v>146</v>
      </c>
      <c r="PWT91" t="s">
        <v>145</v>
      </c>
      <c r="PWU91" t="s">
        <v>398</v>
      </c>
      <c r="PWV91">
        <v>1</v>
      </c>
      <c r="PWW91" t="s">
        <v>436</v>
      </c>
      <c r="PWX91" t="s">
        <v>437</v>
      </c>
      <c r="PWY91" t="s">
        <v>428</v>
      </c>
      <c r="PXA91" t="s">
        <v>146</v>
      </c>
      <c r="PXB91" t="s">
        <v>145</v>
      </c>
      <c r="PXC91" t="s">
        <v>398</v>
      </c>
      <c r="PXD91">
        <v>1</v>
      </c>
      <c r="PXE91" t="s">
        <v>436</v>
      </c>
      <c r="PXF91" t="s">
        <v>437</v>
      </c>
      <c r="PXG91" t="s">
        <v>428</v>
      </c>
      <c r="PXI91" t="s">
        <v>146</v>
      </c>
      <c r="PXJ91" t="s">
        <v>145</v>
      </c>
      <c r="PXK91" t="s">
        <v>398</v>
      </c>
      <c r="PXL91">
        <v>1</v>
      </c>
      <c r="PXM91" t="s">
        <v>436</v>
      </c>
      <c r="PXN91" t="s">
        <v>437</v>
      </c>
      <c r="PXO91" t="s">
        <v>428</v>
      </c>
      <c r="PXQ91" t="s">
        <v>146</v>
      </c>
      <c r="PXR91" t="s">
        <v>145</v>
      </c>
      <c r="PXS91" t="s">
        <v>398</v>
      </c>
      <c r="PXT91">
        <v>1</v>
      </c>
      <c r="PXU91" t="s">
        <v>436</v>
      </c>
      <c r="PXV91" t="s">
        <v>437</v>
      </c>
      <c r="PXW91" t="s">
        <v>428</v>
      </c>
      <c r="PXY91" t="s">
        <v>146</v>
      </c>
      <c r="PXZ91" t="s">
        <v>145</v>
      </c>
      <c r="PYA91" t="s">
        <v>398</v>
      </c>
      <c r="PYB91">
        <v>1</v>
      </c>
      <c r="PYC91" t="s">
        <v>436</v>
      </c>
      <c r="PYD91" t="s">
        <v>437</v>
      </c>
      <c r="PYE91" t="s">
        <v>428</v>
      </c>
      <c r="PYG91" t="s">
        <v>146</v>
      </c>
      <c r="PYH91" t="s">
        <v>145</v>
      </c>
      <c r="PYI91" t="s">
        <v>398</v>
      </c>
      <c r="PYJ91">
        <v>1</v>
      </c>
      <c r="PYK91" t="s">
        <v>436</v>
      </c>
      <c r="PYL91" t="s">
        <v>437</v>
      </c>
      <c r="PYM91" t="s">
        <v>428</v>
      </c>
      <c r="PYO91" t="s">
        <v>146</v>
      </c>
      <c r="PYP91" t="s">
        <v>145</v>
      </c>
      <c r="PYQ91" t="s">
        <v>398</v>
      </c>
      <c r="PYR91">
        <v>1</v>
      </c>
      <c r="PYS91" t="s">
        <v>436</v>
      </c>
      <c r="PYT91" t="s">
        <v>437</v>
      </c>
      <c r="PYU91" t="s">
        <v>428</v>
      </c>
      <c r="PYW91" t="s">
        <v>146</v>
      </c>
      <c r="PYX91" t="s">
        <v>145</v>
      </c>
      <c r="PYY91" t="s">
        <v>398</v>
      </c>
      <c r="PYZ91">
        <v>1</v>
      </c>
      <c r="PZA91" t="s">
        <v>436</v>
      </c>
      <c r="PZB91" t="s">
        <v>437</v>
      </c>
      <c r="PZC91" t="s">
        <v>428</v>
      </c>
      <c r="PZE91" t="s">
        <v>146</v>
      </c>
      <c r="PZF91" t="s">
        <v>145</v>
      </c>
      <c r="PZG91" t="s">
        <v>398</v>
      </c>
      <c r="PZH91">
        <v>1</v>
      </c>
      <c r="PZI91" t="s">
        <v>436</v>
      </c>
      <c r="PZJ91" t="s">
        <v>437</v>
      </c>
      <c r="PZK91" t="s">
        <v>428</v>
      </c>
      <c r="PZM91" t="s">
        <v>146</v>
      </c>
      <c r="PZN91" t="s">
        <v>145</v>
      </c>
      <c r="PZO91" t="s">
        <v>398</v>
      </c>
      <c r="PZP91">
        <v>1</v>
      </c>
      <c r="PZQ91" t="s">
        <v>436</v>
      </c>
      <c r="PZR91" t="s">
        <v>437</v>
      </c>
      <c r="PZS91" t="s">
        <v>428</v>
      </c>
      <c r="PZU91" t="s">
        <v>146</v>
      </c>
      <c r="PZV91" t="s">
        <v>145</v>
      </c>
      <c r="PZW91" t="s">
        <v>398</v>
      </c>
      <c r="PZX91">
        <v>1</v>
      </c>
      <c r="PZY91" t="s">
        <v>436</v>
      </c>
      <c r="PZZ91" t="s">
        <v>437</v>
      </c>
      <c r="QAA91" t="s">
        <v>428</v>
      </c>
      <c r="QAC91" t="s">
        <v>146</v>
      </c>
      <c r="QAD91" t="s">
        <v>145</v>
      </c>
      <c r="QAE91" t="s">
        <v>398</v>
      </c>
      <c r="QAF91">
        <v>1</v>
      </c>
      <c r="QAG91" t="s">
        <v>436</v>
      </c>
      <c r="QAH91" t="s">
        <v>437</v>
      </c>
      <c r="QAI91" t="s">
        <v>428</v>
      </c>
      <c r="QAK91" t="s">
        <v>146</v>
      </c>
      <c r="QAL91" t="s">
        <v>145</v>
      </c>
      <c r="QAM91" t="s">
        <v>398</v>
      </c>
      <c r="QAN91">
        <v>1</v>
      </c>
      <c r="QAO91" t="s">
        <v>436</v>
      </c>
      <c r="QAP91" t="s">
        <v>437</v>
      </c>
      <c r="QAQ91" t="s">
        <v>428</v>
      </c>
      <c r="QAS91" t="s">
        <v>146</v>
      </c>
      <c r="QAT91" t="s">
        <v>145</v>
      </c>
      <c r="QAU91" t="s">
        <v>398</v>
      </c>
      <c r="QAV91">
        <v>1</v>
      </c>
      <c r="QAW91" t="s">
        <v>436</v>
      </c>
      <c r="QAX91" t="s">
        <v>437</v>
      </c>
      <c r="QAY91" t="s">
        <v>428</v>
      </c>
      <c r="QBA91" t="s">
        <v>146</v>
      </c>
      <c r="QBB91" t="s">
        <v>145</v>
      </c>
      <c r="QBC91" t="s">
        <v>398</v>
      </c>
      <c r="QBD91">
        <v>1</v>
      </c>
      <c r="QBE91" t="s">
        <v>436</v>
      </c>
      <c r="QBF91" t="s">
        <v>437</v>
      </c>
      <c r="QBG91" t="s">
        <v>428</v>
      </c>
      <c r="QBI91" t="s">
        <v>146</v>
      </c>
      <c r="QBJ91" t="s">
        <v>145</v>
      </c>
      <c r="QBK91" t="s">
        <v>398</v>
      </c>
      <c r="QBL91">
        <v>1</v>
      </c>
      <c r="QBM91" t="s">
        <v>436</v>
      </c>
      <c r="QBN91" t="s">
        <v>437</v>
      </c>
      <c r="QBO91" t="s">
        <v>428</v>
      </c>
      <c r="QBQ91" t="s">
        <v>146</v>
      </c>
      <c r="QBR91" t="s">
        <v>145</v>
      </c>
      <c r="QBS91" t="s">
        <v>398</v>
      </c>
      <c r="QBT91">
        <v>1</v>
      </c>
      <c r="QBU91" t="s">
        <v>436</v>
      </c>
      <c r="QBV91" t="s">
        <v>437</v>
      </c>
      <c r="QBW91" t="s">
        <v>428</v>
      </c>
      <c r="QBY91" t="s">
        <v>146</v>
      </c>
      <c r="QBZ91" t="s">
        <v>145</v>
      </c>
      <c r="QCA91" t="s">
        <v>398</v>
      </c>
      <c r="QCB91">
        <v>1</v>
      </c>
      <c r="QCC91" t="s">
        <v>436</v>
      </c>
      <c r="QCD91" t="s">
        <v>437</v>
      </c>
      <c r="QCE91" t="s">
        <v>428</v>
      </c>
      <c r="QCG91" t="s">
        <v>146</v>
      </c>
      <c r="QCH91" t="s">
        <v>145</v>
      </c>
      <c r="QCI91" t="s">
        <v>398</v>
      </c>
      <c r="QCJ91">
        <v>1</v>
      </c>
      <c r="QCK91" t="s">
        <v>436</v>
      </c>
      <c r="QCL91" t="s">
        <v>437</v>
      </c>
      <c r="QCM91" t="s">
        <v>428</v>
      </c>
      <c r="QCO91" t="s">
        <v>146</v>
      </c>
      <c r="QCP91" t="s">
        <v>145</v>
      </c>
      <c r="QCQ91" t="s">
        <v>398</v>
      </c>
      <c r="QCR91">
        <v>1</v>
      </c>
      <c r="QCS91" t="s">
        <v>436</v>
      </c>
      <c r="QCT91" t="s">
        <v>437</v>
      </c>
      <c r="QCU91" t="s">
        <v>428</v>
      </c>
      <c r="QCW91" t="s">
        <v>146</v>
      </c>
      <c r="QCX91" t="s">
        <v>145</v>
      </c>
      <c r="QCY91" t="s">
        <v>398</v>
      </c>
      <c r="QCZ91">
        <v>1</v>
      </c>
      <c r="QDA91" t="s">
        <v>436</v>
      </c>
      <c r="QDB91" t="s">
        <v>437</v>
      </c>
      <c r="QDC91" t="s">
        <v>428</v>
      </c>
      <c r="QDE91" t="s">
        <v>146</v>
      </c>
      <c r="QDF91" t="s">
        <v>145</v>
      </c>
      <c r="QDG91" t="s">
        <v>398</v>
      </c>
      <c r="QDH91">
        <v>1</v>
      </c>
      <c r="QDI91" t="s">
        <v>436</v>
      </c>
      <c r="QDJ91" t="s">
        <v>437</v>
      </c>
      <c r="QDK91" t="s">
        <v>428</v>
      </c>
      <c r="QDM91" t="s">
        <v>146</v>
      </c>
      <c r="QDN91" t="s">
        <v>145</v>
      </c>
      <c r="QDO91" t="s">
        <v>398</v>
      </c>
      <c r="QDP91">
        <v>1</v>
      </c>
      <c r="QDQ91" t="s">
        <v>436</v>
      </c>
      <c r="QDR91" t="s">
        <v>437</v>
      </c>
      <c r="QDS91" t="s">
        <v>428</v>
      </c>
      <c r="QDU91" t="s">
        <v>146</v>
      </c>
      <c r="QDV91" t="s">
        <v>145</v>
      </c>
      <c r="QDW91" t="s">
        <v>398</v>
      </c>
      <c r="QDX91">
        <v>1</v>
      </c>
      <c r="QDY91" t="s">
        <v>436</v>
      </c>
      <c r="QDZ91" t="s">
        <v>437</v>
      </c>
      <c r="QEA91" t="s">
        <v>428</v>
      </c>
      <c r="QEC91" t="s">
        <v>146</v>
      </c>
      <c r="QED91" t="s">
        <v>145</v>
      </c>
      <c r="QEE91" t="s">
        <v>398</v>
      </c>
      <c r="QEF91">
        <v>1</v>
      </c>
      <c r="QEG91" t="s">
        <v>436</v>
      </c>
      <c r="QEH91" t="s">
        <v>437</v>
      </c>
      <c r="QEI91" t="s">
        <v>428</v>
      </c>
      <c r="QEK91" t="s">
        <v>146</v>
      </c>
      <c r="QEL91" t="s">
        <v>145</v>
      </c>
      <c r="QEM91" t="s">
        <v>398</v>
      </c>
      <c r="QEN91">
        <v>1</v>
      </c>
      <c r="QEO91" t="s">
        <v>436</v>
      </c>
      <c r="QEP91" t="s">
        <v>437</v>
      </c>
      <c r="QEQ91" t="s">
        <v>428</v>
      </c>
      <c r="QES91" t="s">
        <v>146</v>
      </c>
      <c r="QET91" t="s">
        <v>145</v>
      </c>
      <c r="QEU91" t="s">
        <v>398</v>
      </c>
      <c r="QEV91">
        <v>1</v>
      </c>
      <c r="QEW91" t="s">
        <v>436</v>
      </c>
      <c r="QEX91" t="s">
        <v>437</v>
      </c>
      <c r="QEY91" t="s">
        <v>428</v>
      </c>
      <c r="QFA91" t="s">
        <v>146</v>
      </c>
      <c r="QFB91" t="s">
        <v>145</v>
      </c>
      <c r="QFC91" t="s">
        <v>398</v>
      </c>
      <c r="QFD91">
        <v>1</v>
      </c>
      <c r="QFE91" t="s">
        <v>436</v>
      </c>
      <c r="QFF91" t="s">
        <v>437</v>
      </c>
      <c r="QFG91" t="s">
        <v>428</v>
      </c>
      <c r="QFI91" t="s">
        <v>146</v>
      </c>
      <c r="QFJ91" t="s">
        <v>145</v>
      </c>
      <c r="QFK91" t="s">
        <v>398</v>
      </c>
      <c r="QFL91">
        <v>1</v>
      </c>
      <c r="QFM91" t="s">
        <v>436</v>
      </c>
      <c r="QFN91" t="s">
        <v>437</v>
      </c>
      <c r="QFO91" t="s">
        <v>428</v>
      </c>
      <c r="QFQ91" t="s">
        <v>146</v>
      </c>
      <c r="QFR91" t="s">
        <v>145</v>
      </c>
      <c r="QFS91" t="s">
        <v>398</v>
      </c>
      <c r="QFT91">
        <v>1</v>
      </c>
      <c r="QFU91" t="s">
        <v>436</v>
      </c>
      <c r="QFV91" t="s">
        <v>437</v>
      </c>
      <c r="QFW91" t="s">
        <v>428</v>
      </c>
      <c r="QFY91" t="s">
        <v>146</v>
      </c>
      <c r="QFZ91" t="s">
        <v>145</v>
      </c>
      <c r="QGA91" t="s">
        <v>398</v>
      </c>
      <c r="QGB91">
        <v>1</v>
      </c>
      <c r="QGC91" t="s">
        <v>436</v>
      </c>
      <c r="QGD91" t="s">
        <v>437</v>
      </c>
      <c r="QGE91" t="s">
        <v>428</v>
      </c>
      <c r="QGG91" t="s">
        <v>146</v>
      </c>
      <c r="QGH91" t="s">
        <v>145</v>
      </c>
      <c r="QGI91" t="s">
        <v>398</v>
      </c>
      <c r="QGJ91">
        <v>1</v>
      </c>
      <c r="QGK91" t="s">
        <v>436</v>
      </c>
      <c r="QGL91" t="s">
        <v>437</v>
      </c>
      <c r="QGM91" t="s">
        <v>428</v>
      </c>
      <c r="QGO91" t="s">
        <v>146</v>
      </c>
      <c r="QGP91" t="s">
        <v>145</v>
      </c>
      <c r="QGQ91" t="s">
        <v>398</v>
      </c>
      <c r="QGR91">
        <v>1</v>
      </c>
      <c r="QGS91" t="s">
        <v>436</v>
      </c>
      <c r="QGT91" t="s">
        <v>437</v>
      </c>
      <c r="QGU91" t="s">
        <v>428</v>
      </c>
      <c r="QGW91" t="s">
        <v>146</v>
      </c>
      <c r="QGX91" t="s">
        <v>145</v>
      </c>
      <c r="QGY91" t="s">
        <v>398</v>
      </c>
      <c r="QGZ91">
        <v>1</v>
      </c>
      <c r="QHA91" t="s">
        <v>436</v>
      </c>
      <c r="QHB91" t="s">
        <v>437</v>
      </c>
      <c r="QHC91" t="s">
        <v>428</v>
      </c>
      <c r="QHE91" t="s">
        <v>146</v>
      </c>
      <c r="QHF91" t="s">
        <v>145</v>
      </c>
      <c r="QHG91" t="s">
        <v>398</v>
      </c>
      <c r="QHH91">
        <v>1</v>
      </c>
      <c r="QHI91" t="s">
        <v>436</v>
      </c>
      <c r="QHJ91" t="s">
        <v>437</v>
      </c>
      <c r="QHK91" t="s">
        <v>428</v>
      </c>
      <c r="QHM91" t="s">
        <v>146</v>
      </c>
      <c r="QHN91" t="s">
        <v>145</v>
      </c>
      <c r="QHO91" t="s">
        <v>398</v>
      </c>
      <c r="QHP91">
        <v>1</v>
      </c>
      <c r="QHQ91" t="s">
        <v>436</v>
      </c>
      <c r="QHR91" t="s">
        <v>437</v>
      </c>
      <c r="QHS91" t="s">
        <v>428</v>
      </c>
      <c r="QHU91" t="s">
        <v>146</v>
      </c>
      <c r="QHV91" t="s">
        <v>145</v>
      </c>
      <c r="QHW91" t="s">
        <v>398</v>
      </c>
      <c r="QHX91">
        <v>1</v>
      </c>
      <c r="QHY91" t="s">
        <v>436</v>
      </c>
      <c r="QHZ91" t="s">
        <v>437</v>
      </c>
      <c r="QIA91" t="s">
        <v>428</v>
      </c>
      <c r="QIC91" t="s">
        <v>146</v>
      </c>
      <c r="QID91" t="s">
        <v>145</v>
      </c>
      <c r="QIE91" t="s">
        <v>398</v>
      </c>
      <c r="QIF91">
        <v>1</v>
      </c>
      <c r="QIG91" t="s">
        <v>436</v>
      </c>
      <c r="QIH91" t="s">
        <v>437</v>
      </c>
      <c r="QII91" t="s">
        <v>428</v>
      </c>
      <c r="QIK91" t="s">
        <v>146</v>
      </c>
      <c r="QIL91" t="s">
        <v>145</v>
      </c>
      <c r="QIM91" t="s">
        <v>398</v>
      </c>
      <c r="QIN91">
        <v>1</v>
      </c>
      <c r="QIO91" t="s">
        <v>436</v>
      </c>
      <c r="QIP91" t="s">
        <v>437</v>
      </c>
      <c r="QIQ91" t="s">
        <v>428</v>
      </c>
      <c r="QIS91" t="s">
        <v>146</v>
      </c>
      <c r="QIT91" t="s">
        <v>145</v>
      </c>
      <c r="QIU91" t="s">
        <v>398</v>
      </c>
      <c r="QIV91">
        <v>1</v>
      </c>
      <c r="QIW91" t="s">
        <v>436</v>
      </c>
      <c r="QIX91" t="s">
        <v>437</v>
      </c>
      <c r="QIY91" t="s">
        <v>428</v>
      </c>
      <c r="QJA91" t="s">
        <v>146</v>
      </c>
      <c r="QJB91" t="s">
        <v>145</v>
      </c>
      <c r="QJC91" t="s">
        <v>398</v>
      </c>
      <c r="QJD91">
        <v>1</v>
      </c>
      <c r="QJE91" t="s">
        <v>436</v>
      </c>
      <c r="QJF91" t="s">
        <v>437</v>
      </c>
      <c r="QJG91" t="s">
        <v>428</v>
      </c>
      <c r="QJI91" t="s">
        <v>146</v>
      </c>
      <c r="QJJ91" t="s">
        <v>145</v>
      </c>
      <c r="QJK91" t="s">
        <v>398</v>
      </c>
      <c r="QJL91">
        <v>1</v>
      </c>
      <c r="QJM91" t="s">
        <v>436</v>
      </c>
      <c r="QJN91" t="s">
        <v>437</v>
      </c>
      <c r="QJO91" t="s">
        <v>428</v>
      </c>
      <c r="QJQ91" t="s">
        <v>146</v>
      </c>
      <c r="QJR91" t="s">
        <v>145</v>
      </c>
      <c r="QJS91" t="s">
        <v>398</v>
      </c>
      <c r="QJT91">
        <v>1</v>
      </c>
      <c r="QJU91" t="s">
        <v>436</v>
      </c>
      <c r="QJV91" t="s">
        <v>437</v>
      </c>
      <c r="QJW91" t="s">
        <v>428</v>
      </c>
      <c r="QJY91" t="s">
        <v>146</v>
      </c>
      <c r="QJZ91" t="s">
        <v>145</v>
      </c>
      <c r="QKA91" t="s">
        <v>398</v>
      </c>
      <c r="QKB91">
        <v>1</v>
      </c>
      <c r="QKC91" t="s">
        <v>436</v>
      </c>
      <c r="QKD91" t="s">
        <v>437</v>
      </c>
      <c r="QKE91" t="s">
        <v>428</v>
      </c>
      <c r="QKG91" t="s">
        <v>146</v>
      </c>
      <c r="QKH91" t="s">
        <v>145</v>
      </c>
      <c r="QKI91" t="s">
        <v>398</v>
      </c>
      <c r="QKJ91">
        <v>1</v>
      </c>
      <c r="QKK91" t="s">
        <v>436</v>
      </c>
      <c r="QKL91" t="s">
        <v>437</v>
      </c>
      <c r="QKM91" t="s">
        <v>428</v>
      </c>
      <c r="QKO91" t="s">
        <v>146</v>
      </c>
      <c r="QKP91" t="s">
        <v>145</v>
      </c>
      <c r="QKQ91" t="s">
        <v>398</v>
      </c>
      <c r="QKR91">
        <v>1</v>
      </c>
      <c r="QKS91" t="s">
        <v>436</v>
      </c>
      <c r="QKT91" t="s">
        <v>437</v>
      </c>
      <c r="QKU91" t="s">
        <v>428</v>
      </c>
      <c r="QKW91" t="s">
        <v>146</v>
      </c>
      <c r="QKX91" t="s">
        <v>145</v>
      </c>
      <c r="QKY91" t="s">
        <v>398</v>
      </c>
      <c r="QKZ91">
        <v>1</v>
      </c>
      <c r="QLA91" t="s">
        <v>436</v>
      </c>
      <c r="QLB91" t="s">
        <v>437</v>
      </c>
      <c r="QLC91" t="s">
        <v>428</v>
      </c>
      <c r="QLE91" t="s">
        <v>146</v>
      </c>
      <c r="QLF91" t="s">
        <v>145</v>
      </c>
      <c r="QLG91" t="s">
        <v>398</v>
      </c>
      <c r="QLH91">
        <v>1</v>
      </c>
      <c r="QLI91" t="s">
        <v>436</v>
      </c>
      <c r="QLJ91" t="s">
        <v>437</v>
      </c>
      <c r="QLK91" t="s">
        <v>428</v>
      </c>
      <c r="QLM91" t="s">
        <v>146</v>
      </c>
      <c r="QLN91" t="s">
        <v>145</v>
      </c>
      <c r="QLO91" t="s">
        <v>398</v>
      </c>
      <c r="QLP91">
        <v>1</v>
      </c>
      <c r="QLQ91" t="s">
        <v>436</v>
      </c>
      <c r="QLR91" t="s">
        <v>437</v>
      </c>
      <c r="QLS91" t="s">
        <v>428</v>
      </c>
      <c r="QLU91" t="s">
        <v>146</v>
      </c>
      <c r="QLV91" t="s">
        <v>145</v>
      </c>
      <c r="QLW91" t="s">
        <v>398</v>
      </c>
      <c r="QLX91">
        <v>1</v>
      </c>
      <c r="QLY91" t="s">
        <v>436</v>
      </c>
      <c r="QLZ91" t="s">
        <v>437</v>
      </c>
      <c r="QMA91" t="s">
        <v>428</v>
      </c>
      <c r="QMC91" t="s">
        <v>146</v>
      </c>
      <c r="QMD91" t="s">
        <v>145</v>
      </c>
      <c r="QME91" t="s">
        <v>398</v>
      </c>
      <c r="QMF91">
        <v>1</v>
      </c>
      <c r="QMG91" t="s">
        <v>436</v>
      </c>
      <c r="QMH91" t="s">
        <v>437</v>
      </c>
      <c r="QMI91" t="s">
        <v>428</v>
      </c>
      <c r="QMK91" t="s">
        <v>146</v>
      </c>
      <c r="QML91" t="s">
        <v>145</v>
      </c>
      <c r="QMM91" t="s">
        <v>398</v>
      </c>
      <c r="QMN91">
        <v>1</v>
      </c>
      <c r="QMO91" t="s">
        <v>436</v>
      </c>
      <c r="QMP91" t="s">
        <v>437</v>
      </c>
      <c r="QMQ91" t="s">
        <v>428</v>
      </c>
      <c r="QMS91" t="s">
        <v>146</v>
      </c>
      <c r="QMT91" t="s">
        <v>145</v>
      </c>
      <c r="QMU91" t="s">
        <v>398</v>
      </c>
      <c r="QMV91">
        <v>1</v>
      </c>
      <c r="QMW91" t="s">
        <v>436</v>
      </c>
      <c r="QMX91" t="s">
        <v>437</v>
      </c>
      <c r="QMY91" t="s">
        <v>428</v>
      </c>
      <c r="QNA91" t="s">
        <v>146</v>
      </c>
      <c r="QNB91" t="s">
        <v>145</v>
      </c>
      <c r="QNC91" t="s">
        <v>398</v>
      </c>
      <c r="QND91">
        <v>1</v>
      </c>
      <c r="QNE91" t="s">
        <v>436</v>
      </c>
      <c r="QNF91" t="s">
        <v>437</v>
      </c>
      <c r="QNG91" t="s">
        <v>428</v>
      </c>
      <c r="QNI91" t="s">
        <v>146</v>
      </c>
      <c r="QNJ91" t="s">
        <v>145</v>
      </c>
      <c r="QNK91" t="s">
        <v>398</v>
      </c>
      <c r="QNL91">
        <v>1</v>
      </c>
      <c r="QNM91" t="s">
        <v>436</v>
      </c>
      <c r="QNN91" t="s">
        <v>437</v>
      </c>
      <c r="QNO91" t="s">
        <v>428</v>
      </c>
      <c r="QNQ91" t="s">
        <v>146</v>
      </c>
      <c r="QNR91" t="s">
        <v>145</v>
      </c>
      <c r="QNS91" t="s">
        <v>398</v>
      </c>
      <c r="QNT91">
        <v>1</v>
      </c>
      <c r="QNU91" t="s">
        <v>436</v>
      </c>
      <c r="QNV91" t="s">
        <v>437</v>
      </c>
      <c r="QNW91" t="s">
        <v>428</v>
      </c>
      <c r="QNY91" t="s">
        <v>146</v>
      </c>
      <c r="QNZ91" t="s">
        <v>145</v>
      </c>
      <c r="QOA91" t="s">
        <v>398</v>
      </c>
      <c r="QOB91">
        <v>1</v>
      </c>
      <c r="QOC91" t="s">
        <v>436</v>
      </c>
      <c r="QOD91" t="s">
        <v>437</v>
      </c>
      <c r="QOE91" t="s">
        <v>428</v>
      </c>
      <c r="QOG91" t="s">
        <v>146</v>
      </c>
      <c r="QOH91" t="s">
        <v>145</v>
      </c>
      <c r="QOI91" t="s">
        <v>398</v>
      </c>
      <c r="QOJ91">
        <v>1</v>
      </c>
      <c r="QOK91" t="s">
        <v>436</v>
      </c>
      <c r="QOL91" t="s">
        <v>437</v>
      </c>
      <c r="QOM91" t="s">
        <v>428</v>
      </c>
      <c r="QOO91" t="s">
        <v>146</v>
      </c>
      <c r="QOP91" t="s">
        <v>145</v>
      </c>
      <c r="QOQ91" t="s">
        <v>398</v>
      </c>
      <c r="QOR91">
        <v>1</v>
      </c>
      <c r="QOS91" t="s">
        <v>436</v>
      </c>
      <c r="QOT91" t="s">
        <v>437</v>
      </c>
      <c r="QOU91" t="s">
        <v>428</v>
      </c>
      <c r="QOW91" t="s">
        <v>146</v>
      </c>
      <c r="QOX91" t="s">
        <v>145</v>
      </c>
      <c r="QOY91" t="s">
        <v>398</v>
      </c>
      <c r="QOZ91">
        <v>1</v>
      </c>
      <c r="QPA91" t="s">
        <v>436</v>
      </c>
      <c r="QPB91" t="s">
        <v>437</v>
      </c>
      <c r="QPC91" t="s">
        <v>428</v>
      </c>
      <c r="QPE91" t="s">
        <v>146</v>
      </c>
      <c r="QPF91" t="s">
        <v>145</v>
      </c>
      <c r="QPG91" t="s">
        <v>398</v>
      </c>
      <c r="QPH91">
        <v>1</v>
      </c>
      <c r="QPI91" t="s">
        <v>436</v>
      </c>
      <c r="QPJ91" t="s">
        <v>437</v>
      </c>
      <c r="QPK91" t="s">
        <v>428</v>
      </c>
      <c r="QPM91" t="s">
        <v>146</v>
      </c>
      <c r="QPN91" t="s">
        <v>145</v>
      </c>
      <c r="QPO91" t="s">
        <v>398</v>
      </c>
      <c r="QPP91">
        <v>1</v>
      </c>
      <c r="QPQ91" t="s">
        <v>436</v>
      </c>
      <c r="QPR91" t="s">
        <v>437</v>
      </c>
      <c r="QPS91" t="s">
        <v>428</v>
      </c>
      <c r="QPU91" t="s">
        <v>146</v>
      </c>
      <c r="QPV91" t="s">
        <v>145</v>
      </c>
      <c r="QPW91" t="s">
        <v>398</v>
      </c>
      <c r="QPX91">
        <v>1</v>
      </c>
      <c r="QPY91" t="s">
        <v>436</v>
      </c>
      <c r="QPZ91" t="s">
        <v>437</v>
      </c>
      <c r="QQA91" t="s">
        <v>428</v>
      </c>
      <c r="QQC91" t="s">
        <v>146</v>
      </c>
      <c r="QQD91" t="s">
        <v>145</v>
      </c>
      <c r="QQE91" t="s">
        <v>398</v>
      </c>
      <c r="QQF91">
        <v>1</v>
      </c>
      <c r="QQG91" t="s">
        <v>436</v>
      </c>
      <c r="QQH91" t="s">
        <v>437</v>
      </c>
      <c r="QQI91" t="s">
        <v>428</v>
      </c>
      <c r="QQK91" t="s">
        <v>146</v>
      </c>
      <c r="QQL91" t="s">
        <v>145</v>
      </c>
      <c r="QQM91" t="s">
        <v>398</v>
      </c>
      <c r="QQN91">
        <v>1</v>
      </c>
      <c r="QQO91" t="s">
        <v>436</v>
      </c>
      <c r="QQP91" t="s">
        <v>437</v>
      </c>
      <c r="QQQ91" t="s">
        <v>428</v>
      </c>
      <c r="QQS91" t="s">
        <v>146</v>
      </c>
      <c r="QQT91" t="s">
        <v>145</v>
      </c>
      <c r="QQU91" t="s">
        <v>398</v>
      </c>
      <c r="QQV91">
        <v>1</v>
      </c>
      <c r="QQW91" t="s">
        <v>436</v>
      </c>
      <c r="QQX91" t="s">
        <v>437</v>
      </c>
      <c r="QQY91" t="s">
        <v>428</v>
      </c>
      <c r="QRA91" t="s">
        <v>146</v>
      </c>
      <c r="QRB91" t="s">
        <v>145</v>
      </c>
      <c r="QRC91" t="s">
        <v>398</v>
      </c>
      <c r="QRD91">
        <v>1</v>
      </c>
      <c r="QRE91" t="s">
        <v>436</v>
      </c>
      <c r="QRF91" t="s">
        <v>437</v>
      </c>
      <c r="QRG91" t="s">
        <v>428</v>
      </c>
      <c r="QRI91" t="s">
        <v>146</v>
      </c>
      <c r="QRJ91" t="s">
        <v>145</v>
      </c>
      <c r="QRK91" t="s">
        <v>398</v>
      </c>
      <c r="QRL91">
        <v>1</v>
      </c>
      <c r="QRM91" t="s">
        <v>436</v>
      </c>
      <c r="QRN91" t="s">
        <v>437</v>
      </c>
      <c r="QRO91" t="s">
        <v>428</v>
      </c>
      <c r="QRQ91" t="s">
        <v>146</v>
      </c>
      <c r="QRR91" t="s">
        <v>145</v>
      </c>
      <c r="QRS91" t="s">
        <v>398</v>
      </c>
      <c r="QRT91">
        <v>1</v>
      </c>
      <c r="QRU91" t="s">
        <v>436</v>
      </c>
      <c r="QRV91" t="s">
        <v>437</v>
      </c>
      <c r="QRW91" t="s">
        <v>428</v>
      </c>
      <c r="QRY91" t="s">
        <v>146</v>
      </c>
      <c r="QRZ91" t="s">
        <v>145</v>
      </c>
      <c r="QSA91" t="s">
        <v>398</v>
      </c>
      <c r="QSB91">
        <v>1</v>
      </c>
      <c r="QSC91" t="s">
        <v>436</v>
      </c>
      <c r="QSD91" t="s">
        <v>437</v>
      </c>
      <c r="QSE91" t="s">
        <v>428</v>
      </c>
      <c r="QSG91" t="s">
        <v>146</v>
      </c>
      <c r="QSH91" t="s">
        <v>145</v>
      </c>
      <c r="QSI91" t="s">
        <v>398</v>
      </c>
      <c r="QSJ91">
        <v>1</v>
      </c>
      <c r="QSK91" t="s">
        <v>436</v>
      </c>
      <c r="QSL91" t="s">
        <v>437</v>
      </c>
      <c r="QSM91" t="s">
        <v>428</v>
      </c>
      <c r="QSO91" t="s">
        <v>146</v>
      </c>
      <c r="QSP91" t="s">
        <v>145</v>
      </c>
      <c r="QSQ91" t="s">
        <v>398</v>
      </c>
      <c r="QSR91">
        <v>1</v>
      </c>
      <c r="QSS91" t="s">
        <v>436</v>
      </c>
      <c r="QST91" t="s">
        <v>437</v>
      </c>
      <c r="QSU91" t="s">
        <v>428</v>
      </c>
      <c r="QSW91" t="s">
        <v>146</v>
      </c>
      <c r="QSX91" t="s">
        <v>145</v>
      </c>
      <c r="QSY91" t="s">
        <v>398</v>
      </c>
      <c r="QSZ91">
        <v>1</v>
      </c>
      <c r="QTA91" t="s">
        <v>436</v>
      </c>
      <c r="QTB91" t="s">
        <v>437</v>
      </c>
      <c r="QTC91" t="s">
        <v>428</v>
      </c>
      <c r="QTE91" t="s">
        <v>146</v>
      </c>
      <c r="QTF91" t="s">
        <v>145</v>
      </c>
      <c r="QTG91" t="s">
        <v>398</v>
      </c>
      <c r="QTH91">
        <v>1</v>
      </c>
      <c r="QTI91" t="s">
        <v>436</v>
      </c>
      <c r="QTJ91" t="s">
        <v>437</v>
      </c>
      <c r="QTK91" t="s">
        <v>428</v>
      </c>
      <c r="QTM91" t="s">
        <v>146</v>
      </c>
      <c r="QTN91" t="s">
        <v>145</v>
      </c>
      <c r="QTO91" t="s">
        <v>398</v>
      </c>
      <c r="QTP91">
        <v>1</v>
      </c>
      <c r="QTQ91" t="s">
        <v>436</v>
      </c>
      <c r="QTR91" t="s">
        <v>437</v>
      </c>
      <c r="QTS91" t="s">
        <v>428</v>
      </c>
      <c r="QTU91" t="s">
        <v>146</v>
      </c>
      <c r="QTV91" t="s">
        <v>145</v>
      </c>
      <c r="QTW91" t="s">
        <v>398</v>
      </c>
      <c r="QTX91">
        <v>1</v>
      </c>
      <c r="QTY91" t="s">
        <v>436</v>
      </c>
      <c r="QTZ91" t="s">
        <v>437</v>
      </c>
      <c r="QUA91" t="s">
        <v>428</v>
      </c>
      <c r="QUC91" t="s">
        <v>146</v>
      </c>
      <c r="QUD91" t="s">
        <v>145</v>
      </c>
      <c r="QUE91" t="s">
        <v>398</v>
      </c>
      <c r="QUF91">
        <v>1</v>
      </c>
      <c r="QUG91" t="s">
        <v>436</v>
      </c>
      <c r="QUH91" t="s">
        <v>437</v>
      </c>
      <c r="QUI91" t="s">
        <v>428</v>
      </c>
      <c r="QUK91" t="s">
        <v>146</v>
      </c>
      <c r="QUL91" t="s">
        <v>145</v>
      </c>
      <c r="QUM91" t="s">
        <v>398</v>
      </c>
      <c r="QUN91">
        <v>1</v>
      </c>
      <c r="QUO91" t="s">
        <v>436</v>
      </c>
      <c r="QUP91" t="s">
        <v>437</v>
      </c>
      <c r="QUQ91" t="s">
        <v>428</v>
      </c>
      <c r="QUS91" t="s">
        <v>146</v>
      </c>
      <c r="QUT91" t="s">
        <v>145</v>
      </c>
      <c r="QUU91" t="s">
        <v>398</v>
      </c>
      <c r="QUV91">
        <v>1</v>
      </c>
      <c r="QUW91" t="s">
        <v>436</v>
      </c>
      <c r="QUX91" t="s">
        <v>437</v>
      </c>
      <c r="QUY91" t="s">
        <v>428</v>
      </c>
      <c r="QVA91" t="s">
        <v>146</v>
      </c>
      <c r="QVB91" t="s">
        <v>145</v>
      </c>
      <c r="QVC91" t="s">
        <v>398</v>
      </c>
      <c r="QVD91">
        <v>1</v>
      </c>
      <c r="QVE91" t="s">
        <v>436</v>
      </c>
      <c r="QVF91" t="s">
        <v>437</v>
      </c>
      <c r="QVG91" t="s">
        <v>428</v>
      </c>
      <c r="QVI91" t="s">
        <v>146</v>
      </c>
      <c r="QVJ91" t="s">
        <v>145</v>
      </c>
      <c r="QVK91" t="s">
        <v>398</v>
      </c>
      <c r="QVL91">
        <v>1</v>
      </c>
      <c r="QVM91" t="s">
        <v>436</v>
      </c>
      <c r="QVN91" t="s">
        <v>437</v>
      </c>
      <c r="QVO91" t="s">
        <v>428</v>
      </c>
      <c r="QVQ91" t="s">
        <v>146</v>
      </c>
      <c r="QVR91" t="s">
        <v>145</v>
      </c>
      <c r="QVS91" t="s">
        <v>398</v>
      </c>
      <c r="QVT91">
        <v>1</v>
      </c>
      <c r="QVU91" t="s">
        <v>436</v>
      </c>
      <c r="QVV91" t="s">
        <v>437</v>
      </c>
      <c r="QVW91" t="s">
        <v>428</v>
      </c>
      <c r="QVY91" t="s">
        <v>146</v>
      </c>
      <c r="QVZ91" t="s">
        <v>145</v>
      </c>
      <c r="QWA91" t="s">
        <v>398</v>
      </c>
      <c r="QWB91">
        <v>1</v>
      </c>
      <c r="QWC91" t="s">
        <v>436</v>
      </c>
      <c r="QWD91" t="s">
        <v>437</v>
      </c>
      <c r="QWE91" t="s">
        <v>428</v>
      </c>
      <c r="QWG91" t="s">
        <v>146</v>
      </c>
      <c r="QWH91" t="s">
        <v>145</v>
      </c>
      <c r="QWI91" t="s">
        <v>398</v>
      </c>
      <c r="QWJ91">
        <v>1</v>
      </c>
      <c r="QWK91" t="s">
        <v>436</v>
      </c>
      <c r="QWL91" t="s">
        <v>437</v>
      </c>
      <c r="QWM91" t="s">
        <v>428</v>
      </c>
      <c r="QWO91" t="s">
        <v>146</v>
      </c>
      <c r="QWP91" t="s">
        <v>145</v>
      </c>
      <c r="QWQ91" t="s">
        <v>398</v>
      </c>
      <c r="QWR91">
        <v>1</v>
      </c>
      <c r="QWS91" t="s">
        <v>436</v>
      </c>
      <c r="QWT91" t="s">
        <v>437</v>
      </c>
      <c r="QWU91" t="s">
        <v>428</v>
      </c>
      <c r="QWW91" t="s">
        <v>146</v>
      </c>
      <c r="QWX91" t="s">
        <v>145</v>
      </c>
      <c r="QWY91" t="s">
        <v>398</v>
      </c>
      <c r="QWZ91">
        <v>1</v>
      </c>
      <c r="QXA91" t="s">
        <v>436</v>
      </c>
      <c r="QXB91" t="s">
        <v>437</v>
      </c>
      <c r="QXC91" t="s">
        <v>428</v>
      </c>
      <c r="QXE91" t="s">
        <v>146</v>
      </c>
      <c r="QXF91" t="s">
        <v>145</v>
      </c>
      <c r="QXG91" t="s">
        <v>398</v>
      </c>
      <c r="QXH91">
        <v>1</v>
      </c>
      <c r="QXI91" t="s">
        <v>436</v>
      </c>
      <c r="QXJ91" t="s">
        <v>437</v>
      </c>
      <c r="QXK91" t="s">
        <v>428</v>
      </c>
      <c r="QXM91" t="s">
        <v>146</v>
      </c>
      <c r="QXN91" t="s">
        <v>145</v>
      </c>
      <c r="QXO91" t="s">
        <v>398</v>
      </c>
      <c r="QXP91">
        <v>1</v>
      </c>
      <c r="QXQ91" t="s">
        <v>436</v>
      </c>
      <c r="QXR91" t="s">
        <v>437</v>
      </c>
      <c r="QXS91" t="s">
        <v>428</v>
      </c>
      <c r="QXU91" t="s">
        <v>146</v>
      </c>
      <c r="QXV91" t="s">
        <v>145</v>
      </c>
      <c r="QXW91" t="s">
        <v>398</v>
      </c>
      <c r="QXX91">
        <v>1</v>
      </c>
      <c r="QXY91" t="s">
        <v>436</v>
      </c>
      <c r="QXZ91" t="s">
        <v>437</v>
      </c>
      <c r="QYA91" t="s">
        <v>428</v>
      </c>
      <c r="QYC91" t="s">
        <v>146</v>
      </c>
      <c r="QYD91" t="s">
        <v>145</v>
      </c>
      <c r="QYE91" t="s">
        <v>398</v>
      </c>
      <c r="QYF91">
        <v>1</v>
      </c>
      <c r="QYG91" t="s">
        <v>436</v>
      </c>
      <c r="QYH91" t="s">
        <v>437</v>
      </c>
      <c r="QYI91" t="s">
        <v>428</v>
      </c>
      <c r="QYK91" t="s">
        <v>146</v>
      </c>
      <c r="QYL91" t="s">
        <v>145</v>
      </c>
      <c r="QYM91" t="s">
        <v>398</v>
      </c>
      <c r="QYN91">
        <v>1</v>
      </c>
      <c r="QYO91" t="s">
        <v>436</v>
      </c>
      <c r="QYP91" t="s">
        <v>437</v>
      </c>
      <c r="QYQ91" t="s">
        <v>428</v>
      </c>
      <c r="QYS91" t="s">
        <v>146</v>
      </c>
      <c r="QYT91" t="s">
        <v>145</v>
      </c>
      <c r="QYU91" t="s">
        <v>398</v>
      </c>
      <c r="QYV91">
        <v>1</v>
      </c>
      <c r="QYW91" t="s">
        <v>436</v>
      </c>
      <c r="QYX91" t="s">
        <v>437</v>
      </c>
      <c r="QYY91" t="s">
        <v>428</v>
      </c>
      <c r="QZA91" t="s">
        <v>146</v>
      </c>
      <c r="QZB91" t="s">
        <v>145</v>
      </c>
      <c r="QZC91" t="s">
        <v>398</v>
      </c>
      <c r="QZD91">
        <v>1</v>
      </c>
      <c r="QZE91" t="s">
        <v>436</v>
      </c>
      <c r="QZF91" t="s">
        <v>437</v>
      </c>
      <c r="QZG91" t="s">
        <v>428</v>
      </c>
      <c r="QZI91" t="s">
        <v>146</v>
      </c>
      <c r="QZJ91" t="s">
        <v>145</v>
      </c>
      <c r="QZK91" t="s">
        <v>398</v>
      </c>
      <c r="QZL91">
        <v>1</v>
      </c>
      <c r="QZM91" t="s">
        <v>436</v>
      </c>
      <c r="QZN91" t="s">
        <v>437</v>
      </c>
      <c r="QZO91" t="s">
        <v>428</v>
      </c>
      <c r="QZQ91" t="s">
        <v>146</v>
      </c>
      <c r="QZR91" t="s">
        <v>145</v>
      </c>
      <c r="QZS91" t="s">
        <v>398</v>
      </c>
      <c r="QZT91">
        <v>1</v>
      </c>
      <c r="QZU91" t="s">
        <v>436</v>
      </c>
      <c r="QZV91" t="s">
        <v>437</v>
      </c>
      <c r="QZW91" t="s">
        <v>428</v>
      </c>
      <c r="QZY91" t="s">
        <v>146</v>
      </c>
      <c r="QZZ91" t="s">
        <v>145</v>
      </c>
      <c r="RAA91" t="s">
        <v>398</v>
      </c>
      <c r="RAB91">
        <v>1</v>
      </c>
      <c r="RAC91" t="s">
        <v>436</v>
      </c>
      <c r="RAD91" t="s">
        <v>437</v>
      </c>
      <c r="RAE91" t="s">
        <v>428</v>
      </c>
      <c r="RAG91" t="s">
        <v>146</v>
      </c>
      <c r="RAH91" t="s">
        <v>145</v>
      </c>
      <c r="RAI91" t="s">
        <v>398</v>
      </c>
      <c r="RAJ91">
        <v>1</v>
      </c>
      <c r="RAK91" t="s">
        <v>436</v>
      </c>
      <c r="RAL91" t="s">
        <v>437</v>
      </c>
      <c r="RAM91" t="s">
        <v>428</v>
      </c>
      <c r="RAO91" t="s">
        <v>146</v>
      </c>
      <c r="RAP91" t="s">
        <v>145</v>
      </c>
      <c r="RAQ91" t="s">
        <v>398</v>
      </c>
      <c r="RAR91">
        <v>1</v>
      </c>
      <c r="RAS91" t="s">
        <v>436</v>
      </c>
      <c r="RAT91" t="s">
        <v>437</v>
      </c>
      <c r="RAU91" t="s">
        <v>428</v>
      </c>
      <c r="RAW91" t="s">
        <v>146</v>
      </c>
      <c r="RAX91" t="s">
        <v>145</v>
      </c>
      <c r="RAY91" t="s">
        <v>398</v>
      </c>
      <c r="RAZ91">
        <v>1</v>
      </c>
      <c r="RBA91" t="s">
        <v>436</v>
      </c>
      <c r="RBB91" t="s">
        <v>437</v>
      </c>
      <c r="RBC91" t="s">
        <v>428</v>
      </c>
      <c r="RBE91" t="s">
        <v>146</v>
      </c>
      <c r="RBF91" t="s">
        <v>145</v>
      </c>
      <c r="RBG91" t="s">
        <v>398</v>
      </c>
      <c r="RBH91">
        <v>1</v>
      </c>
      <c r="RBI91" t="s">
        <v>436</v>
      </c>
      <c r="RBJ91" t="s">
        <v>437</v>
      </c>
      <c r="RBK91" t="s">
        <v>428</v>
      </c>
      <c r="RBM91" t="s">
        <v>146</v>
      </c>
      <c r="RBN91" t="s">
        <v>145</v>
      </c>
      <c r="RBO91" t="s">
        <v>398</v>
      </c>
      <c r="RBP91">
        <v>1</v>
      </c>
      <c r="RBQ91" t="s">
        <v>436</v>
      </c>
      <c r="RBR91" t="s">
        <v>437</v>
      </c>
      <c r="RBS91" t="s">
        <v>428</v>
      </c>
      <c r="RBU91" t="s">
        <v>146</v>
      </c>
      <c r="RBV91" t="s">
        <v>145</v>
      </c>
      <c r="RBW91" t="s">
        <v>398</v>
      </c>
      <c r="RBX91">
        <v>1</v>
      </c>
      <c r="RBY91" t="s">
        <v>436</v>
      </c>
      <c r="RBZ91" t="s">
        <v>437</v>
      </c>
      <c r="RCA91" t="s">
        <v>428</v>
      </c>
      <c r="RCC91" t="s">
        <v>146</v>
      </c>
      <c r="RCD91" t="s">
        <v>145</v>
      </c>
      <c r="RCE91" t="s">
        <v>398</v>
      </c>
      <c r="RCF91">
        <v>1</v>
      </c>
      <c r="RCG91" t="s">
        <v>436</v>
      </c>
      <c r="RCH91" t="s">
        <v>437</v>
      </c>
      <c r="RCI91" t="s">
        <v>428</v>
      </c>
      <c r="RCK91" t="s">
        <v>146</v>
      </c>
      <c r="RCL91" t="s">
        <v>145</v>
      </c>
      <c r="RCM91" t="s">
        <v>398</v>
      </c>
      <c r="RCN91">
        <v>1</v>
      </c>
      <c r="RCO91" t="s">
        <v>436</v>
      </c>
      <c r="RCP91" t="s">
        <v>437</v>
      </c>
      <c r="RCQ91" t="s">
        <v>428</v>
      </c>
      <c r="RCS91" t="s">
        <v>146</v>
      </c>
      <c r="RCT91" t="s">
        <v>145</v>
      </c>
      <c r="RCU91" t="s">
        <v>398</v>
      </c>
      <c r="RCV91">
        <v>1</v>
      </c>
      <c r="RCW91" t="s">
        <v>436</v>
      </c>
      <c r="RCX91" t="s">
        <v>437</v>
      </c>
      <c r="RCY91" t="s">
        <v>428</v>
      </c>
      <c r="RDA91" t="s">
        <v>146</v>
      </c>
      <c r="RDB91" t="s">
        <v>145</v>
      </c>
      <c r="RDC91" t="s">
        <v>398</v>
      </c>
      <c r="RDD91">
        <v>1</v>
      </c>
      <c r="RDE91" t="s">
        <v>436</v>
      </c>
      <c r="RDF91" t="s">
        <v>437</v>
      </c>
      <c r="RDG91" t="s">
        <v>428</v>
      </c>
      <c r="RDI91" t="s">
        <v>146</v>
      </c>
      <c r="RDJ91" t="s">
        <v>145</v>
      </c>
      <c r="RDK91" t="s">
        <v>398</v>
      </c>
      <c r="RDL91">
        <v>1</v>
      </c>
      <c r="RDM91" t="s">
        <v>436</v>
      </c>
      <c r="RDN91" t="s">
        <v>437</v>
      </c>
      <c r="RDO91" t="s">
        <v>428</v>
      </c>
      <c r="RDQ91" t="s">
        <v>146</v>
      </c>
      <c r="RDR91" t="s">
        <v>145</v>
      </c>
      <c r="RDS91" t="s">
        <v>398</v>
      </c>
      <c r="RDT91">
        <v>1</v>
      </c>
      <c r="RDU91" t="s">
        <v>436</v>
      </c>
      <c r="RDV91" t="s">
        <v>437</v>
      </c>
      <c r="RDW91" t="s">
        <v>428</v>
      </c>
      <c r="RDY91" t="s">
        <v>146</v>
      </c>
      <c r="RDZ91" t="s">
        <v>145</v>
      </c>
      <c r="REA91" t="s">
        <v>398</v>
      </c>
      <c r="REB91">
        <v>1</v>
      </c>
      <c r="REC91" t="s">
        <v>436</v>
      </c>
      <c r="RED91" t="s">
        <v>437</v>
      </c>
      <c r="REE91" t="s">
        <v>428</v>
      </c>
      <c r="REG91" t="s">
        <v>146</v>
      </c>
      <c r="REH91" t="s">
        <v>145</v>
      </c>
      <c r="REI91" t="s">
        <v>398</v>
      </c>
      <c r="REJ91">
        <v>1</v>
      </c>
      <c r="REK91" t="s">
        <v>436</v>
      </c>
      <c r="REL91" t="s">
        <v>437</v>
      </c>
      <c r="REM91" t="s">
        <v>428</v>
      </c>
      <c r="REO91" t="s">
        <v>146</v>
      </c>
      <c r="REP91" t="s">
        <v>145</v>
      </c>
      <c r="REQ91" t="s">
        <v>398</v>
      </c>
      <c r="RER91">
        <v>1</v>
      </c>
      <c r="RES91" t="s">
        <v>436</v>
      </c>
      <c r="RET91" t="s">
        <v>437</v>
      </c>
      <c r="REU91" t="s">
        <v>428</v>
      </c>
      <c r="REW91" t="s">
        <v>146</v>
      </c>
      <c r="REX91" t="s">
        <v>145</v>
      </c>
      <c r="REY91" t="s">
        <v>398</v>
      </c>
      <c r="REZ91">
        <v>1</v>
      </c>
      <c r="RFA91" t="s">
        <v>436</v>
      </c>
      <c r="RFB91" t="s">
        <v>437</v>
      </c>
      <c r="RFC91" t="s">
        <v>428</v>
      </c>
      <c r="RFE91" t="s">
        <v>146</v>
      </c>
      <c r="RFF91" t="s">
        <v>145</v>
      </c>
      <c r="RFG91" t="s">
        <v>398</v>
      </c>
      <c r="RFH91">
        <v>1</v>
      </c>
      <c r="RFI91" t="s">
        <v>436</v>
      </c>
      <c r="RFJ91" t="s">
        <v>437</v>
      </c>
      <c r="RFK91" t="s">
        <v>428</v>
      </c>
      <c r="RFM91" t="s">
        <v>146</v>
      </c>
      <c r="RFN91" t="s">
        <v>145</v>
      </c>
      <c r="RFO91" t="s">
        <v>398</v>
      </c>
      <c r="RFP91">
        <v>1</v>
      </c>
      <c r="RFQ91" t="s">
        <v>436</v>
      </c>
      <c r="RFR91" t="s">
        <v>437</v>
      </c>
      <c r="RFS91" t="s">
        <v>428</v>
      </c>
      <c r="RFU91" t="s">
        <v>146</v>
      </c>
      <c r="RFV91" t="s">
        <v>145</v>
      </c>
      <c r="RFW91" t="s">
        <v>398</v>
      </c>
      <c r="RFX91">
        <v>1</v>
      </c>
      <c r="RFY91" t="s">
        <v>436</v>
      </c>
      <c r="RFZ91" t="s">
        <v>437</v>
      </c>
      <c r="RGA91" t="s">
        <v>428</v>
      </c>
      <c r="RGC91" t="s">
        <v>146</v>
      </c>
      <c r="RGD91" t="s">
        <v>145</v>
      </c>
      <c r="RGE91" t="s">
        <v>398</v>
      </c>
      <c r="RGF91">
        <v>1</v>
      </c>
      <c r="RGG91" t="s">
        <v>436</v>
      </c>
      <c r="RGH91" t="s">
        <v>437</v>
      </c>
      <c r="RGI91" t="s">
        <v>428</v>
      </c>
      <c r="RGK91" t="s">
        <v>146</v>
      </c>
      <c r="RGL91" t="s">
        <v>145</v>
      </c>
      <c r="RGM91" t="s">
        <v>398</v>
      </c>
      <c r="RGN91">
        <v>1</v>
      </c>
      <c r="RGO91" t="s">
        <v>436</v>
      </c>
      <c r="RGP91" t="s">
        <v>437</v>
      </c>
      <c r="RGQ91" t="s">
        <v>428</v>
      </c>
      <c r="RGS91" t="s">
        <v>146</v>
      </c>
      <c r="RGT91" t="s">
        <v>145</v>
      </c>
      <c r="RGU91" t="s">
        <v>398</v>
      </c>
      <c r="RGV91">
        <v>1</v>
      </c>
      <c r="RGW91" t="s">
        <v>436</v>
      </c>
      <c r="RGX91" t="s">
        <v>437</v>
      </c>
      <c r="RGY91" t="s">
        <v>428</v>
      </c>
      <c r="RHA91" t="s">
        <v>146</v>
      </c>
      <c r="RHB91" t="s">
        <v>145</v>
      </c>
      <c r="RHC91" t="s">
        <v>398</v>
      </c>
      <c r="RHD91">
        <v>1</v>
      </c>
      <c r="RHE91" t="s">
        <v>436</v>
      </c>
      <c r="RHF91" t="s">
        <v>437</v>
      </c>
      <c r="RHG91" t="s">
        <v>428</v>
      </c>
      <c r="RHI91" t="s">
        <v>146</v>
      </c>
      <c r="RHJ91" t="s">
        <v>145</v>
      </c>
      <c r="RHK91" t="s">
        <v>398</v>
      </c>
      <c r="RHL91">
        <v>1</v>
      </c>
      <c r="RHM91" t="s">
        <v>436</v>
      </c>
      <c r="RHN91" t="s">
        <v>437</v>
      </c>
      <c r="RHO91" t="s">
        <v>428</v>
      </c>
      <c r="RHQ91" t="s">
        <v>146</v>
      </c>
      <c r="RHR91" t="s">
        <v>145</v>
      </c>
      <c r="RHS91" t="s">
        <v>398</v>
      </c>
      <c r="RHT91">
        <v>1</v>
      </c>
      <c r="RHU91" t="s">
        <v>436</v>
      </c>
      <c r="RHV91" t="s">
        <v>437</v>
      </c>
      <c r="RHW91" t="s">
        <v>428</v>
      </c>
      <c r="RHY91" t="s">
        <v>146</v>
      </c>
      <c r="RHZ91" t="s">
        <v>145</v>
      </c>
      <c r="RIA91" t="s">
        <v>398</v>
      </c>
      <c r="RIB91">
        <v>1</v>
      </c>
      <c r="RIC91" t="s">
        <v>436</v>
      </c>
      <c r="RID91" t="s">
        <v>437</v>
      </c>
      <c r="RIE91" t="s">
        <v>428</v>
      </c>
      <c r="RIG91" t="s">
        <v>146</v>
      </c>
      <c r="RIH91" t="s">
        <v>145</v>
      </c>
      <c r="RII91" t="s">
        <v>398</v>
      </c>
      <c r="RIJ91">
        <v>1</v>
      </c>
      <c r="RIK91" t="s">
        <v>436</v>
      </c>
      <c r="RIL91" t="s">
        <v>437</v>
      </c>
      <c r="RIM91" t="s">
        <v>428</v>
      </c>
      <c r="RIO91" t="s">
        <v>146</v>
      </c>
      <c r="RIP91" t="s">
        <v>145</v>
      </c>
      <c r="RIQ91" t="s">
        <v>398</v>
      </c>
      <c r="RIR91">
        <v>1</v>
      </c>
      <c r="RIS91" t="s">
        <v>436</v>
      </c>
      <c r="RIT91" t="s">
        <v>437</v>
      </c>
      <c r="RIU91" t="s">
        <v>428</v>
      </c>
      <c r="RIW91" t="s">
        <v>146</v>
      </c>
      <c r="RIX91" t="s">
        <v>145</v>
      </c>
      <c r="RIY91" t="s">
        <v>398</v>
      </c>
      <c r="RIZ91">
        <v>1</v>
      </c>
      <c r="RJA91" t="s">
        <v>436</v>
      </c>
      <c r="RJB91" t="s">
        <v>437</v>
      </c>
      <c r="RJC91" t="s">
        <v>428</v>
      </c>
      <c r="RJE91" t="s">
        <v>146</v>
      </c>
      <c r="RJF91" t="s">
        <v>145</v>
      </c>
      <c r="RJG91" t="s">
        <v>398</v>
      </c>
      <c r="RJH91">
        <v>1</v>
      </c>
      <c r="RJI91" t="s">
        <v>436</v>
      </c>
      <c r="RJJ91" t="s">
        <v>437</v>
      </c>
      <c r="RJK91" t="s">
        <v>428</v>
      </c>
      <c r="RJM91" t="s">
        <v>146</v>
      </c>
      <c r="RJN91" t="s">
        <v>145</v>
      </c>
      <c r="RJO91" t="s">
        <v>398</v>
      </c>
      <c r="RJP91">
        <v>1</v>
      </c>
      <c r="RJQ91" t="s">
        <v>436</v>
      </c>
      <c r="RJR91" t="s">
        <v>437</v>
      </c>
      <c r="RJS91" t="s">
        <v>428</v>
      </c>
      <c r="RJU91" t="s">
        <v>146</v>
      </c>
      <c r="RJV91" t="s">
        <v>145</v>
      </c>
      <c r="RJW91" t="s">
        <v>398</v>
      </c>
      <c r="RJX91">
        <v>1</v>
      </c>
      <c r="RJY91" t="s">
        <v>436</v>
      </c>
      <c r="RJZ91" t="s">
        <v>437</v>
      </c>
      <c r="RKA91" t="s">
        <v>428</v>
      </c>
      <c r="RKC91" t="s">
        <v>146</v>
      </c>
      <c r="RKD91" t="s">
        <v>145</v>
      </c>
      <c r="RKE91" t="s">
        <v>398</v>
      </c>
      <c r="RKF91">
        <v>1</v>
      </c>
      <c r="RKG91" t="s">
        <v>436</v>
      </c>
      <c r="RKH91" t="s">
        <v>437</v>
      </c>
      <c r="RKI91" t="s">
        <v>428</v>
      </c>
      <c r="RKK91" t="s">
        <v>146</v>
      </c>
      <c r="RKL91" t="s">
        <v>145</v>
      </c>
      <c r="RKM91" t="s">
        <v>398</v>
      </c>
      <c r="RKN91">
        <v>1</v>
      </c>
      <c r="RKO91" t="s">
        <v>436</v>
      </c>
      <c r="RKP91" t="s">
        <v>437</v>
      </c>
      <c r="RKQ91" t="s">
        <v>428</v>
      </c>
      <c r="RKS91" t="s">
        <v>146</v>
      </c>
      <c r="RKT91" t="s">
        <v>145</v>
      </c>
      <c r="RKU91" t="s">
        <v>398</v>
      </c>
      <c r="RKV91">
        <v>1</v>
      </c>
      <c r="RKW91" t="s">
        <v>436</v>
      </c>
      <c r="RKX91" t="s">
        <v>437</v>
      </c>
      <c r="RKY91" t="s">
        <v>428</v>
      </c>
      <c r="RLA91" t="s">
        <v>146</v>
      </c>
      <c r="RLB91" t="s">
        <v>145</v>
      </c>
      <c r="RLC91" t="s">
        <v>398</v>
      </c>
      <c r="RLD91">
        <v>1</v>
      </c>
      <c r="RLE91" t="s">
        <v>436</v>
      </c>
      <c r="RLF91" t="s">
        <v>437</v>
      </c>
      <c r="RLG91" t="s">
        <v>428</v>
      </c>
      <c r="RLI91" t="s">
        <v>146</v>
      </c>
      <c r="RLJ91" t="s">
        <v>145</v>
      </c>
      <c r="RLK91" t="s">
        <v>398</v>
      </c>
      <c r="RLL91">
        <v>1</v>
      </c>
      <c r="RLM91" t="s">
        <v>436</v>
      </c>
      <c r="RLN91" t="s">
        <v>437</v>
      </c>
      <c r="RLO91" t="s">
        <v>428</v>
      </c>
      <c r="RLQ91" t="s">
        <v>146</v>
      </c>
      <c r="RLR91" t="s">
        <v>145</v>
      </c>
      <c r="RLS91" t="s">
        <v>398</v>
      </c>
      <c r="RLT91">
        <v>1</v>
      </c>
      <c r="RLU91" t="s">
        <v>436</v>
      </c>
      <c r="RLV91" t="s">
        <v>437</v>
      </c>
      <c r="RLW91" t="s">
        <v>428</v>
      </c>
      <c r="RLY91" t="s">
        <v>146</v>
      </c>
      <c r="RLZ91" t="s">
        <v>145</v>
      </c>
      <c r="RMA91" t="s">
        <v>398</v>
      </c>
      <c r="RMB91">
        <v>1</v>
      </c>
      <c r="RMC91" t="s">
        <v>436</v>
      </c>
      <c r="RMD91" t="s">
        <v>437</v>
      </c>
      <c r="RME91" t="s">
        <v>428</v>
      </c>
      <c r="RMG91" t="s">
        <v>146</v>
      </c>
      <c r="RMH91" t="s">
        <v>145</v>
      </c>
      <c r="RMI91" t="s">
        <v>398</v>
      </c>
      <c r="RMJ91">
        <v>1</v>
      </c>
      <c r="RMK91" t="s">
        <v>436</v>
      </c>
      <c r="RML91" t="s">
        <v>437</v>
      </c>
      <c r="RMM91" t="s">
        <v>428</v>
      </c>
      <c r="RMO91" t="s">
        <v>146</v>
      </c>
      <c r="RMP91" t="s">
        <v>145</v>
      </c>
      <c r="RMQ91" t="s">
        <v>398</v>
      </c>
      <c r="RMR91">
        <v>1</v>
      </c>
      <c r="RMS91" t="s">
        <v>436</v>
      </c>
      <c r="RMT91" t="s">
        <v>437</v>
      </c>
      <c r="RMU91" t="s">
        <v>428</v>
      </c>
      <c r="RMW91" t="s">
        <v>146</v>
      </c>
      <c r="RMX91" t="s">
        <v>145</v>
      </c>
      <c r="RMY91" t="s">
        <v>398</v>
      </c>
      <c r="RMZ91">
        <v>1</v>
      </c>
      <c r="RNA91" t="s">
        <v>436</v>
      </c>
      <c r="RNB91" t="s">
        <v>437</v>
      </c>
      <c r="RNC91" t="s">
        <v>428</v>
      </c>
      <c r="RNE91" t="s">
        <v>146</v>
      </c>
      <c r="RNF91" t="s">
        <v>145</v>
      </c>
      <c r="RNG91" t="s">
        <v>398</v>
      </c>
      <c r="RNH91">
        <v>1</v>
      </c>
      <c r="RNI91" t="s">
        <v>436</v>
      </c>
      <c r="RNJ91" t="s">
        <v>437</v>
      </c>
      <c r="RNK91" t="s">
        <v>428</v>
      </c>
      <c r="RNM91" t="s">
        <v>146</v>
      </c>
      <c r="RNN91" t="s">
        <v>145</v>
      </c>
      <c r="RNO91" t="s">
        <v>398</v>
      </c>
      <c r="RNP91">
        <v>1</v>
      </c>
      <c r="RNQ91" t="s">
        <v>436</v>
      </c>
      <c r="RNR91" t="s">
        <v>437</v>
      </c>
      <c r="RNS91" t="s">
        <v>428</v>
      </c>
      <c r="RNU91" t="s">
        <v>146</v>
      </c>
      <c r="RNV91" t="s">
        <v>145</v>
      </c>
      <c r="RNW91" t="s">
        <v>398</v>
      </c>
      <c r="RNX91">
        <v>1</v>
      </c>
      <c r="RNY91" t="s">
        <v>436</v>
      </c>
      <c r="RNZ91" t="s">
        <v>437</v>
      </c>
      <c r="ROA91" t="s">
        <v>428</v>
      </c>
      <c r="ROC91" t="s">
        <v>146</v>
      </c>
      <c r="ROD91" t="s">
        <v>145</v>
      </c>
      <c r="ROE91" t="s">
        <v>398</v>
      </c>
      <c r="ROF91">
        <v>1</v>
      </c>
      <c r="ROG91" t="s">
        <v>436</v>
      </c>
      <c r="ROH91" t="s">
        <v>437</v>
      </c>
      <c r="ROI91" t="s">
        <v>428</v>
      </c>
      <c r="ROK91" t="s">
        <v>146</v>
      </c>
      <c r="ROL91" t="s">
        <v>145</v>
      </c>
      <c r="ROM91" t="s">
        <v>398</v>
      </c>
      <c r="RON91">
        <v>1</v>
      </c>
      <c r="ROO91" t="s">
        <v>436</v>
      </c>
      <c r="ROP91" t="s">
        <v>437</v>
      </c>
      <c r="ROQ91" t="s">
        <v>428</v>
      </c>
      <c r="ROS91" t="s">
        <v>146</v>
      </c>
      <c r="ROT91" t="s">
        <v>145</v>
      </c>
      <c r="ROU91" t="s">
        <v>398</v>
      </c>
      <c r="ROV91">
        <v>1</v>
      </c>
      <c r="ROW91" t="s">
        <v>436</v>
      </c>
      <c r="ROX91" t="s">
        <v>437</v>
      </c>
      <c r="ROY91" t="s">
        <v>428</v>
      </c>
      <c r="RPA91" t="s">
        <v>146</v>
      </c>
      <c r="RPB91" t="s">
        <v>145</v>
      </c>
      <c r="RPC91" t="s">
        <v>398</v>
      </c>
      <c r="RPD91">
        <v>1</v>
      </c>
      <c r="RPE91" t="s">
        <v>436</v>
      </c>
      <c r="RPF91" t="s">
        <v>437</v>
      </c>
      <c r="RPG91" t="s">
        <v>428</v>
      </c>
      <c r="RPI91" t="s">
        <v>146</v>
      </c>
      <c r="RPJ91" t="s">
        <v>145</v>
      </c>
      <c r="RPK91" t="s">
        <v>398</v>
      </c>
      <c r="RPL91">
        <v>1</v>
      </c>
      <c r="RPM91" t="s">
        <v>436</v>
      </c>
      <c r="RPN91" t="s">
        <v>437</v>
      </c>
      <c r="RPO91" t="s">
        <v>428</v>
      </c>
      <c r="RPQ91" t="s">
        <v>146</v>
      </c>
      <c r="RPR91" t="s">
        <v>145</v>
      </c>
      <c r="RPS91" t="s">
        <v>398</v>
      </c>
      <c r="RPT91">
        <v>1</v>
      </c>
      <c r="RPU91" t="s">
        <v>436</v>
      </c>
      <c r="RPV91" t="s">
        <v>437</v>
      </c>
      <c r="RPW91" t="s">
        <v>428</v>
      </c>
      <c r="RPY91" t="s">
        <v>146</v>
      </c>
      <c r="RPZ91" t="s">
        <v>145</v>
      </c>
      <c r="RQA91" t="s">
        <v>398</v>
      </c>
      <c r="RQB91">
        <v>1</v>
      </c>
      <c r="RQC91" t="s">
        <v>436</v>
      </c>
      <c r="RQD91" t="s">
        <v>437</v>
      </c>
      <c r="RQE91" t="s">
        <v>428</v>
      </c>
      <c r="RQG91" t="s">
        <v>146</v>
      </c>
      <c r="RQH91" t="s">
        <v>145</v>
      </c>
      <c r="RQI91" t="s">
        <v>398</v>
      </c>
      <c r="RQJ91">
        <v>1</v>
      </c>
      <c r="RQK91" t="s">
        <v>436</v>
      </c>
      <c r="RQL91" t="s">
        <v>437</v>
      </c>
      <c r="RQM91" t="s">
        <v>428</v>
      </c>
      <c r="RQO91" t="s">
        <v>146</v>
      </c>
      <c r="RQP91" t="s">
        <v>145</v>
      </c>
      <c r="RQQ91" t="s">
        <v>398</v>
      </c>
      <c r="RQR91">
        <v>1</v>
      </c>
      <c r="RQS91" t="s">
        <v>436</v>
      </c>
      <c r="RQT91" t="s">
        <v>437</v>
      </c>
      <c r="RQU91" t="s">
        <v>428</v>
      </c>
      <c r="RQW91" t="s">
        <v>146</v>
      </c>
      <c r="RQX91" t="s">
        <v>145</v>
      </c>
      <c r="RQY91" t="s">
        <v>398</v>
      </c>
      <c r="RQZ91">
        <v>1</v>
      </c>
      <c r="RRA91" t="s">
        <v>436</v>
      </c>
      <c r="RRB91" t="s">
        <v>437</v>
      </c>
      <c r="RRC91" t="s">
        <v>428</v>
      </c>
      <c r="RRE91" t="s">
        <v>146</v>
      </c>
      <c r="RRF91" t="s">
        <v>145</v>
      </c>
      <c r="RRG91" t="s">
        <v>398</v>
      </c>
      <c r="RRH91">
        <v>1</v>
      </c>
      <c r="RRI91" t="s">
        <v>436</v>
      </c>
      <c r="RRJ91" t="s">
        <v>437</v>
      </c>
      <c r="RRK91" t="s">
        <v>428</v>
      </c>
      <c r="RRM91" t="s">
        <v>146</v>
      </c>
      <c r="RRN91" t="s">
        <v>145</v>
      </c>
      <c r="RRO91" t="s">
        <v>398</v>
      </c>
      <c r="RRP91">
        <v>1</v>
      </c>
      <c r="RRQ91" t="s">
        <v>436</v>
      </c>
      <c r="RRR91" t="s">
        <v>437</v>
      </c>
      <c r="RRS91" t="s">
        <v>428</v>
      </c>
      <c r="RRU91" t="s">
        <v>146</v>
      </c>
      <c r="RRV91" t="s">
        <v>145</v>
      </c>
      <c r="RRW91" t="s">
        <v>398</v>
      </c>
      <c r="RRX91">
        <v>1</v>
      </c>
      <c r="RRY91" t="s">
        <v>436</v>
      </c>
      <c r="RRZ91" t="s">
        <v>437</v>
      </c>
      <c r="RSA91" t="s">
        <v>428</v>
      </c>
      <c r="RSC91" t="s">
        <v>146</v>
      </c>
      <c r="RSD91" t="s">
        <v>145</v>
      </c>
      <c r="RSE91" t="s">
        <v>398</v>
      </c>
      <c r="RSF91">
        <v>1</v>
      </c>
      <c r="RSG91" t="s">
        <v>436</v>
      </c>
      <c r="RSH91" t="s">
        <v>437</v>
      </c>
      <c r="RSI91" t="s">
        <v>428</v>
      </c>
      <c r="RSK91" t="s">
        <v>146</v>
      </c>
      <c r="RSL91" t="s">
        <v>145</v>
      </c>
      <c r="RSM91" t="s">
        <v>398</v>
      </c>
      <c r="RSN91">
        <v>1</v>
      </c>
      <c r="RSO91" t="s">
        <v>436</v>
      </c>
      <c r="RSP91" t="s">
        <v>437</v>
      </c>
      <c r="RSQ91" t="s">
        <v>428</v>
      </c>
      <c r="RSS91" t="s">
        <v>146</v>
      </c>
      <c r="RST91" t="s">
        <v>145</v>
      </c>
      <c r="RSU91" t="s">
        <v>398</v>
      </c>
      <c r="RSV91">
        <v>1</v>
      </c>
      <c r="RSW91" t="s">
        <v>436</v>
      </c>
      <c r="RSX91" t="s">
        <v>437</v>
      </c>
      <c r="RSY91" t="s">
        <v>428</v>
      </c>
      <c r="RTA91" t="s">
        <v>146</v>
      </c>
      <c r="RTB91" t="s">
        <v>145</v>
      </c>
      <c r="RTC91" t="s">
        <v>398</v>
      </c>
      <c r="RTD91">
        <v>1</v>
      </c>
      <c r="RTE91" t="s">
        <v>436</v>
      </c>
      <c r="RTF91" t="s">
        <v>437</v>
      </c>
      <c r="RTG91" t="s">
        <v>428</v>
      </c>
      <c r="RTI91" t="s">
        <v>146</v>
      </c>
      <c r="RTJ91" t="s">
        <v>145</v>
      </c>
      <c r="RTK91" t="s">
        <v>398</v>
      </c>
      <c r="RTL91">
        <v>1</v>
      </c>
      <c r="RTM91" t="s">
        <v>436</v>
      </c>
      <c r="RTN91" t="s">
        <v>437</v>
      </c>
      <c r="RTO91" t="s">
        <v>428</v>
      </c>
      <c r="RTQ91" t="s">
        <v>146</v>
      </c>
      <c r="RTR91" t="s">
        <v>145</v>
      </c>
      <c r="RTS91" t="s">
        <v>398</v>
      </c>
      <c r="RTT91">
        <v>1</v>
      </c>
      <c r="RTU91" t="s">
        <v>436</v>
      </c>
      <c r="RTV91" t="s">
        <v>437</v>
      </c>
      <c r="RTW91" t="s">
        <v>428</v>
      </c>
      <c r="RTY91" t="s">
        <v>146</v>
      </c>
      <c r="RTZ91" t="s">
        <v>145</v>
      </c>
      <c r="RUA91" t="s">
        <v>398</v>
      </c>
      <c r="RUB91">
        <v>1</v>
      </c>
      <c r="RUC91" t="s">
        <v>436</v>
      </c>
      <c r="RUD91" t="s">
        <v>437</v>
      </c>
      <c r="RUE91" t="s">
        <v>428</v>
      </c>
      <c r="RUG91" t="s">
        <v>146</v>
      </c>
      <c r="RUH91" t="s">
        <v>145</v>
      </c>
      <c r="RUI91" t="s">
        <v>398</v>
      </c>
      <c r="RUJ91">
        <v>1</v>
      </c>
      <c r="RUK91" t="s">
        <v>436</v>
      </c>
      <c r="RUL91" t="s">
        <v>437</v>
      </c>
      <c r="RUM91" t="s">
        <v>428</v>
      </c>
      <c r="RUO91" t="s">
        <v>146</v>
      </c>
      <c r="RUP91" t="s">
        <v>145</v>
      </c>
      <c r="RUQ91" t="s">
        <v>398</v>
      </c>
      <c r="RUR91">
        <v>1</v>
      </c>
      <c r="RUS91" t="s">
        <v>436</v>
      </c>
      <c r="RUT91" t="s">
        <v>437</v>
      </c>
      <c r="RUU91" t="s">
        <v>428</v>
      </c>
      <c r="RUW91" t="s">
        <v>146</v>
      </c>
      <c r="RUX91" t="s">
        <v>145</v>
      </c>
      <c r="RUY91" t="s">
        <v>398</v>
      </c>
      <c r="RUZ91">
        <v>1</v>
      </c>
      <c r="RVA91" t="s">
        <v>436</v>
      </c>
      <c r="RVB91" t="s">
        <v>437</v>
      </c>
      <c r="RVC91" t="s">
        <v>428</v>
      </c>
      <c r="RVE91" t="s">
        <v>146</v>
      </c>
      <c r="RVF91" t="s">
        <v>145</v>
      </c>
      <c r="RVG91" t="s">
        <v>398</v>
      </c>
      <c r="RVH91">
        <v>1</v>
      </c>
      <c r="RVI91" t="s">
        <v>436</v>
      </c>
      <c r="RVJ91" t="s">
        <v>437</v>
      </c>
      <c r="RVK91" t="s">
        <v>428</v>
      </c>
      <c r="RVM91" t="s">
        <v>146</v>
      </c>
      <c r="RVN91" t="s">
        <v>145</v>
      </c>
      <c r="RVO91" t="s">
        <v>398</v>
      </c>
      <c r="RVP91">
        <v>1</v>
      </c>
      <c r="RVQ91" t="s">
        <v>436</v>
      </c>
      <c r="RVR91" t="s">
        <v>437</v>
      </c>
      <c r="RVS91" t="s">
        <v>428</v>
      </c>
      <c r="RVU91" t="s">
        <v>146</v>
      </c>
      <c r="RVV91" t="s">
        <v>145</v>
      </c>
      <c r="RVW91" t="s">
        <v>398</v>
      </c>
      <c r="RVX91">
        <v>1</v>
      </c>
      <c r="RVY91" t="s">
        <v>436</v>
      </c>
      <c r="RVZ91" t="s">
        <v>437</v>
      </c>
      <c r="RWA91" t="s">
        <v>428</v>
      </c>
      <c r="RWC91" t="s">
        <v>146</v>
      </c>
      <c r="RWD91" t="s">
        <v>145</v>
      </c>
      <c r="RWE91" t="s">
        <v>398</v>
      </c>
      <c r="RWF91">
        <v>1</v>
      </c>
      <c r="RWG91" t="s">
        <v>436</v>
      </c>
      <c r="RWH91" t="s">
        <v>437</v>
      </c>
      <c r="RWI91" t="s">
        <v>428</v>
      </c>
      <c r="RWK91" t="s">
        <v>146</v>
      </c>
      <c r="RWL91" t="s">
        <v>145</v>
      </c>
      <c r="RWM91" t="s">
        <v>398</v>
      </c>
      <c r="RWN91">
        <v>1</v>
      </c>
      <c r="RWO91" t="s">
        <v>436</v>
      </c>
      <c r="RWP91" t="s">
        <v>437</v>
      </c>
      <c r="RWQ91" t="s">
        <v>428</v>
      </c>
      <c r="RWS91" t="s">
        <v>146</v>
      </c>
      <c r="RWT91" t="s">
        <v>145</v>
      </c>
      <c r="RWU91" t="s">
        <v>398</v>
      </c>
      <c r="RWV91">
        <v>1</v>
      </c>
      <c r="RWW91" t="s">
        <v>436</v>
      </c>
      <c r="RWX91" t="s">
        <v>437</v>
      </c>
      <c r="RWY91" t="s">
        <v>428</v>
      </c>
      <c r="RXA91" t="s">
        <v>146</v>
      </c>
      <c r="RXB91" t="s">
        <v>145</v>
      </c>
      <c r="RXC91" t="s">
        <v>398</v>
      </c>
      <c r="RXD91">
        <v>1</v>
      </c>
      <c r="RXE91" t="s">
        <v>436</v>
      </c>
      <c r="RXF91" t="s">
        <v>437</v>
      </c>
      <c r="RXG91" t="s">
        <v>428</v>
      </c>
      <c r="RXI91" t="s">
        <v>146</v>
      </c>
      <c r="RXJ91" t="s">
        <v>145</v>
      </c>
      <c r="RXK91" t="s">
        <v>398</v>
      </c>
      <c r="RXL91">
        <v>1</v>
      </c>
      <c r="RXM91" t="s">
        <v>436</v>
      </c>
      <c r="RXN91" t="s">
        <v>437</v>
      </c>
      <c r="RXO91" t="s">
        <v>428</v>
      </c>
      <c r="RXQ91" t="s">
        <v>146</v>
      </c>
      <c r="RXR91" t="s">
        <v>145</v>
      </c>
      <c r="RXS91" t="s">
        <v>398</v>
      </c>
      <c r="RXT91">
        <v>1</v>
      </c>
      <c r="RXU91" t="s">
        <v>436</v>
      </c>
      <c r="RXV91" t="s">
        <v>437</v>
      </c>
      <c r="RXW91" t="s">
        <v>428</v>
      </c>
      <c r="RXY91" t="s">
        <v>146</v>
      </c>
      <c r="RXZ91" t="s">
        <v>145</v>
      </c>
      <c r="RYA91" t="s">
        <v>398</v>
      </c>
      <c r="RYB91">
        <v>1</v>
      </c>
      <c r="RYC91" t="s">
        <v>436</v>
      </c>
      <c r="RYD91" t="s">
        <v>437</v>
      </c>
      <c r="RYE91" t="s">
        <v>428</v>
      </c>
      <c r="RYG91" t="s">
        <v>146</v>
      </c>
      <c r="RYH91" t="s">
        <v>145</v>
      </c>
      <c r="RYI91" t="s">
        <v>398</v>
      </c>
      <c r="RYJ91">
        <v>1</v>
      </c>
      <c r="RYK91" t="s">
        <v>436</v>
      </c>
      <c r="RYL91" t="s">
        <v>437</v>
      </c>
      <c r="RYM91" t="s">
        <v>428</v>
      </c>
      <c r="RYO91" t="s">
        <v>146</v>
      </c>
      <c r="RYP91" t="s">
        <v>145</v>
      </c>
      <c r="RYQ91" t="s">
        <v>398</v>
      </c>
      <c r="RYR91">
        <v>1</v>
      </c>
      <c r="RYS91" t="s">
        <v>436</v>
      </c>
      <c r="RYT91" t="s">
        <v>437</v>
      </c>
      <c r="RYU91" t="s">
        <v>428</v>
      </c>
      <c r="RYW91" t="s">
        <v>146</v>
      </c>
      <c r="RYX91" t="s">
        <v>145</v>
      </c>
      <c r="RYY91" t="s">
        <v>398</v>
      </c>
      <c r="RYZ91">
        <v>1</v>
      </c>
      <c r="RZA91" t="s">
        <v>436</v>
      </c>
      <c r="RZB91" t="s">
        <v>437</v>
      </c>
      <c r="RZC91" t="s">
        <v>428</v>
      </c>
      <c r="RZE91" t="s">
        <v>146</v>
      </c>
      <c r="RZF91" t="s">
        <v>145</v>
      </c>
      <c r="RZG91" t="s">
        <v>398</v>
      </c>
      <c r="RZH91">
        <v>1</v>
      </c>
      <c r="RZI91" t="s">
        <v>436</v>
      </c>
      <c r="RZJ91" t="s">
        <v>437</v>
      </c>
      <c r="RZK91" t="s">
        <v>428</v>
      </c>
      <c r="RZM91" t="s">
        <v>146</v>
      </c>
      <c r="RZN91" t="s">
        <v>145</v>
      </c>
      <c r="RZO91" t="s">
        <v>398</v>
      </c>
      <c r="RZP91">
        <v>1</v>
      </c>
      <c r="RZQ91" t="s">
        <v>436</v>
      </c>
      <c r="RZR91" t="s">
        <v>437</v>
      </c>
      <c r="RZS91" t="s">
        <v>428</v>
      </c>
      <c r="RZU91" t="s">
        <v>146</v>
      </c>
      <c r="RZV91" t="s">
        <v>145</v>
      </c>
      <c r="RZW91" t="s">
        <v>398</v>
      </c>
      <c r="RZX91">
        <v>1</v>
      </c>
      <c r="RZY91" t="s">
        <v>436</v>
      </c>
      <c r="RZZ91" t="s">
        <v>437</v>
      </c>
      <c r="SAA91" t="s">
        <v>428</v>
      </c>
      <c r="SAC91" t="s">
        <v>146</v>
      </c>
      <c r="SAD91" t="s">
        <v>145</v>
      </c>
      <c r="SAE91" t="s">
        <v>398</v>
      </c>
      <c r="SAF91">
        <v>1</v>
      </c>
      <c r="SAG91" t="s">
        <v>436</v>
      </c>
      <c r="SAH91" t="s">
        <v>437</v>
      </c>
      <c r="SAI91" t="s">
        <v>428</v>
      </c>
      <c r="SAK91" t="s">
        <v>146</v>
      </c>
      <c r="SAL91" t="s">
        <v>145</v>
      </c>
      <c r="SAM91" t="s">
        <v>398</v>
      </c>
      <c r="SAN91">
        <v>1</v>
      </c>
      <c r="SAO91" t="s">
        <v>436</v>
      </c>
      <c r="SAP91" t="s">
        <v>437</v>
      </c>
      <c r="SAQ91" t="s">
        <v>428</v>
      </c>
      <c r="SAS91" t="s">
        <v>146</v>
      </c>
      <c r="SAT91" t="s">
        <v>145</v>
      </c>
      <c r="SAU91" t="s">
        <v>398</v>
      </c>
      <c r="SAV91">
        <v>1</v>
      </c>
      <c r="SAW91" t="s">
        <v>436</v>
      </c>
      <c r="SAX91" t="s">
        <v>437</v>
      </c>
      <c r="SAY91" t="s">
        <v>428</v>
      </c>
      <c r="SBA91" t="s">
        <v>146</v>
      </c>
      <c r="SBB91" t="s">
        <v>145</v>
      </c>
      <c r="SBC91" t="s">
        <v>398</v>
      </c>
      <c r="SBD91">
        <v>1</v>
      </c>
      <c r="SBE91" t="s">
        <v>436</v>
      </c>
      <c r="SBF91" t="s">
        <v>437</v>
      </c>
      <c r="SBG91" t="s">
        <v>428</v>
      </c>
      <c r="SBI91" t="s">
        <v>146</v>
      </c>
      <c r="SBJ91" t="s">
        <v>145</v>
      </c>
      <c r="SBK91" t="s">
        <v>398</v>
      </c>
      <c r="SBL91">
        <v>1</v>
      </c>
      <c r="SBM91" t="s">
        <v>436</v>
      </c>
      <c r="SBN91" t="s">
        <v>437</v>
      </c>
      <c r="SBO91" t="s">
        <v>428</v>
      </c>
      <c r="SBQ91" t="s">
        <v>146</v>
      </c>
      <c r="SBR91" t="s">
        <v>145</v>
      </c>
      <c r="SBS91" t="s">
        <v>398</v>
      </c>
      <c r="SBT91">
        <v>1</v>
      </c>
      <c r="SBU91" t="s">
        <v>436</v>
      </c>
      <c r="SBV91" t="s">
        <v>437</v>
      </c>
      <c r="SBW91" t="s">
        <v>428</v>
      </c>
      <c r="SBY91" t="s">
        <v>146</v>
      </c>
      <c r="SBZ91" t="s">
        <v>145</v>
      </c>
      <c r="SCA91" t="s">
        <v>398</v>
      </c>
      <c r="SCB91">
        <v>1</v>
      </c>
      <c r="SCC91" t="s">
        <v>436</v>
      </c>
      <c r="SCD91" t="s">
        <v>437</v>
      </c>
      <c r="SCE91" t="s">
        <v>428</v>
      </c>
      <c r="SCG91" t="s">
        <v>146</v>
      </c>
      <c r="SCH91" t="s">
        <v>145</v>
      </c>
      <c r="SCI91" t="s">
        <v>398</v>
      </c>
      <c r="SCJ91">
        <v>1</v>
      </c>
      <c r="SCK91" t="s">
        <v>436</v>
      </c>
      <c r="SCL91" t="s">
        <v>437</v>
      </c>
      <c r="SCM91" t="s">
        <v>428</v>
      </c>
      <c r="SCO91" t="s">
        <v>146</v>
      </c>
      <c r="SCP91" t="s">
        <v>145</v>
      </c>
      <c r="SCQ91" t="s">
        <v>398</v>
      </c>
      <c r="SCR91">
        <v>1</v>
      </c>
      <c r="SCS91" t="s">
        <v>436</v>
      </c>
      <c r="SCT91" t="s">
        <v>437</v>
      </c>
      <c r="SCU91" t="s">
        <v>428</v>
      </c>
      <c r="SCW91" t="s">
        <v>146</v>
      </c>
      <c r="SCX91" t="s">
        <v>145</v>
      </c>
      <c r="SCY91" t="s">
        <v>398</v>
      </c>
      <c r="SCZ91">
        <v>1</v>
      </c>
      <c r="SDA91" t="s">
        <v>436</v>
      </c>
      <c r="SDB91" t="s">
        <v>437</v>
      </c>
      <c r="SDC91" t="s">
        <v>428</v>
      </c>
      <c r="SDE91" t="s">
        <v>146</v>
      </c>
      <c r="SDF91" t="s">
        <v>145</v>
      </c>
      <c r="SDG91" t="s">
        <v>398</v>
      </c>
      <c r="SDH91">
        <v>1</v>
      </c>
      <c r="SDI91" t="s">
        <v>436</v>
      </c>
      <c r="SDJ91" t="s">
        <v>437</v>
      </c>
      <c r="SDK91" t="s">
        <v>428</v>
      </c>
      <c r="SDM91" t="s">
        <v>146</v>
      </c>
      <c r="SDN91" t="s">
        <v>145</v>
      </c>
      <c r="SDO91" t="s">
        <v>398</v>
      </c>
      <c r="SDP91">
        <v>1</v>
      </c>
      <c r="SDQ91" t="s">
        <v>436</v>
      </c>
      <c r="SDR91" t="s">
        <v>437</v>
      </c>
      <c r="SDS91" t="s">
        <v>428</v>
      </c>
      <c r="SDU91" t="s">
        <v>146</v>
      </c>
      <c r="SDV91" t="s">
        <v>145</v>
      </c>
      <c r="SDW91" t="s">
        <v>398</v>
      </c>
      <c r="SDX91">
        <v>1</v>
      </c>
      <c r="SDY91" t="s">
        <v>436</v>
      </c>
      <c r="SDZ91" t="s">
        <v>437</v>
      </c>
      <c r="SEA91" t="s">
        <v>428</v>
      </c>
      <c r="SEC91" t="s">
        <v>146</v>
      </c>
      <c r="SED91" t="s">
        <v>145</v>
      </c>
      <c r="SEE91" t="s">
        <v>398</v>
      </c>
      <c r="SEF91">
        <v>1</v>
      </c>
      <c r="SEG91" t="s">
        <v>436</v>
      </c>
      <c r="SEH91" t="s">
        <v>437</v>
      </c>
      <c r="SEI91" t="s">
        <v>428</v>
      </c>
      <c r="SEK91" t="s">
        <v>146</v>
      </c>
      <c r="SEL91" t="s">
        <v>145</v>
      </c>
      <c r="SEM91" t="s">
        <v>398</v>
      </c>
      <c r="SEN91">
        <v>1</v>
      </c>
      <c r="SEO91" t="s">
        <v>436</v>
      </c>
      <c r="SEP91" t="s">
        <v>437</v>
      </c>
      <c r="SEQ91" t="s">
        <v>428</v>
      </c>
      <c r="SES91" t="s">
        <v>146</v>
      </c>
      <c r="SET91" t="s">
        <v>145</v>
      </c>
      <c r="SEU91" t="s">
        <v>398</v>
      </c>
      <c r="SEV91">
        <v>1</v>
      </c>
      <c r="SEW91" t="s">
        <v>436</v>
      </c>
      <c r="SEX91" t="s">
        <v>437</v>
      </c>
      <c r="SEY91" t="s">
        <v>428</v>
      </c>
      <c r="SFA91" t="s">
        <v>146</v>
      </c>
      <c r="SFB91" t="s">
        <v>145</v>
      </c>
      <c r="SFC91" t="s">
        <v>398</v>
      </c>
      <c r="SFD91">
        <v>1</v>
      </c>
      <c r="SFE91" t="s">
        <v>436</v>
      </c>
      <c r="SFF91" t="s">
        <v>437</v>
      </c>
      <c r="SFG91" t="s">
        <v>428</v>
      </c>
      <c r="SFI91" t="s">
        <v>146</v>
      </c>
      <c r="SFJ91" t="s">
        <v>145</v>
      </c>
      <c r="SFK91" t="s">
        <v>398</v>
      </c>
      <c r="SFL91">
        <v>1</v>
      </c>
      <c r="SFM91" t="s">
        <v>436</v>
      </c>
      <c r="SFN91" t="s">
        <v>437</v>
      </c>
      <c r="SFO91" t="s">
        <v>428</v>
      </c>
      <c r="SFQ91" t="s">
        <v>146</v>
      </c>
      <c r="SFR91" t="s">
        <v>145</v>
      </c>
      <c r="SFS91" t="s">
        <v>398</v>
      </c>
      <c r="SFT91">
        <v>1</v>
      </c>
      <c r="SFU91" t="s">
        <v>436</v>
      </c>
      <c r="SFV91" t="s">
        <v>437</v>
      </c>
      <c r="SFW91" t="s">
        <v>428</v>
      </c>
      <c r="SFY91" t="s">
        <v>146</v>
      </c>
      <c r="SFZ91" t="s">
        <v>145</v>
      </c>
      <c r="SGA91" t="s">
        <v>398</v>
      </c>
      <c r="SGB91">
        <v>1</v>
      </c>
      <c r="SGC91" t="s">
        <v>436</v>
      </c>
      <c r="SGD91" t="s">
        <v>437</v>
      </c>
      <c r="SGE91" t="s">
        <v>428</v>
      </c>
      <c r="SGG91" t="s">
        <v>146</v>
      </c>
      <c r="SGH91" t="s">
        <v>145</v>
      </c>
      <c r="SGI91" t="s">
        <v>398</v>
      </c>
      <c r="SGJ91">
        <v>1</v>
      </c>
      <c r="SGK91" t="s">
        <v>436</v>
      </c>
      <c r="SGL91" t="s">
        <v>437</v>
      </c>
      <c r="SGM91" t="s">
        <v>428</v>
      </c>
      <c r="SGO91" t="s">
        <v>146</v>
      </c>
      <c r="SGP91" t="s">
        <v>145</v>
      </c>
      <c r="SGQ91" t="s">
        <v>398</v>
      </c>
      <c r="SGR91">
        <v>1</v>
      </c>
      <c r="SGS91" t="s">
        <v>436</v>
      </c>
      <c r="SGT91" t="s">
        <v>437</v>
      </c>
      <c r="SGU91" t="s">
        <v>428</v>
      </c>
      <c r="SGW91" t="s">
        <v>146</v>
      </c>
      <c r="SGX91" t="s">
        <v>145</v>
      </c>
      <c r="SGY91" t="s">
        <v>398</v>
      </c>
      <c r="SGZ91">
        <v>1</v>
      </c>
      <c r="SHA91" t="s">
        <v>436</v>
      </c>
      <c r="SHB91" t="s">
        <v>437</v>
      </c>
      <c r="SHC91" t="s">
        <v>428</v>
      </c>
      <c r="SHE91" t="s">
        <v>146</v>
      </c>
      <c r="SHF91" t="s">
        <v>145</v>
      </c>
      <c r="SHG91" t="s">
        <v>398</v>
      </c>
      <c r="SHH91">
        <v>1</v>
      </c>
      <c r="SHI91" t="s">
        <v>436</v>
      </c>
      <c r="SHJ91" t="s">
        <v>437</v>
      </c>
      <c r="SHK91" t="s">
        <v>428</v>
      </c>
      <c r="SHM91" t="s">
        <v>146</v>
      </c>
      <c r="SHN91" t="s">
        <v>145</v>
      </c>
      <c r="SHO91" t="s">
        <v>398</v>
      </c>
      <c r="SHP91">
        <v>1</v>
      </c>
      <c r="SHQ91" t="s">
        <v>436</v>
      </c>
      <c r="SHR91" t="s">
        <v>437</v>
      </c>
      <c r="SHS91" t="s">
        <v>428</v>
      </c>
      <c r="SHU91" t="s">
        <v>146</v>
      </c>
      <c r="SHV91" t="s">
        <v>145</v>
      </c>
      <c r="SHW91" t="s">
        <v>398</v>
      </c>
      <c r="SHX91">
        <v>1</v>
      </c>
      <c r="SHY91" t="s">
        <v>436</v>
      </c>
      <c r="SHZ91" t="s">
        <v>437</v>
      </c>
      <c r="SIA91" t="s">
        <v>428</v>
      </c>
      <c r="SIC91" t="s">
        <v>146</v>
      </c>
      <c r="SID91" t="s">
        <v>145</v>
      </c>
      <c r="SIE91" t="s">
        <v>398</v>
      </c>
      <c r="SIF91">
        <v>1</v>
      </c>
      <c r="SIG91" t="s">
        <v>436</v>
      </c>
      <c r="SIH91" t="s">
        <v>437</v>
      </c>
      <c r="SII91" t="s">
        <v>428</v>
      </c>
      <c r="SIK91" t="s">
        <v>146</v>
      </c>
      <c r="SIL91" t="s">
        <v>145</v>
      </c>
      <c r="SIM91" t="s">
        <v>398</v>
      </c>
      <c r="SIN91">
        <v>1</v>
      </c>
      <c r="SIO91" t="s">
        <v>436</v>
      </c>
      <c r="SIP91" t="s">
        <v>437</v>
      </c>
      <c r="SIQ91" t="s">
        <v>428</v>
      </c>
      <c r="SIS91" t="s">
        <v>146</v>
      </c>
      <c r="SIT91" t="s">
        <v>145</v>
      </c>
      <c r="SIU91" t="s">
        <v>398</v>
      </c>
      <c r="SIV91">
        <v>1</v>
      </c>
      <c r="SIW91" t="s">
        <v>436</v>
      </c>
      <c r="SIX91" t="s">
        <v>437</v>
      </c>
      <c r="SIY91" t="s">
        <v>428</v>
      </c>
      <c r="SJA91" t="s">
        <v>146</v>
      </c>
      <c r="SJB91" t="s">
        <v>145</v>
      </c>
      <c r="SJC91" t="s">
        <v>398</v>
      </c>
      <c r="SJD91">
        <v>1</v>
      </c>
      <c r="SJE91" t="s">
        <v>436</v>
      </c>
      <c r="SJF91" t="s">
        <v>437</v>
      </c>
      <c r="SJG91" t="s">
        <v>428</v>
      </c>
      <c r="SJI91" t="s">
        <v>146</v>
      </c>
      <c r="SJJ91" t="s">
        <v>145</v>
      </c>
      <c r="SJK91" t="s">
        <v>398</v>
      </c>
      <c r="SJL91">
        <v>1</v>
      </c>
      <c r="SJM91" t="s">
        <v>436</v>
      </c>
      <c r="SJN91" t="s">
        <v>437</v>
      </c>
      <c r="SJO91" t="s">
        <v>428</v>
      </c>
      <c r="SJQ91" t="s">
        <v>146</v>
      </c>
      <c r="SJR91" t="s">
        <v>145</v>
      </c>
      <c r="SJS91" t="s">
        <v>398</v>
      </c>
      <c r="SJT91">
        <v>1</v>
      </c>
      <c r="SJU91" t="s">
        <v>436</v>
      </c>
      <c r="SJV91" t="s">
        <v>437</v>
      </c>
      <c r="SJW91" t="s">
        <v>428</v>
      </c>
      <c r="SJY91" t="s">
        <v>146</v>
      </c>
      <c r="SJZ91" t="s">
        <v>145</v>
      </c>
      <c r="SKA91" t="s">
        <v>398</v>
      </c>
      <c r="SKB91">
        <v>1</v>
      </c>
      <c r="SKC91" t="s">
        <v>436</v>
      </c>
      <c r="SKD91" t="s">
        <v>437</v>
      </c>
      <c r="SKE91" t="s">
        <v>428</v>
      </c>
      <c r="SKG91" t="s">
        <v>146</v>
      </c>
      <c r="SKH91" t="s">
        <v>145</v>
      </c>
      <c r="SKI91" t="s">
        <v>398</v>
      </c>
      <c r="SKJ91">
        <v>1</v>
      </c>
      <c r="SKK91" t="s">
        <v>436</v>
      </c>
      <c r="SKL91" t="s">
        <v>437</v>
      </c>
      <c r="SKM91" t="s">
        <v>428</v>
      </c>
      <c r="SKO91" t="s">
        <v>146</v>
      </c>
      <c r="SKP91" t="s">
        <v>145</v>
      </c>
      <c r="SKQ91" t="s">
        <v>398</v>
      </c>
      <c r="SKR91">
        <v>1</v>
      </c>
      <c r="SKS91" t="s">
        <v>436</v>
      </c>
      <c r="SKT91" t="s">
        <v>437</v>
      </c>
      <c r="SKU91" t="s">
        <v>428</v>
      </c>
      <c r="SKW91" t="s">
        <v>146</v>
      </c>
      <c r="SKX91" t="s">
        <v>145</v>
      </c>
      <c r="SKY91" t="s">
        <v>398</v>
      </c>
      <c r="SKZ91">
        <v>1</v>
      </c>
      <c r="SLA91" t="s">
        <v>436</v>
      </c>
      <c r="SLB91" t="s">
        <v>437</v>
      </c>
      <c r="SLC91" t="s">
        <v>428</v>
      </c>
      <c r="SLE91" t="s">
        <v>146</v>
      </c>
      <c r="SLF91" t="s">
        <v>145</v>
      </c>
      <c r="SLG91" t="s">
        <v>398</v>
      </c>
      <c r="SLH91">
        <v>1</v>
      </c>
      <c r="SLI91" t="s">
        <v>436</v>
      </c>
      <c r="SLJ91" t="s">
        <v>437</v>
      </c>
      <c r="SLK91" t="s">
        <v>428</v>
      </c>
      <c r="SLM91" t="s">
        <v>146</v>
      </c>
      <c r="SLN91" t="s">
        <v>145</v>
      </c>
      <c r="SLO91" t="s">
        <v>398</v>
      </c>
      <c r="SLP91">
        <v>1</v>
      </c>
      <c r="SLQ91" t="s">
        <v>436</v>
      </c>
      <c r="SLR91" t="s">
        <v>437</v>
      </c>
      <c r="SLS91" t="s">
        <v>428</v>
      </c>
      <c r="SLU91" t="s">
        <v>146</v>
      </c>
      <c r="SLV91" t="s">
        <v>145</v>
      </c>
      <c r="SLW91" t="s">
        <v>398</v>
      </c>
      <c r="SLX91">
        <v>1</v>
      </c>
      <c r="SLY91" t="s">
        <v>436</v>
      </c>
      <c r="SLZ91" t="s">
        <v>437</v>
      </c>
      <c r="SMA91" t="s">
        <v>428</v>
      </c>
      <c r="SMC91" t="s">
        <v>146</v>
      </c>
      <c r="SMD91" t="s">
        <v>145</v>
      </c>
      <c r="SME91" t="s">
        <v>398</v>
      </c>
      <c r="SMF91">
        <v>1</v>
      </c>
      <c r="SMG91" t="s">
        <v>436</v>
      </c>
      <c r="SMH91" t="s">
        <v>437</v>
      </c>
      <c r="SMI91" t="s">
        <v>428</v>
      </c>
      <c r="SMK91" t="s">
        <v>146</v>
      </c>
      <c r="SML91" t="s">
        <v>145</v>
      </c>
      <c r="SMM91" t="s">
        <v>398</v>
      </c>
      <c r="SMN91">
        <v>1</v>
      </c>
      <c r="SMO91" t="s">
        <v>436</v>
      </c>
      <c r="SMP91" t="s">
        <v>437</v>
      </c>
      <c r="SMQ91" t="s">
        <v>428</v>
      </c>
      <c r="SMS91" t="s">
        <v>146</v>
      </c>
      <c r="SMT91" t="s">
        <v>145</v>
      </c>
      <c r="SMU91" t="s">
        <v>398</v>
      </c>
      <c r="SMV91">
        <v>1</v>
      </c>
      <c r="SMW91" t="s">
        <v>436</v>
      </c>
      <c r="SMX91" t="s">
        <v>437</v>
      </c>
      <c r="SMY91" t="s">
        <v>428</v>
      </c>
      <c r="SNA91" t="s">
        <v>146</v>
      </c>
      <c r="SNB91" t="s">
        <v>145</v>
      </c>
      <c r="SNC91" t="s">
        <v>398</v>
      </c>
      <c r="SND91">
        <v>1</v>
      </c>
      <c r="SNE91" t="s">
        <v>436</v>
      </c>
      <c r="SNF91" t="s">
        <v>437</v>
      </c>
      <c r="SNG91" t="s">
        <v>428</v>
      </c>
      <c r="SNI91" t="s">
        <v>146</v>
      </c>
      <c r="SNJ91" t="s">
        <v>145</v>
      </c>
      <c r="SNK91" t="s">
        <v>398</v>
      </c>
      <c r="SNL91">
        <v>1</v>
      </c>
      <c r="SNM91" t="s">
        <v>436</v>
      </c>
      <c r="SNN91" t="s">
        <v>437</v>
      </c>
      <c r="SNO91" t="s">
        <v>428</v>
      </c>
      <c r="SNQ91" t="s">
        <v>146</v>
      </c>
      <c r="SNR91" t="s">
        <v>145</v>
      </c>
      <c r="SNS91" t="s">
        <v>398</v>
      </c>
      <c r="SNT91">
        <v>1</v>
      </c>
      <c r="SNU91" t="s">
        <v>436</v>
      </c>
      <c r="SNV91" t="s">
        <v>437</v>
      </c>
      <c r="SNW91" t="s">
        <v>428</v>
      </c>
      <c r="SNY91" t="s">
        <v>146</v>
      </c>
      <c r="SNZ91" t="s">
        <v>145</v>
      </c>
      <c r="SOA91" t="s">
        <v>398</v>
      </c>
      <c r="SOB91">
        <v>1</v>
      </c>
      <c r="SOC91" t="s">
        <v>436</v>
      </c>
      <c r="SOD91" t="s">
        <v>437</v>
      </c>
      <c r="SOE91" t="s">
        <v>428</v>
      </c>
      <c r="SOG91" t="s">
        <v>146</v>
      </c>
      <c r="SOH91" t="s">
        <v>145</v>
      </c>
      <c r="SOI91" t="s">
        <v>398</v>
      </c>
      <c r="SOJ91">
        <v>1</v>
      </c>
      <c r="SOK91" t="s">
        <v>436</v>
      </c>
      <c r="SOL91" t="s">
        <v>437</v>
      </c>
      <c r="SOM91" t="s">
        <v>428</v>
      </c>
      <c r="SOO91" t="s">
        <v>146</v>
      </c>
      <c r="SOP91" t="s">
        <v>145</v>
      </c>
      <c r="SOQ91" t="s">
        <v>398</v>
      </c>
      <c r="SOR91">
        <v>1</v>
      </c>
      <c r="SOS91" t="s">
        <v>436</v>
      </c>
      <c r="SOT91" t="s">
        <v>437</v>
      </c>
      <c r="SOU91" t="s">
        <v>428</v>
      </c>
      <c r="SOW91" t="s">
        <v>146</v>
      </c>
      <c r="SOX91" t="s">
        <v>145</v>
      </c>
      <c r="SOY91" t="s">
        <v>398</v>
      </c>
      <c r="SOZ91">
        <v>1</v>
      </c>
      <c r="SPA91" t="s">
        <v>436</v>
      </c>
      <c r="SPB91" t="s">
        <v>437</v>
      </c>
      <c r="SPC91" t="s">
        <v>428</v>
      </c>
      <c r="SPE91" t="s">
        <v>146</v>
      </c>
      <c r="SPF91" t="s">
        <v>145</v>
      </c>
      <c r="SPG91" t="s">
        <v>398</v>
      </c>
      <c r="SPH91">
        <v>1</v>
      </c>
      <c r="SPI91" t="s">
        <v>436</v>
      </c>
      <c r="SPJ91" t="s">
        <v>437</v>
      </c>
      <c r="SPK91" t="s">
        <v>428</v>
      </c>
      <c r="SPM91" t="s">
        <v>146</v>
      </c>
      <c r="SPN91" t="s">
        <v>145</v>
      </c>
      <c r="SPO91" t="s">
        <v>398</v>
      </c>
      <c r="SPP91">
        <v>1</v>
      </c>
      <c r="SPQ91" t="s">
        <v>436</v>
      </c>
      <c r="SPR91" t="s">
        <v>437</v>
      </c>
      <c r="SPS91" t="s">
        <v>428</v>
      </c>
      <c r="SPU91" t="s">
        <v>146</v>
      </c>
      <c r="SPV91" t="s">
        <v>145</v>
      </c>
      <c r="SPW91" t="s">
        <v>398</v>
      </c>
      <c r="SPX91">
        <v>1</v>
      </c>
      <c r="SPY91" t="s">
        <v>436</v>
      </c>
      <c r="SPZ91" t="s">
        <v>437</v>
      </c>
      <c r="SQA91" t="s">
        <v>428</v>
      </c>
      <c r="SQC91" t="s">
        <v>146</v>
      </c>
      <c r="SQD91" t="s">
        <v>145</v>
      </c>
      <c r="SQE91" t="s">
        <v>398</v>
      </c>
      <c r="SQF91">
        <v>1</v>
      </c>
      <c r="SQG91" t="s">
        <v>436</v>
      </c>
      <c r="SQH91" t="s">
        <v>437</v>
      </c>
      <c r="SQI91" t="s">
        <v>428</v>
      </c>
      <c r="SQK91" t="s">
        <v>146</v>
      </c>
      <c r="SQL91" t="s">
        <v>145</v>
      </c>
      <c r="SQM91" t="s">
        <v>398</v>
      </c>
      <c r="SQN91">
        <v>1</v>
      </c>
      <c r="SQO91" t="s">
        <v>436</v>
      </c>
      <c r="SQP91" t="s">
        <v>437</v>
      </c>
      <c r="SQQ91" t="s">
        <v>428</v>
      </c>
      <c r="SQS91" t="s">
        <v>146</v>
      </c>
      <c r="SQT91" t="s">
        <v>145</v>
      </c>
      <c r="SQU91" t="s">
        <v>398</v>
      </c>
      <c r="SQV91">
        <v>1</v>
      </c>
      <c r="SQW91" t="s">
        <v>436</v>
      </c>
      <c r="SQX91" t="s">
        <v>437</v>
      </c>
      <c r="SQY91" t="s">
        <v>428</v>
      </c>
      <c r="SRA91" t="s">
        <v>146</v>
      </c>
      <c r="SRB91" t="s">
        <v>145</v>
      </c>
      <c r="SRC91" t="s">
        <v>398</v>
      </c>
      <c r="SRD91">
        <v>1</v>
      </c>
      <c r="SRE91" t="s">
        <v>436</v>
      </c>
      <c r="SRF91" t="s">
        <v>437</v>
      </c>
      <c r="SRG91" t="s">
        <v>428</v>
      </c>
      <c r="SRI91" t="s">
        <v>146</v>
      </c>
      <c r="SRJ91" t="s">
        <v>145</v>
      </c>
      <c r="SRK91" t="s">
        <v>398</v>
      </c>
      <c r="SRL91">
        <v>1</v>
      </c>
      <c r="SRM91" t="s">
        <v>436</v>
      </c>
      <c r="SRN91" t="s">
        <v>437</v>
      </c>
      <c r="SRO91" t="s">
        <v>428</v>
      </c>
      <c r="SRQ91" t="s">
        <v>146</v>
      </c>
      <c r="SRR91" t="s">
        <v>145</v>
      </c>
      <c r="SRS91" t="s">
        <v>398</v>
      </c>
      <c r="SRT91">
        <v>1</v>
      </c>
      <c r="SRU91" t="s">
        <v>436</v>
      </c>
      <c r="SRV91" t="s">
        <v>437</v>
      </c>
      <c r="SRW91" t="s">
        <v>428</v>
      </c>
      <c r="SRY91" t="s">
        <v>146</v>
      </c>
      <c r="SRZ91" t="s">
        <v>145</v>
      </c>
      <c r="SSA91" t="s">
        <v>398</v>
      </c>
      <c r="SSB91">
        <v>1</v>
      </c>
      <c r="SSC91" t="s">
        <v>436</v>
      </c>
      <c r="SSD91" t="s">
        <v>437</v>
      </c>
      <c r="SSE91" t="s">
        <v>428</v>
      </c>
      <c r="SSG91" t="s">
        <v>146</v>
      </c>
      <c r="SSH91" t="s">
        <v>145</v>
      </c>
      <c r="SSI91" t="s">
        <v>398</v>
      </c>
      <c r="SSJ91">
        <v>1</v>
      </c>
      <c r="SSK91" t="s">
        <v>436</v>
      </c>
      <c r="SSL91" t="s">
        <v>437</v>
      </c>
      <c r="SSM91" t="s">
        <v>428</v>
      </c>
      <c r="SSO91" t="s">
        <v>146</v>
      </c>
      <c r="SSP91" t="s">
        <v>145</v>
      </c>
      <c r="SSQ91" t="s">
        <v>398</v>
      </c>
      <c r="SSR91">
        <v>1</v>
      </c>
      <c r="SSS91" t="s">
        <v>436</v>
      </c>
      <c r="SST91" t="s">
        <v>437</v>
      </c>
      <c r="SSU91" t="s">
        <v>428</v>
      </c>
      <c r="SSW91" t="s">
        <v>146</v>
      </c>
      <c r="SSX91" t="s">
        <v>145</v>
      </c>
      <c r="SSY91" t="s">
        <v>398</v>
      </c>
      <c r="SSZ91">
        <v>1</v>
      </c>
      <c r="STA91" t="s">
        <v>436</v>
      </c>
      <c r="STB91" t="s">
        <v>437</v>
      </c>
      <c r="STC91" t="s">
        <v>428</v>
      </c>
      <c r="STE91" t="s">
        <v>146</v>
      </c>
      <c r="STF91" t="s">
        <v>145</v>
      </c>
      <c r="STG91" t="s">
        <v>398</v>
      </c>
      <c r="STH91">
        <v>1</v>
      </c>
      <c r="STI91" t="s">
        <v>436</v>
      </c>
      <c r="STJ91" t="s">
        <v>437</v>
      </c>
      <c r="STK91" t="s">
        <v>428</v>
      </c>
      <c r="STM91" t="s">
        <v>146</v>
      </c>
      <c r="STN91" t="s">
        <v>145</v>
      </c>
      <c r="STO91" t="s">
        <v>398</v>
      </c>
      <c r="STP91">
        <v>1</v>
      </c>
      <c r="STQ91" t="s">
        <v>436</v>
      </c>
      <c r="STR91" t="s">
        <v>437</v>
      </c>
      <c r="STS91" t="s">
        <v>428</v>
      </c>
      <c r="STU91" t="s">
        <v>146</v>
      </c>
      <c r="STV91" t="s">
        <v>145</v>
      </c>
      <c r="STW91" t="s">
        <v>398</v>
      </c>
      <c r="STX91">
        <v>1</v>
      </c>
      <c r="STY91" t="s">
        <v>436</v>
      </c>
      <c r="STZ91" t="s">
        <v>437</v>
      </c>
      <c r="SUA91" t="s">
        <v>428</v>
      </c>
      <c r="SUC91" t="s">
        <v>146</v>
      </c>
      <c r="SUD91" t="s">
        <v>145</v>
      </c>
      <c r="SUE91" t="s">
        <v>398</v>
      </c>
      <c r="SUF91">
        <v>1</v>
      </c>
      <c r="SUG91" t="s">
        <v>436</v>
      </c>
      <c r="SUH91" t="s">
        <v>437</v>
      </c>
      <c r="SUI91" t="s">
        <v>428</v>
      </c>
      <c r="SUK91" t="s">
        <v>146</v>
      </c>
      <c r="SUL91" t="s">
        <v>145</v>
      </c>
      <c r="SUM91" t="s">
        <v>398</v>
      </c>
      <c r="SUN91">
        <v>1</v>
      </c>
      <c r="SUO91" t="s">
        <v>436</v>
      </c>
      <c r="SUP91" t="s">
        <v>437</v>
      </c>
      <c r="SUQ91" t="s">
        <v>428</v>
      </c>
      <c r="SUS91" t="s">
        <v>146</v>
      </c>
      <c r="SUT91" t="s">
        <v>145</v>
      </c>
      <c r="SUU91" t="s">
        <v>398</v>
      </c>
      <c r="SUV91">
        <v>1</v>
      </c>
      <c r="SUW91" t="s">
        <v>436</v>
      </c>
      <c r="SUX91" t="s">
        <v>437</v>
      </c>
      <c r="SUY91" t="s">
        <v>428</v>
      </c>
      <c r="SVA91" t="s">
        <v>146</v>
      </c>
      <c r="SVB91" t="s">
        <v>145</v>
      </c>
      <c r="SVC91" t="s">
        <v>398</v>
      </c>
      <c r="SVD91">
        <v>1</v>
      </c>
      <c r="SVE91" t="s">
        <v>436</v>
      </c>
      <c r="SVF91" t="s">
        <v>437</v>
      </c>
      <c r="SVG91" t="s">
        <v>428</v>
      </c>
      <c r="SVI91" t="s">
        <v>146</v>
      </c>
      <c r="SVJ91" t="s">
        <v>145</v>
      </c>
      <c r="SVK91" t="s">
        <v>398</v>
      </c>
      <c r="SVL91">
        <v>1</v>
      </c>
      <c r="SVM91" t="s">
        <v>436</v>
      </c>
      <c r="SVN91" t="s">
        <v>437</v>
      </c>
      <c r="SVO91" t="s">
        <v>428</v>
      </c>
      <c r="SVQ91" t="s">
        <v>146</v>
      </c>
      <c r="SVR91" t="s">
        <v>145</v>
      </c>
      <c r="SVS91" t="s">
        <v>398</v>
      </c>
      <c r="SVT91">
        <v>1</v>
      </c>
      <c r="SVU91" t="s">
        <v>436</v>
      </c>
      <c r="SVV91" t="s">
        <v>437</v>
      </c>
      <c r="SVW91" t="s">
        <v>428</v>
      </c>
      <c r="SVY91" t="s">
        <v>146</v>
      </c>
      <c r="SVZ91" t="s">
        <v>145</v>
      </c>
      <c r="SWA91" t="s">
        <v>398</v>
      </c>
      <c r="SWB91">
        <v>1</v>
      </c>
      <c r="SWC91" t="s">
        <v>436</v>
      </c>
      <c r="SWD91" t="s">
        <v>437</v>
      </c>
      <c r="SWE91" t="s">
        <v>428</v>
      </c>
      <c r="SWG91" t="s">
        <v>146</v>
      </c>
      <c r="SWH91" t="s">
        <v>145</v>
      </c>
      <c r="SWI91" t="s">
        <v>398</v>
      </c>
      <c r="SWJ91">
        <v>1</v>
      </c>
      <c r="SWK91" t="s">
        <v>436</v>
      </c>
      <c r="SWL91" t="s">
        <v>437</v>
      </c>
      <c r="SWM91" t="s">
        <v>428</v>
      </c>
      <c r="SWO91" t="s">
        <v>146</v>
      </c>
      <c r="SWP91" t="s">
        <v>145</v>
      </c>
      <c r="SWQ91" t="s">
        <v>398</v>
      </c>
      <c r="SWR91">
        <v>1</v>
      </c>
      <c r="SWS91" t="s">
        <v>436</v>
      </c>
      <c r="SWT91" t="s">
        <v>437</v>
      </c>
      <c r="SWU91" t="s">
        <v>428</v>
      </c>
      <c r="SWW91" t="s">
        <v>146</v>
      </c>
      <c r="SWX91" t="s">
        <v>145</v>
      </c>
      <c r="SWY91" t="s">
        <v>398</v>
      </c>
      <c r="SWZ91">
        <v>1</v>
      </c>
      <c r="SXA91" t="s">
        <v>436</v>
      </c>
      <c r="SXB91" t="s">
        <v>437</v>
      </c>
      <c r="SXC91" t="s">
        <v>428</v>
      </c>
      <c r="SXE91" t="s">
        <v>146</v>
      </c>
      <c r="SXF91" t="s">
        <v>145</v>
      </c>
      <c r="SXG91" t="s">
        <v>398</v>
      </c>
      <c r="SXH91">
        <v>1</v>
      </c>
      <c r="SXI91" t="s">
        <v>436</v>
      </c>
      <c r="SXJ91" t="s">
        <v>437</v>
      </c>
      <c r="SXK91" t="s">
        <v>428</v>
      </c>
      <c r="SXM91" t="s">
        <v>146</v>
      </c>
      <c r="SXN91" t="s">
        <v>145</v>
      </c>
      <c r="SXO91" t="s">
        <v>398</v>
      </c>
      <c r="SXP91">
        <v>1</v>
      </c>
      <c r="SXQ91" t="s">
        <v>436</v>
      </c>
      <c r="SXR91" t="s">
        <v>437</v>
      </c>
      <c r="SXS91" t="s">
        <v>428</v>
      </c>
      <c r="SXU91" t="s">
        <v>146</v>
      </c>
      <c r="SXV91" t="s">
        <v>145</v>
      </c>
      <c r="SXW91" t="s">
        <v>398</v>
      </c>
      <c r="SXX91">
        <v>1</v>
      </c>
      <c r="SXY91" t="s">
        <v>436</v>
      </c>
      <c r="SXZ91" t="s">
        <v>437</v>
      </c>
      <c r="SYA91" t="s">
        <v>428</v>
      </c>
      <c r="SYC91" t="s">
        <v>146</v>
      </c>
      <c r="SYD91" t="s">
        <v>145</v>
      </c>
      <c r="SYE91" t="s">
        <v>398</v>
      </c>
      <c r="SYF91">
        <v>1</v>
      </c>
      <c r="SYG91" t="s">
        <v>436</v>
      </c>
      <c r="SYH91" t="s">
        <v>437</v>
      </c>
      <c r="SYI91" t="s">
        <v>428</v>
      </c>
      <c r="SYK91" t="s">
        <v>146</v>
      </c>
      <c r="SYL91" t="s">
        <v>145</v>
      </c>
      <c r="SYM91" t="s">
        <v>398</v>
      </c>
      <c r="SYN91">
        <v>1</v>
      </c>
      <c r="SYO91" t="s">
        <v>436</v>
      </c>
      <c r="SYP91" t="s">
        <v>437</v>
      </c>
      <c r="SYQ91" t="s">
        <v>428</v>
      </c>
      <c r="SYS91" t="s">
        <v>146</v>
      </c>
      <c r="SYT91" t="s">
        <v>145</v>
      </c>
      <c r="SYU91" t="s">
        <v>398</v>
      </c>
      <c r="SYV91">
        <v>1</v>
      </c>
      <c r="SYW91" t="s">
        <v>436</v>
      </c>
      <c r="SYX91" t="s">
        <v>437</v>
      </c>
      <c r="SYY91" t="s">
        <v>428</v>
      </c>
      <c r="SZA91" t="s">
        <v>146</v>
      </c>
      <c r="SZB91" t="s">
        <v>145</v>
      </c>
      <c r="SZC91" t="s">
        <v>398</v>
      </c>
      <c r="SZD91">
        <v>1</v>
      </c>
      <c r="SZE91" t="s">
        <v>436</v>
      </c>
      <c r="SZF91" t="s">
        <v>437</v>
      </c>
      <c r="SZG91" t="s">
        <v>428</v>
      </c>
      <c r="SZI91" t="s">
        <v>146</v>
      </c>
      <c r="SZJ91" t="s">
        <v>145</v>
      </c>
      <c r="SZK91" t="s">
        <v>398</v>
      </c>
      <c r="SZL91">
        <v>1</v>
      </c>
      <c r="SZM91" t="s">
        <v>436</v>
      </c>
      <c r="SZN91" t="s">
        <v>437</v>
      </c>
      <c r="SZO91" t="s">
        <v>428</v>
      </c>
      <c r="SZQ91" t="s">
        <v>146</v>
      </c>
      <c r="SZR91" t="s">
        <v>145</v>
      </c>
      <c r="SZS91" t="s">
        <v>398</v>
      </c>
      <c r="SZT91">
        <v>1</v>
      </c>
      <c r="SZU91" t="s">
        <v>436</v>
      </c>
      <c r="SZV91" t="s">
        <v>437</v>
      </c>
      <c r="SZW91" t="s">
        <v>428</v>
      </c>
      <c r="SZY91" t="s">
        <v>146</v>
      </c>
      <c r="SZZ91" t="s">
        <v>145</v>
      </c>
      <c r="TAA91" t="s">
        <v>398</v>
      </c>
      <c r="TAB91">
        <v>1</v>
      </c>
      <c r="TAC91" t="s">
        <v>436</v>
      </c>
      <c r="TAD91" t="s">
        <v>437</v>
      </c>
      <c r="TAE91" t="s">
        <v>428</v>
      </c>
      <c r="TAG91" t="s">
        <v>146</v>
      </c>
      <c r="TAH91" t="s">
        <v>145</v>
      </c>
      <c r="TAI91" t="s">
        <v>398</v>
      </c>
      <c r="TAJ91">
        <v>1</v>
      </c>
      <c r="TAK91" t="s">
        <v>436</v>
      </c>
      <c r="TAL91" t="s">
        <v>437</v>
      </c>
      <c r="TAM91" t="s">
        <v>428</v>
      </c>
      <c r="TAO91" t="s">
        <v>146</v>
      </c>
      <c r="TAP91" t="s">
        <v>145</v>
      </c>
      <c r="TAQ91" t="s">
        <v>398</v>
      </c>
      <c r="TAR91">
        <v>1</v>
      </c>
      <c r="TAS91" t="s">
        <v>436</v>
      </c>
      <c r="TAT91" t="s">
        <v>437</v>
      </c>
      <c r="TAU91" t="s">
        <v>428</v>
      </c>
      <c r="TAW91" t="s">
        <v>146</v>
      </c>
      <c r="TAX91" t="s">
        <v>145</v>
      </c>
      <c r="TAY91" t="s">
        <v>398</v>
      </c>
      <c r="TAZ91">
        <v>1</v>
      </c>
      <c r="TBA91" t="s">
        <v>436</v>
      </c>
      <c r="TBB91" t="s">
        <v>437</v>
      </c>
      <c r="TBC91" t="s">
        <v>428</v>
      </c>
      <c r="TBE91" t="s">
        <v>146</v>
      </c>
      <c r="TBF91" t="s">
        <v>145</v>
      </c>
      <c r="TBG91" t="s">
        <v>398</v>
      </c>
      <c r="TBH91">
        <v>1</v>
      </c>
      <c r="TBI91" t="s">
        <v>436</v>
      </c>
      <c r="TBJ91" t="s">
        <v>437</v>
      </c>
      <c r="TBK91" t="s">
        <v>428</v>
      </c>
      <c r="TBM91" t="s">
        <v>146</v>
      </c>
      <c r="TBN91" t="s">
        <v>145</v>
      </c>
      <c r="TBO91" t="s">
        <v>398</v>
      </c>
      <c r="TBP91">
        <v>1</v>
      </c>
      <c r="TBQ91" t="s">
        <v>436</v>
      </c>
      <c r="TBR91" t="s">
        <v>437</v>
      </c>
      <c r="TBS91" t="s">
        <v>428</v>
      </c>
      <c r="TBU91" t="s">
        <v>146</v>
      </c>
      <c r="TBV91" t="s">
        <v>145</v>
      </c>
      <c r="TBW91" t="s">
        <v>398</v>
      </c>
      <c r="TBX91">
        <v>1</v>
      </c>
      <c r="TBY91" t="s">
        <v>436</v>
      </c>
      <c r="TBZ91" t="s">
        <v>437</v>
      </c>
      <c r="TCA91" t="s">
        <v>428</v>
      </c>
      <c r="TCC91" t="s">
        <v>146</v>
      </c>
      <c r="TCD91" t="s">
        <v>145</v>
      </c>
      <c r="TCE91" t="s">
        <v>398</v>
      </c>
      <c r="TCF91">
        <v>1</v>
      </c>
      <c r="TCG91" t="s">
        <v>436</v>
      </c>
      <c r="TCH91" t="s">
        <v>437</v>
      </c>
      <c r="TCI91" t="s">
        <v>428</v>
      </c>
      <c r="TCK91" t="s">
        <v>146</v>
      </c>
      <c r="TCL91" t="s">
        <v>145</v>
      </c>
      <c r="TCM91" t="s">
        <v>398</v>
      </c>
      <c r="TCN91">
        <v>1</v>
      </c>
      <c r="TCO91" t="s">
        <v>436</v>
      </c>
      <c r="TCP91" t="s">
        <v>437</v>
      </c>
      <c r="TCQ91" t="s">
        <v>428</v>
      </c>
      <c r="TCS91" t="s">
        <v>146</v>
      </c>
      <c r="TCT91" t="s">
        <v>145</v>
      </c>
      <c r="TCU91" t="s">
        <v>398</v>
      </c>
      <c r="TCV91">
        <v>1</v>
      </c>
      <c r="TCW91" t="s">
        <v>436</v>
      </c>
      <c r="TCX91" t="s">
        <v>437</v>
      </c>
      <c r="TCY91" t="s">
        <v>428</v>
      </c>
      <c r="TDA91" t="s">
        <v>146</v>
      </c>
      <c r="TDB91" t="s">
        <v>145</v>
      </c>
      <c r="TDC91" t="s">
        <v>398</v>
      </c>
      <c r="TDD91">
        <v>1</v>
      </c>
      <c r="TDE91" t="s">
        <v>436</v>
      </c>
      <c r="TDF91" t="s">
        <v>437</v>
      </c>
      <c r="TDG91" t="s">
        <v>428</v>
      </c>
      <c r="TDI91" t="s">
        <v>146</v>
      </c>
      <c r="TDJ91" t="s">
        <v>145</v>
      </c>
      <c r="TDK91" t="s">
        <v>398</v>
      </c>
      <c r="TDL91">
        <v>1</v>
      </c>
      <c r="TDM91" t="s">
        <v>436</v>
      </c>
      <c r="TDN91" t="s">
        <v>437</v>
      </c>
      <c r="TDO91" t="s">
        <v>428</v>
      </c>
      <c r="TDQ91" t="s">
        <v>146</v>
      </c>
      <c r="TDR91" t="s">
        <v>145</v>
      </c>
      <c r="TDS91" t="s">
        <v>398</v>
      </c>
      <c r="TDT91">
        <v>1</v>
      </c>
      <c r="TDU91" t="s">
        <v>436</v>
      </c>
      <c r="TDV91" t="s">
        <v>437</v>
      </c>
      <c r="TDW91" t="s">
        <v>428</v>
      </c>
      <c r="TDY91" t="s">
        <v>146</v>
      </c>
      <c r="TDZ91" t="s">
        <v>145</v>
      </c>
      <c r="TEA91" t="s">
        <v>398</v>
      </c>
      <c r="TEB91">
        <v>1</v>
      </c>
      <c r="TEC91" t="s">
        <v>436</v>
      </c>
      <c r="TED91" t="s">
        <v>437</v>
      </c>
      <c r="TEE91" t="s">
        <v>428</v>
      </c>
      <c r="TEG91" t="s">
        <v>146</v>
      </c>
      <c r="TEH91" t="s">
        <v>145</v>
      </c>
      <c r="TEI91" t="s">
        <v>398</v>
      </c>
      <c r="TEJ91">
        <v>1</v>
      </c>
      <c r="TEK91" t="s">
        <v>436</v>
      </c>
      <c r="TEL91" t="s">
        <v>437</v>
      </c>
      <c r="TEM91" t="s">
        <v>428</v>
      </c>
      <c r="TEO91" t="s">
        <v>146</v>
      </c>
      <c r="TEP91" t="s">
        <v>145</v>
      </c>
      <c r="TEQ91" t="s">
        <v>398</v>
      </c>
      <c r="TER91">
        <v>1</v>
      </c>
      <c r="TES91" t="s">
        <v>436</v>
      </c>
      <c r="TET91" t="s">
        <v>437</v>
      </c>
      <c r="TEU91" t="s">
        <v>428</v>
      </c>
      <c r="TEW91" t="s">
        <v>146</v>
      </c>
      <c r="TEX91" t="s">
        <v>145</v>
      </c>
      <c r="TEY91" t="s">
        <v>398</v>
      </c>
      <c r="TEZ91">
        <v>1</v>
      </c>
      <c r="TFA91" t="s">
        <v>436</v>
      </c>
      <c r="TFB91" t="s">
        <v>437</v>
      </c>
      <c r="TFC91" t="s">
        <v>428</v>
      </c>
      <c r="TFE91" t="s">
        <v>146</v>
      </c>
      <c r="TFF91" t="s">
        <v>145</v>
      </c>
      <c r="TFG91" t="s">
        <v>398</v>
      </c>
      <c r="TFH91">
        <v>1</v>
      </c>
      <c r="TFI91" t="s">
        <v>436</v>
      </c>
      <c r="TFJ91" t="s">
        <v>437</v>
      </c>
      <c r="TFK91" t="s">
        <v>428</v>
      </c>
      <c r="TFM91" t="s">
        <v>146</v>
      </c>
      <c r="TFN91" t="s">
        <v>145</v>
      </c>
      <c r="TFO91" t="s">
        <v>398</v>
      </c>
      <c r="TFP91">
        <v>1</v>
      </c>
      <c r="TFQ91" t="s">
        <v>436</v>
      </c>
      <c r="TFR91" t="s">
        <v>437</v>
      </c>
      <c r="TFS91" t="s">
        <v>428</v>
      </c>
      <c r="TFU91" t="s">
        <v>146</v>
      </c>
      <c r="TFV91" t="s">
        <v>145</v>
      </c>
      <c r="TFW91" t="s">
        <v>398</v>
      </c>
      <c r="TFX91">
        <v>1</v>
      </c>
      <c r="TFY91" t="s">
        <v>436</v>
      </c>
      <c r="TFZ91" t="s">
        <v>437</v>
      </c>
      <c r="TGA91" t="s">
        <v>428</v>
      </c>
      <c r="TGC91" t="s">
        <v>146</v>
      </c>
      <c r="TGD91" t="s">
        <v>145</v>
      </c>
      <c r="TGE91" t="s">
        <v>398</v>
      </c>
      <c r="TGF91">
        <v>1</v>
      </c>
      <c r="TGG91" t="s">
        <v>436</v>
      </c>
      <c r="TGH91" t="s">
        <v>437</v>
      </c>
      <c r="TGI91" t="s">
        <v>428</v>
      </c>
      <c r="TGK91" t="s">
        <v>146</v>
      </c>
      <c r="TGL91" t="s">
        <v>145</v>
      </c>
      <c r="TGM91" t="s">
        <v>398</v>
      </c>
      <c r="TGN91">
        <v>1</v>
      </c>
      <c r="TGO91" t="s">
        <v>436</v>
      </c>
      <c r="TGP91" t="s">
        <v>437</v>
      </c>
      <c r="TGQ91" t="s">
        <v>428</v>
      </c>
      <c r="TGS91" t="s">
        <v>146</v>
      </c>
      <c r="TGT91" t="s">
        <v>145</v>
      </c>
      <c r="TGU91" t="s">
        <v>398</v>
      </c>
      <c r="TGV91">
        <v>1</v>
      </c>
      <c r="TGW91" t="s">
        <v>436</v>
      </c>
      <c r="TGX91" t="s">
        <v>437</v>
      </c>
      <c r="TGY91" t="s">
        <v>428</v>
      </c>
      <c r="THA91" t="s">
        <v>146</v>
      </c>
      <c r="THB91" t="s">
        <v>145</v>
      </c>
      <c r="THC91" t="s">
        <v>398</v>
      </c>
      <c r="THD91">
        <v>1</v>
      </c>
      <c r="THE91" t="s">
        <v>436</v>
      </c>
      <c r="THF91" t="s">
        <v>437</v>
      </c>
      <c r="THG91" t="s">
        <v>428</v>
      </c>
      <c r="THI91" t="s">
        <v>146</v>
      </c>
      <c r="THJ91" t="s">
        <v>145</v>
      </c>
      <c r="THK91" t="s">
        <v>398</v>
      </c>
      <c r="THL91">
        <v>1</v>
      </c>
      <c r="THM91" t="s">
        <v>436</v>
      </c>
      <c r="THN91" t="s">
        <v>437</v>
      </c>
      <c r="THO91" t="s">
        <v>428</v>
      </c>
      <c r="THQ91" t="s">
        <v>146</v>
      </c>
      <c r="THR91" t="s">
        <v>145</v>
      </c>
      <c r="THS91" t="s">
        <v>398</v>
      </c>
      <c r="THT91">
        <v>1</v>
      </c>
      <c r="THU91" t="s">
        <v>436</v>
      </c>
      <c r="THV91" t="s">
        <v>437</v>
      </c>
      <c r="THW91" t="s">
        <v>428</v>
      </c>
      <c r="THY91" t="s">
        <v>146</v>
      </c>
      <c r="THZ91" t="s">
        <v>145</v>
      </c>
      <c r="TIA91" t="s">
        <v>398</v>
      </c>
      <c r="TIB91">
        <v>1</v>
      </c>
      <c r="TIC91" t="s">
        <v>436</v>
      </c>
      <c r="TID91" t="s">
        <v>437</v>
      </c>
      <c r="TIE91" t="s">
        <v>428</v>
      </c>
      <c r="TIG91" t="s">
        <v>146</v>
      </c>
      <c r="TIH91" t="s">
        <v>145</v>
      </c>
      <c r="TII91" t="s">
        <v>398</v>
      </c>
      <c r="TIJ91">
        <v>1</v>
      </c>
      <c r="TIK91" t="s">
        <v>436</v>
      </c>
      <c r="TIL91" t="s">
        <v>437</v>
      </c>
      <c r="TIM91" t="s">
        <v>428</v>
      </c>
      <c r="TIO91" t="s">
        <v>146</v>
      </c>
      <c r="TIP91" t="s">
        <v>145</v>
      </c>
      <c r="TIQ91" t="s">
        <v>398</v>
      </c>
      <c r="TIR91">
        <v>1</v>
      </c>
      <c r="TIS91" t="s">
        <v>436</v>
      </c>
      <c r="TIT91" t="s">
        <v>437</v>
      </c>
      <c r="TIU91" t="s">
        <v>428</v>
      </c>
      <c r="TIW91" t="s">
        <v>146</v>
      </c>
      <c r="TIX91" t="s">
        <v>145</v>
      </c>
      <c r="TIY91" t="s">
        <v>398</v>
      </c>
      <c r="TIZ91">
        <v>1</v>
      </c>
      <c r="TJA91" t="s">
        <v>436</v>
      </c>
      <c r="TJB91" t="s">
        <v>437</v>
      </c>
      <c r="TJC91" t="s">
        <v>428</v>
      </c>
      <c r="TJE91" t="s">
        <v>146</v>
      </c>
      <c r="TJF91" t="s">
        <v>145</v>
      </c>
      <c r="TJG91" t="s">
        <v>398</v>
      </c>
      <c r="TJH91">
        <v>1</v>
      </c>
      <c r="TJI91" t="s">
        <v>436</v>
      </c>
      <c r="TJJ91" t="s">
        <v>437</v>
      </c>
      <c r="TJK91" t="s">
        <v>428</v>
      </c>
      <c r="TJM91" t="s">
        <v>146</v>
      </c>
      <c r="TJN91" t="s">
        <v>145</v>
      </c>
      <c r="TJO91" t="s">
        <v>398</v>
      </c>
      <c r="TJP91">
        <v>1</v>
      </c>
      <c r="TJQ91" t="s">
        <v>436</v>
      </c>
      <c r="TJR91" t="s">
        <v>437</v>
      </c>
      <c r="TJS91" t="s">
        <v>428</v>
      </c>
      <c r="TJU91" t="s">
        <v>146</v>
      </c>
      <c r="TJV91" t="s">
        <v>145</v>
      </c>
      <c r="TJW91" t="s">
        <v>398</v>
      </c>
      <c r="TJX91">
        <v>1</v>
      </c>
      <c r="TJY91" t="s">
        <v>436</v>
      </c>
      <c r="TJZ91" t="s">
        <v>437</v>
      </c>
      <c r="TKA91" t="s">
        <v>428</v>
      </c>
      <c r="TKC91" t="s">
        <v>146</v>
      </c>
      <c r="TKD91" t="s">
        <v>145</v>
      </c>
      <c r="TKE91" t="s">
        <v>398</v>
      </c>
      <c r="TKF91">
        <v>1</v>
      </c>
      <c r="TKG91" t="s">
        <v>436</v>
      </c>
      <c r="TKH91" t="s">
        <v>437</v>
      </c>
      <c r="TKI91" t="s">
        <v>428</v>
      </c>
      <c r="TKK91" t="s">
        <v>146</v>
      </c>
      <c r="TKL91" t="s">
        <v>145</v>
      </c>
      <c r="TKM91" t="s">
        <v>398</v>
      </c>
      <c r="TKN91">
        <v>1</v>
      </c>
      <c r="TKO91" t="s">
        <v>436</v>
      </c>
      <c r="TKP91" t="s">
        <v>437</v>
      </c>
      <c r="TKQ91" t="s">
        <v>428</v>
      </c>
      <c r="TKS91" t="s">
        <v>146</v>
      </c>
      <c r="TKT91" t="s">
        <v>145</v>
      </c>
      <c r="TKU91" t="s">
        <v>398</v>
      </c>
      <c r="TKV91">
        <v>1</v>
      </c>
      <c r="TKW91" t="s">
        <v>436</v>
      </c>
      <c r="TKX91" t="s">
        <v>437</v>
      </c>
      <c r="TKY91" t="s">
        <v>428</v>
      </c>
      <c r="TLA91" t="s">
        <v>146</v>
      </c>
      <c r="TLB91" t="s">
        <v>145</v>
      </c>
      <c r="TLC91" t="s">
        <v>398</v>
      </c>
      <c r="TLD91">
        <v>1</v>
      </c>
      <c r="TLE91" t="s">
        <v>436</v>
      </c>
      <c r="TLF91" t="s">
        <v>437</v>
      </c>
      <c r="TLG91" t="s">
        <v>428</v>
      </c>
      <c r="TLI91" t="s">
        <v>146</v>
      </c>
      <c r="TLJ91" t="s">
        <v>145</v>
      </c>
      <c r="TLK91" t="s">
        <v>398</v>
      </c>
      <c r="TLL91">
        <v>1</v>
      </c>
      <c r="TLM91" t="s">
        <v>436</v>
      </c>
      <c r="TLN91" t="s">
        <v>437</v>
      </c>
      <c r="TLO91" t="s">
        <v>428</v>
      </c>
      <c r="TLQ91" t="s">
        <v>146</v>
      </c>
      <c r="TLR91" t="s">
        <v>145</v>
      </c>
      <c r="TLS91" t="s">
        <v>398</v>
      </c>
      <c r="TLT91">
        <v>1</v>
      </c>
      <c r="TLU91" t="s">
        <v>436</v>
      </c>
      <c r="TLV91" t="s">
        <v>437</v>
      </c>
      <c r="TLW91" t="s">
        <v>428</v>
      </c>
      <c r="TLY91" t="s">
        <v>146</v>
      </c>
      <c r="TLZ91" t="s">
        <v>145</v>
      </c>
      <c r="TMA91" t="s">
        <v>398</v>
      </c>
      <c r="TMB91">
        <v>1</v>
      </c>
      <c r="TMC91" t="s">
        <v>436</v>
      </c>
      <c r="TMD91" t="s">
        <v>437</v>
      </c>
      <c r="TME91" t="s">
        <v>428</v>
      </c>
      <c r="TMG91" t="s">
        <v>146</v>
      </c>
      <c r="TMH91" t="s">
        <v>145</v>
      </c>
      <c r="TMI91" t="s">
        <v>398</v>
      </c>
      <c r="TMJ91">
        <v>1</v>
      </c>
      <c r="TMK91" t="s">
        <v>436</v>
      </c>
      <c r="TML91" t="s">
        <v>437</v>
      </c>
      <c r="TMM91" t="s">
        <v>428</v>
      </c>
      <c r="TMO91" t="s">
        <v>146</v>
      </c>
      <c r="TMP91" t="s">
        <v>145</v>
      </c>
      <c r="TMQ91" t="s">
        <v>398</v>
      </c>
      <c r="TMR91">
        <v>1</v>
      </c>
      <c r="TMS91" t="s">
        <v>436</v>
      </c>
      <c r="TMT91" t="s">
        <v>437</v>
      </c>
      <c r="TMU91" t="s">
        <v>428</v>
      </c>
      <c r="TMW91" t="s">
        <v>146</v>
      </c>
      <c r="TMX91" t="s">
        <v>145</v>
      </c>
      <c r="TMY91" t="s">
        <v>398</v>
      </c>
      <c r="TMZ91">
        <v>1</v>
      </c>
      <c r="TNA91" t="s">
        <v>436</v>
      </c>
      <c r="TNB91" t="s">
        <v>437</v>
      </c>
      <c r="TNC91" t="s">
        <v>428</v>
      </c>
      <c r="TNE91" t="s">
        <v>146</v>
      </c>
      <c r="TNF91" t="s">
        <v>145</v>
      </c>
      <c r="TNG91" t="s">
        <v>398</v>
      </c>
      <c r="TNH91">
        <v>1</v>
      </c>
      <c r="TNI91" t="s">
        <v>436</v>
      </c>
      <c r="TNJ91" t="s">
        <v>437</v>
      </c>
      <c r="TNK91" t="s">
        <v>428</v>
      </c>
      <c r="TNM91" t="s">
        <v>146</v>
      </c>
      <c r="TNN91" t="s">
        <v>145</v>
      </c>
      <c r="TNO91" t="s">
        <v>398</v>
      </c>
      <c r="TNP91">
        <v>1</v>
      </c>
      <c r="TNQ91" t="s">
        <v>436</v>
      </c>
      <c r="TNR91" t="s">
        <v>437</v>
      </c>
      <c r="TNS91" t="s">
        <v>428</v>
      </c>
      <c r="TNU91" t="s">
        <v>146</v>
      </c>
      <c r="TNV91" t="s">
        <v>145</v>
      </c>
      <c r="TNW91" t="s">
        <v>398</v>
      </c>
      <c r="TNX91">
        <v>1</v>
      </c>
      <c r="TNY91" t="s">
        <v>436</v>
      </c>
      <c r="TNZ91" t="s">
        <v>437</v>
      </c>
      <c r="TOA91" t="s">
        <v>428</v>
      </c>
      <c r="TOC91" t="s">
        <v>146</v>
      </c>
      <c r="TOD91" t="s">
        <v>145</v>
      </c>
      <c r="TOE91" t="s">
        <v>398</v>
      </c>
      <c r="TOF91">
        <v>1</v>
      </c>
      <c r="TOG91" t="s">
        <v>436</v>
      </c>
      <c r="TOH91" t="s">
        <v>437</v>
      </c>
      <c r="TOI91" t="s">
        <v>428</v>
      </c>
      <c r="TOK91" t="s">
        <v>146</v>
      </c>
      <c r="TOL91" t="s">
        <v>145</v>
      </c>
      <c r="TOM91" t="s">
        <v>398</v>
      </c>
      <c r="TON91">
        <v>1</v>
      </c>
      <c r="TOO91" t="s">
        <v>436</v>
      </c>
      <c r="TOP91" t="s">
        <v>437</v>
      </c>
      <c r="TOQ91" t="s">
        <v>428</v>
      </c>
      <c r="TOS91" t="s">
        <v>146</v>
      </c>
      <c r="TOT91" t="s">
        <v>145</v>
      </c>
      <c r="TOU91" t="s">
        <v>398</v>
      </c>
      <c r="TOV91">
        <v>1</v>
      </c>
      <c r="TOW91" t="s">
        <v>436</v>
      </c>
      <c r="TOX91" t="s">
        <v>437</v>
      </c>
      <c r="TOY91" t="s">
        <v>428</v>
      </c>
      <c r="TPA91" t="s">
        <v>146</v>
      </c>
      <c r="TPB91" t="s">
        <v>145</v>
      </c>
      <c r="TPC91" t="s">
        <v>398</v>
      </c>
      <c r="TPD91">
        <v>1</v>
      </c>
      <c r="TPE91" t="s">
        <v>436</v>
      </c>
      <c r="TPF91" t="s">
        <v>437</v>
      </c>
      <c r="TPG91" t="s">
        <v>428</v>
      </c>
      <c r="TPI91" t="s">
        <v>146</v>
      </c>
      <c r="TPJ91" t="s">
        <v>145</v>
      </c>
      <c r="TPK91" t="s">
        <v>398</v>
      </c>
      <c r="TPL91">
        <v>1</v>
      </c>
      <c r="TPM91" t="s">
        <v>436</v>
      </c>
      <c r="TPN91" t="s">
        <v>437</v>
      </c>
      <c r="TPO91" t="s">
        <v>428</v>
      </c>
      <c r="TPQ91" t="s">
        <v>146</v>
      </c>
      <c r="TPR91" t="s">
        <v>145</v>
      </c>
      <c r="TPS91" t="s">
        <v>398</v>
      </c>
      <c r="TPT91">
        <v>1</v>
      </c>
      <c r="TPU91" t="s">
        <v>436</v>
      </c>
      <c r="TPV91" t="s">
        <v>437</v>
      </c>
      <c r="TPW91" t="s">
        <v>428</v>
      </c>
      <c r="TPY91" t="s">
        <v>146</v>
      </c>
      <c r="TPZ91" t="s">
        <v>145</v>
      </c>
      <c r="TQA91" t="s">
        <v>398</v>
      </c>
      <c r="TQB91">
        <v>1</v>
      </c>
      <c r="TQC91" t="s">
        <v>436</v>
      </c>
      <c r="TQD91" t="s">
        <v>437</v>
      </c>
      <c r="TQE91" t="s">
        <v>428</v>
      </c>
      <c r="TQG91" t="s">
        <v>146</v>
      </c>
      <c r="TQH91" t="s">
        <v>145</v>
      </c>
      <c r="TQI91" t="s">
        <v>398</v>
      </c>
      <c r="TQJ91">
        <v>1</v>
      </c>
      <c r="TQK91" t="s">
        <v>436</v>
      </c>
      <c r="TQL91" t="s">
        <v>437</v>
      </c>
      <c r="TQM91" t="s">
        <v>428</v>
      </c>
      <c r="TQO91" t="s">
        <v>146</v>
      </c>
      <c r="TQP91" t="s">
        <v>145</v>
      </c>
      <c r="TQQ91" t="s">
        <v>398</v>
      </c>
      <c r="TQR91">
        <v>1</v>
      </c>
      <c r="TQS91" t="s">
        <v>436</v>
      </c>
      <c r="TQT91" t="s">
        <v>437</v>
      </c>
      <c r="TQU91" t="s">
        <v>428</v>
      </c>
      <c r="TQW91" t="s">
        <v>146</v>
      </c>
      <c r="TQX91" t="s">
        <v>145</v>
      </c>
      <c r="TQY91" t="s">
        <v>398</v>
      </c>
      <c r="TQZ91">
        <v>1</v>
      </c>
      <c r="TRA91" t="s">
        <v>436</v>
      </c>
      <c r="TRB91" t="s">
        <v>437</v>
      </c>
      <c r="TRC91" t="s">
        <v>428</v>
      </c>
      <c r="TRE91" t="s">
        <v>146</v>
      </c>
      <c r="TRF91" t="s">
        <v>145</v>
      </c>
      <c r="TRG91" t="s">
        <v>398</v>
      </c>
      <c r="TRH91">
        <v>1</v>
      </c>
      <c r="TRI91" t="s">
        <v>436</v>
      </c>
      <c r="TRJ91" t="s">
        <v>437</v>
      </c>
      <c r="TRK91" t="s">
        <v>428</v>
      </c>
      <c r="TRM91" t="s">
        <v>146</v>
      </c>
      <c r="TRN91" t="s">
        <v>145</v>
      </c>
      <c r="TRO91" t="s">
        <v>398</v>
      </c>
      <c r="TRP91">
        <v>1</v>
      </c>
      <c r="TRQ91" t="s">
        <v>436</v>
      </c>
      <c r="TRR91" t="s">
        <v>437</v>
      </c>
      <c r="TRS91" t="s">
        <v>428</v>
      </c>
      <c r="TRU91" t="s">
        <v>146</v>
      </c>
      <c r="TRV91" t="s">
        <v>145</v>
      </c>
      <c r="TRW91" t="s">
        <v>398</v>
      </c>
      <c r="TRX91">
        <v>1</v>
      </c>
      <c r="TRY91" t="s">
        <v>436</v>
      </c>
      <c r="TRZ91" t="s">
        <v>437</v>
      </c>
      <c r="TSA91" t="s">
        <v>428</v>
      </c>
      <c r="TSC91" t="s">
        <v>146</v>
      </c>
      <c r="TSD91" t="s">
        <v>145</v>
      </c>
      <c r="TSE91" t="s">
        <v>398</v>
      </c>
      <c r="TSF91">
        <v>1</v>
      </c>
      <c r="TSG91" t="s">
        <v>436</v>
      </c>
      <c r="TSH91" t="s">
        <v>437</v>
      </c>
      <c r="TSI91" t="s">
        <v>428</v>
      </c>
      <c r="TSK91" t="s">
        <v>146</v>
      </c>
      <c r="TSL91" t="s">
        <v>145</v>
      </c>
      <c r="TSM91" t="s">
        <v>398</v>
      </c>
      <c r="TSN91">
        <v>1</v>
      </c>
      <c r="TSO91" t="s">
        <v>436</v>
      </c>
      <c r="TSP91" t="s">
        <v>437</v>
      </c>
      <c r="TSQ91" t="s">
        <v>428</v>
      </c>
      <c r="TSS91" t="s">
        <v>146</v>
      </c>
      <c r="TST91" t="s">
        <v>145</v>
      </c>
      <c r="TSU91" t="s">
        <v>398</v>
      </c>
      <c r="TSV91">
        <v>1</v>
      </c>
      <c r="TSW91" t="s">
        <v>436</v>
      </c>
      <c r="TSX91" t="s">
        <v>437</v>
      </c>
      <c r="TSY91" t="s">
        <v>428</v>
      </c>
      <c r="TTA91" t="s">
        <v>146</v>
      </c>
      <c r="TTB91" t="s">
        <v>145</v>
      </c>
      <c r="TTC91" t="s">
        <v>398</v>
      </c>
      <c r="TTD91">
        <v>1</v>
      </c>
      <c r="TTE91" t="s">
        <v>436</v>
      </c>
      <c r="TTF91" t="s">
        <v>437</v>
      </c>
      <c r="TTG91" t="s">
        <v>428</v>
      </c>
      <c r="TTI91" t="s">
        <v>146</v>
      </c>
      <c r="TTJ91" t="s">
        <v>145</v>
      </c>
      <c r="TTK91" t="s">
        <v>398</v>
      </c>
      <c r="TTL91">
        <v>1</v>
      </c>
      <c r="TTM91" t="s">
        <v>436</v>
      </c>
      <c r="TTN91" t="s">
        <v>437</v>
      </c>
      <c r="TTO91" t="s">
        <v>428</v>
      </c>
      <c r="TTQ91" t="s">
        <v>146</v>
      </c>
      <c r="TTR91" t="s">
        <v>145</v>
      </c>
      <c r="TTS91" t="s">
        <v>398</v>
      </c>
      <c r="TTT91">
        <v>1</v>
      </c>
      <c r="TTU91" t="s">
        <v>436</v>
      </c>
      <c r="TTV91" t="s">
        <v>437</v>
      </c>
      <c r="TTW91" t="s">
        <v>428</v>
      </c>
      <c r="TTY91" t="s">
        <v>146</v>
      </c>
      <c r="TTZ91" t="s">
        <v>145</v>
      </c>
      <c r="TUA91" t="s">
        <v>398</v>
      </c>
      <c r="TUB91">
        <v>1</v>
      </c>
      <c r="TUC91" t="s">
        <v>436</v>
      </c>
      <c r="TUD91" t="s">
        <v>437</v>
      </c>
      <c r="TUE91" t="s">
        <v>428</v>
      </c>
      <c r="TUG91" t="s">
        <v>146</v>
      </c>
      <c r="TUH91" t="s">
        <v>145</v>
      </c>
      <c r="TUI91" t="s">
        <v>398</v>
      </c>
      <c r="TUJ91">
        <v>1</v>
      </c>
      <c r="TUK91" t="s">
        <v>436</v>
      </c>
      <c r="TUL91" t="s">
        <v>437</v>
      </c>
      <c r="TUM91" t="s">
        <v>428</v>
      </c>
      <c r="TUO91" t="s">
        <v>146</v>
      </c>
      <c r="TUP91" t="s">
        <v>145</v>
      </c>
      <c r="TUQ91" t="s">
        <v>398</v>
      </c>
      <c r="TUR91">
        <v>1</v>
      </c>
      <c r="TUS91" t="s">
        <v>436</v>
      </c>
      <c r="TUT91" t="s">
        <v>437</v>
      </c>
      <c r="TUU91" t="s">
        <v>428</v>
      </c>
      <c r="TUW91" t="s">
        <v>146</v>
      </c>
      <c r="TUX91" t="s">
        <v>145</v>
      </c>
      <c r="TUY91" t="s">
        <v>398</v>
      </c>
      <c r="TUZ91">
        <v>1</v>
      </c>
      <c r="TVA91" t="s">
        <v>436</v>
      </c>
      <c r="TVB91" t="s">
        <v>437</v>
      </c>
      <c r="TVC91" t="s">
        <v>428</v>
      </c>
      <c r="TVE91" t="s">
        <v>146</v>
      </c>
      <c r="TVF91" t="s">
        <v>145</v>
      </c>
      <c r="TVG91" t="s">
        <v>398</v>
      </c>
      <c r="TVH91">
        <v>1</v>
      </c>
      <c r="TVI91" t="s">
        <v>436</v>
      </c>
      <c r="TVJ91" t="s">
        <v>437</v>
      </c>
      <c r="TVK91" t="s">
        <v>428</v>
      </c>
      <c r="TVM91" t="s">
        <v>146</v>
      </c>
      <c r="TVN91" t="s">
        <v>145</v>
      </c>
      <c r="TVO91" t="s">
        <v>398</v>
      </c>
      <c r="TVP91">
        <v>1</v>
      </c>
      <c r="TVQ91" t="s">
        <v>436</v>
      </c>
      <c r="TVR91" t="s">
        <v>437</v>
      </c>
      <c r="TVS91" t="s">
        <v>428</v>
      </c>
      <c r="TVU91" t="s">
        <v>146</v>
      </c>
      <c r="TVV91" t="s">
        <v>145</v>
      </c>
      <c r="TVW91" t="s">
        <v>398</v>
      </c>
      <c r="TVX91">
        <v>1</v>
      </c>
      <c r="TVY91" t="s">
        <v>436</v>
      </c>
      <c r="TVZ91" t="s">
        <v>437</v>
      </c>
      <c r="TWA91" t="s">
        <v>428</v>
      </c>
      <c r="TWC91" t="s">
        <v>146</v>
      </c>
      <c r="TWD91" t="s">
        <v>145</v>
      </c>
      <c r="TWE91" t="s">
        <v>398</v>
      </c>
      <c r="TWF91">
        <v>1</v>
      </c>
      <c r="TWG91" t="s">
        <v>436</v>
      </c>
      <c r="TWH91" t="s">
        <v>437</v>
      </c>
      <c r="TWI91" t="s">
        <v>428</v>
      </c>
      <c r="TWK91" t="s">
        <v>146</v>
      </c>
      <c r="TWL91" t="s">
        <v>145</v>
      </c>
      <c r="TWM91" t="s">
        <v>398</v>
      </c>
      <c r="TWN91">
        <v>1</v>
      </c>
      <c r="TWO91" t="s">
        <v>436</v>
      </c>
      <c r="TWP91" t="s">
        <v>437</v>
      </c>
      <c r="TWQ91" t="s">
        <v>428</v>
      </c>
      <c r="TWS91" t="s">
        <v>146</v>
      </c>
      <c r="TWT91" t="s">
        <v>145</v>
      </c>
      <c r="TWU91" t="s">
        <v>398</v>
      </c>
      <c r="TWV91">
        <v>1</v>
      </c>
      <c r="TWW91" t="s">
        <v>436</v>
      </c>
      <c r="TWX91" t="s">
        <v>437</v>
      </c>
      <c r="TWY91" t="s">
        <v>428</v>
      </c>
      <c r="TXA91" t="s">
        <v>146</v>
      </c>
      <c r="TXB91" t="s">
        <v>145</v>
      </c>
      <c r="TXC91" t="s">
        <v>398</v>
      </c>
      <c r="TXD91">
        <v>1</v>
      </c>
      <c r="TXE91" t="s">
        <v>436</v>
      </c>
      <c r="TXF91" t="s">
        <v>437</v>
      </c>
      <c r="TXG91" t="s">
        <v>428</v>
      </c>
      <c r="TXI91" t="s">
        <v>146</v>
      </c>
      <c r="TXJ91" t="s">
        <v>145</v>
      </c>
      <c r="TXK91" t="s">
        <v>398</v>
      </c>
      <c r="TXL91">
        <v>1</v>
      </c>
      <c r="TXM91" t="s">
        <v>436</v>
      </c>
      <c r="TXN91" t="s">
        <v>437</v>
      </c>
      <c r="TXO91" t="s">
        <v>428</v>
      </c>
      <c r="TXQ91" t="s">
        <v>146</v>
      </c>
      <c r="TXR91" t="s">
        <v>145</v>
      </c>
      <c r="TXS91" t="s">
        <v>398</v>
      </c>
      <c r="TXT91">
        <v>1</v>
      </c>
      <c r="TXU91" t="s">
        <v>436</v>
      </c>
      <c r="TXV91" t="s">
        <v>437</v>
      </c>
      <c r="TXW91" t="s">
        <v>428</v>
      </c>
      <c r="TXY91" t="s">
        <v>146</v>
      </c>
      <c r="TXZ91" t="s">
        <v>145</v>
      </c>
      <c r="TYA91" t="s">
        <v>398</v>
      </c>
      <c r="TYB91">
        <v>1</v>
      </c>
      <c r="TYC91" t="s">
        <v>436</v>
      </c>
      <c r="TYD91" t="s">
        <v>437</v>
      </c>
      <c r="TYE91" t="s">
        <v>428</v>
      </c>
      <c r="TYG91" t="s">
        <v>146</v>
      </c>
      <c r="TYH91" t="s">
        <v>145</v>
      </c>
      <c r="TYI91" t="s">
        <v>398</v>
      </c>
      <c r="TYJ91">
        <v>1</v>
      </c>
      <c r="TYK91" t="s">
        <v>436</v>
      </c>
      <c r="TYL91" t="s">
        <v>437</v>
      </c>
      <c r="TYM91" t="s">
        <v>428</v>
      </c>
      <c r="TYO91" t="s">
        <v>146</v>
      </c>
      <c r="TYP91" t="s">
        <v>145</v>
      </c>
      <c r="TYQ91" t="s">
        <v>398</v>
      </c>
      <c r="TYR91">
        <v>1</v>
      </c>
      <c r="TYS91" t="s">
        <v>436</v>
      </c>
      <c r="TYT91" t="s">
        <v>437</v>
      </c>
      <c r="TYU91" t="s">
        <v>428</v>
      </c>
      <c r="TYW91" t="s">
        <v>146</v>
      </c>
      <c r="TYX91" t="s">
        <v>145</v>
      </c>
      <c r="TYY91" t="s">
        <v>398</v>
      </c>
      <c r="TYZ91">
        <v>1</v>
      </c>
      <c r="TZA91" t="s">
        <v>436</v>
      </c>
      <c r="TZB91" t="s">
        <v>437</v>
      </c>
      <c r="TZC91" t="s">
        <v>428</v>
      </c>
      <c r="TZE91" t="s">
        <v>146</v>
      </c>
      <c r="TZF91" t="s">
        <v>145</v>
      </c>
      <c r="TZG91" t="s">
        <v>398</v>
      </c>
      <c r="TZH91">
        <v>1</v>
      </c>
      <c r="TZI91" t="s">
        <v>436</v>
      </c>
      <c r="TZJ91" t="s">
        <v>437</v>
      </c>
      <c r="TZK91" t="s">
        <v>428</v>
      </c>
      <c r="TZM91" t="s">
        <v>146</v>
      </c>
      <c r="TZN91" t="s">
        <v>145</v>
      </c>
      <c r="TZO91" t="s">
        <v>398</v>
      </c>
      <c r="TZP91">
        <v>1</v>
      </c>
      <c r="TZQ91" t="s">
        <v>436</v>
      </c>
      <c r="TZR91" t="s">
        <v>437</v>
      </c>
      <c r="TZS91" t="s">
        <v>428</v>
      </c>
      <c r="TZU91" t="s">
        <v>146</v>
      </c>
      <c r="TZV91" t="s">
        <v>145</v>
      </c>
      <c r="TZW91" t="s">
        <v>398</v>
      </c>
      <c r="TZX91">
        <v>1</v>
      </c>
      <c r="TZY91" t="s">
        <v>436</v>
      </c>
      <c r="TZZ91" t="s">
        <v>437</v>
      </c>
      <c r="UAA91" t="s">
        <v>428</v>
      </c>
      <c r="UAC91" t="s">
        <v>146</v>
      </c>
      <c r="UAD91" t="s">
        <v>145</v>
      </c>
      <c r="UAE91" t="s">
        <v>398</v>
      </c>
      <c r="UAF91">
        <v>1</v>
      </c>
      <c r="UAG91" t="s">
        <v>436</v>
      </c>
      <c r="UAH91" t="s">
        <v>437</v>
      </c>
      <c r="UAI91" t="s">
        <v>428</v>
      </c>
      <c r="UAK91" t="s">
        <v>146</v>
      </c>
      <c r="UAL91" t="s">
        <v>145</v>
      </c>
      <c r="UAM91" t="s">
        <v>398</v>
      </c>
      <c r="UAN91">
        <v>1</v>
      </c>
      <c r="UAO91" t="s">
        <v>436</v>
      </c>
      <c r="UAP91" t="s">
        <v>437</v>
      </c>
      <c r="UAQ91" t="s">
        <v>428</v>
      </c>
      <c r="UAS91" t="s">
        <v>146</v>
      </c>
      <c r="UAT91" t="s">
        <v>145</v>
      </c>
      <c r="UAU91" t="s">
        <v>398</v>
      </c>
      <c r="UAV91">
        <v>1</v>
      </c>
      <c r="UAW91" t="s">
        <v>436</v>
      </c>
      <c r="UAX91" t="s">
        <v>437</v>
      </c>
      <c r="UAY91" t="s">
        <v>428</v>
      </c>
      <c r="UBA91" t="s">
        <v>146</v>
      </c>
      <c r="UBB91" t="s">
        <v>145</v>
      </c>
      <c r="UBC91" t="s">
        <v>398</v>
      </c>
      <c r="UBD91">
        <v>1</v>
      </c>
      <c r="UBE91" t="s">
        <v>436</v>
      </c>
      <c r="UBF91" t="s">
        <v>437</v>
      </c>
      <c r="UBG91" t="s">
        <v>428</v>
      </c>
      <c r="UBI91" t="s">
        <v>146</v>
      </c>
      <c r="UBJ91" t="s">
        <v>145</v>
      </c>
      <c r="UBK91" t="s">
        <v>398</v>
      </c>
      <c r="UBL91">
        <v>1</v>
      </c>
      <c r="UBM91" t="s">
        <v>436</v>
      </c>
      <c r="UBN91" t="s">
        <v>437</v>
      </c>
      <c r="UBO91" t="s">
        <v>428</v>
      </c>
      <c r="UBQ91" t="s">
        <v>146</v>
      </c>
      <c r="UBR91" t="s">
        <v>145</v>
      </c>
      <c r="UBS91" t="s">
        <v>398</v>
      </c>
      <c r="UBT91">
        <v>1</v>
      </c>
      <c r="UBU91" t="s">
        <v>436</v>
      </c>
      <c r="UBV91" t="s">
        <v>437</v>
      </c>
      <c r="UBW91" t="s">
        <v>428</v>
      </c>
      <c r="UBY91" t="s">
        <v>146</v>
      </c>
      <c r="UBZ91" t="s">
        <v>145</v>
      </c>
      <c r="UCA91" t="s">
        <v>398</v>
      </c>
      <c r="UCB91">
        <v>1</v>
      </c>
      <c r="UCC91" t="s">
        <v>436</v>
      </c>
      <c r="UCD91" t="s">
        <v>437</v>
      </c>
      <c r="UCE91" t="s">
        <v>428</v>
      </c>
      <c r="UCG91" t="s">
        <v>146</v>
      </c>
      <c r="UCH91" t="s">
        <v>145</v>
      </c>
      <c r="UCI91" t="s">
        <v>398</v>
      </c>
      <c r="UCJ91">
        <v>1</v>
      </c>
      <c r="UCK91" t="s">
        <v>436</v>
      </c>
      <c r="UCL91" t="s">
        <v>437</v>
      </c>
      <c r="UCM91" t="s">
        <v>428</v>
      </c>
      <c r="UCO91" t="s">
        <v>146</v>
      </c>
      <c r="UCP91" t="s">
        <v>145</v>
      </c>
      <c r="UCQ91" t="s">
        <v>398</v>
      </c>
      <c r="UCR91">
        <v>1</v>
      </c>
      <c r="UCS91" t="s">
        <v>436</v>
      </c>
      <c r="UCT91" t="s">
        <v>437</v>
      </c>
      <c r="UCU91" t="s">
        <v>428</v>
      </c>
      <c r="UCW91" t="s">
        <v>146</v>
      </c>
      <c r="UCX91" t="s">
        <v>145</v>
      </c>
      <c r="UCY91" t="s">
        <v>398</v>
      </c>
      <c r="UCZ91">
        <v>1</v>
      </c>
      <c r="UDA91" t="s">
        <v>436</v>
      </c>
      <c r="UDB91" t="s">
        <v>437</v>
      </c>
      <c r="UDC91" t="s">
        <v>428</v>
      </c>
      <c r="UDE91" t="s">
        <v>146</v>
      </c>
      <c r="UDF91" t="s">
        <v>145</v>
      </c>
      <c r="UDG91" t="s">
        <v>398</v>
      </c>
      <c r="UDH91">
        <v>1</v>
      </c>
      <c r="UDI91" t="s">
        <v>436</v>
      </c>
      <c r="UDJ91" t="s">
        <v>437</v>
      </c>
      <c r="UDK91" t="s">
        <v>428</v>
      </c>
      <c r="UDM91" t="s">
        <v>146</v>
      </c>
      <c r="UDN91" t="s">
        <v>145</v>
      </c>
      <c r="UDO91" t="s">
        <v>398</v>
      </c>
      <c r="UDP91">
        <v>1</v>
      </c>
      <c r="UDQ91" t="s">
        <v>436</v>
      </c>
      <c r="UDR91" t="s">
        <v>437</v>
      </c>
      <c r="UDS91" t="s">
        <v>428</v>
      </c>
      <c r="UDU91" t="s">
        <v>146</v>
      </c>
      <c r="UDV91" t="s">
        <v>145</v>
      </c>
      <c r="UDW91" t="s">
        <v>398</v>
      </c>
      <c r="UDX91">
        <v>1</v>
      </c>
      <c r="UDY91" t="s">
        <v>436</v>
      </c>
      <c r="UDZ91" t="s">
        <v>437</v>
      </c>
      <c r="UEA91" t="s">
        <v>428</v>
      </c>
      <c r="UEC91" t="s">
        <v>146</v>
      </c>
      <c r="UED91" t="s">
        <v>145</v>
      </c>
      <c r="UEE91" t="s">
        <v>398</v>
      </c>
      <c r="UEF91">
        <v>1</v>
      </c>
      <c r="UEG91" t="s">
        <v>436</v>
      </c>
      <c r="UEH91" t="s">
        <v>437</v>
      </c>
      <c r="UEI91" t="s">
        <v>428</v>
      </c>
      <c r="UEK91" t="s">
        <v>146</v>
      </c>
      <c r="UEL91" t="s">
        <v>145</v>
      </c>
      <c r="UEM91" t="s">
        <v>398</v>
      </c>
      <c r="UEN91">
        <v>1</v>
      </c>
      <c r="UEO91" t="s">
        <v>436</v>
      </c>
      <c r="UEP91" t="s">
        <v>437</v>
      </c>
      <c r="UEQ91" t="s">
        <v>428</v>
      </c>
      <c r="UES91" t="s">
        <v>146</v>
      </c>
      <c r="UET91" t="s">
        <v>145</v>
      </c>
      <c r="UEU91" t="s">
        <v>398</v>
      </c>
      <c r="UEV91">
        <v>1</v>
      </c>
      <c r="UEW91" t="s">
        <v>436</v>
      </c>
      <c r="UEX91" t="s">
        <v>437</v>
      </c>
      <c r="UEY91" t="s">
        <v>428</v>
      </c>
      <c r="UFA91" t="s">
        <v>146</v>
      </c>
      <c r="UFB91" t="s">
        <v>145</v>
      </c>
      <c r="UFC91" t="s">
        <v>398</v>
      </c>
      <c r="UFD91">
        <v>1</v>
      </c>
      <c r="UFE91" t="s">
        <v>436</v>
      </c>
      <c r="UFF91" t="s">
        <v>437</v>
      </c>
      <c r="UFG91" t="s">
        <v>428</v>
      </c>
      <c r="UFI91" t="s">
        <v>146</v>
      </c>
      <c r="UFJ91" t="s">
        <v>145</v>
      </c>
      <c r="UFK91" t="s">
        <v>398</v>
      </c>
      <c r="UFL91">
        <v>1</v>
      </c>
      <c r="UFM91" t="s">
        <v>436</v>
      </c>
      <c r="UFN91" t="s">
        <v>437</v>
      </c>
      <c r="UFO91" t="s">
        <v>428</v>
      </c>
      <c r="UFQ91" t="s">
        <v>146</v>
      </c>
      <c r="UFR91" t="s">
        <v>145</v>
      </c>
      <c r="UFS91" t="s">
        <v>398</v>
      </c>
      <c r="UFT91">
        <v>1</v>
      </c>
      <c r="UFU91" t="s">
        <v>436</v>
      </c>
      <c r="UFV91" t="s">
        <v>437</v>
      </c>
      <c r="UFW91" t="s">
        <v>428</v>
      </c>
      <c r="UFY91" t="s">
        <v>146</v>
      </c>
      <c r="UFZ91" t="s">
        <v>145</v>
      </c>
      <c r="UGA91" t="s">
        <v>398</v>
      </c>
      <c r="UGB91">
        <v>1</v>
      </c>
      <c r="UGC91" t="s">
        <v>436</v>
      </c>
      <c r="UGD91" t="s">
        <v>437</v>
      </c>
      <c r="UGE91" t="s">
        <v>428</v>
      </c>
      <c r="UGG91" t="s">
        <v>146</v>
      </c>
      <c r="UGH91" t="s">
        <v>145</v>
      </c>
      <c r="UGI91" t="s">
        <v>398</v>
      </c>
      <c r="UGJ91">
        <v>1</v>
      </c>
      <c r="UGK91" t="s">
        <v>436</v>
      </c>
      <c r="UGL91" t="s">
        <v>437</v>
      </c>
      <c r="UGM91" t="s">
        <v>428</v>
      </c>
      <c r="UGO91" t="s">
        <v>146</v>
      </c>
      <c r="UGP91" t="s">
        <v>145</v>
      </c>
      <c r="UGQ91" t="s">
        <v>398</v>
      </c>
      <c r="UGR91">
        <v>1</v>
      </c>
      <c r="UGS91" t="s">
        <v>436</v>
      </c>
      <c r="UGT91" t="s">
        <v>437</v>
      </c>
      <c r="UGU91" t="s">
        <v>428</v>
      </c>
      <c r="UGW91" t="s">
        <v>146</v>
      </c>
      <c r="UGX91" t="s">
        <v>145</v>
      </c>
      <c r="UGY91" t="s">
        <v>398</v>
      </c>
      <c r="UGZ91">
        <v>1</v>
      </c>
      <c r="UHA91" t="s">
        <v>436</v>
      </c>
      <c r="UHB91" t="s">
        <v>437</v>
      </c>
      <c r="UHC91" t="s">
        <v>428</v>
      </c>
      <c r="UHE91" t="s">
        <v>146</v>
      </c>
      <c r="UHF91" t="s">
        <v>145</v>
      </c>
      <c r="UHG91" t="s">
        <v>398</v>
      </c>
      <c r="UHH91">
        <v>1</v>
      </c>
      <c r="UHI91" t="s">
        <v>436</v>
      </c>
      <c r="UHJ91" t="s">
        <v>437</v>
      </c>
      <c r="UHK91" t="s">
        <v>428</v>
      </c>
      <c r="UHM91" t="s">
        <v>146</v>
      </c>
      <c r="UHN91" t="s">
        <v>145</v>
      </c>
      <c r="UHO91" t="s">
        <v>398</v>
      </c>
      <c r="UHP91">
        <v>1</v>
      </c>
      <c r="UHQ91" t="s">
        <v>436</v>
      </c>
      <c r="UHR91" t="s">
        <v>437</v>
      </c>
      <c r="UHS91" t="s">
        <v>428</v>
      </c>
      <c r="UHU91" t="s">
        <v>146</v>
      </c>
      <c r="UHV91" t="s">
        <v>145</v>
      </c>
      <c r="UHW91" t="s">
        <v>398</v>
      </c>
      <c r="UHX91">
        <v>1</v>
      </c>
      <c r="UHY91" t="s">
        <v>436</v>
      </c>
      <c r="UHZ91" t="s">
        <v>437</v>
      </c>
      <c r="UIA91" t="s">
        <v>428</v>
      </c>
      <c r="UIC91" t="s">
        <v>146</v>
      </c>
      <c r="UID91" t="s">
        <v>145</v>
      </c>
      <c r="UIE91" t="s">
        <v>398</v>
      </c>
      <c r="UIF91">
        <v>1</v>
      </c>
      <c r="UIG91" t="s">
        <v>436</v>
      </c>
      <c r="UIH91" t="s">
        <v>437</v>
      </c>
      <c r="UII91" t="s">
        <v>428</v>
      </c>
      <c r="UIK91" t="s">
        <v>146</v>
      </c>
      <c r="UIL91" t="s">
        <v>145</v>
      </c>
      <c r="UIM91" t="s">
        <v>398</v>
      </c>
      <c r="UIN91">
        <v>1</v>
      </c>
      <c r="UIO91" t="s">
        <v>436</v>
      </c>
      <c r="UIP91" t="s">
        <v>437</v>
      </c>
      <c r="UIQ91" t="s">
        <v>428</v>
      </c>
      <c r="UIS91" t="s">
        <v>146</v>
      </c>
      <c r="UIT91" t="s">
        <v>145</v>
      </c>
      <c r="UIU91" t="s">
        <v>398</v>
      </c>
      <c r="UIV91">
        <v>1</v>
      </c>
      <c r="UIW91" t="s">
        <v>436</v>
      </c>
      <c r="UIX91" t="s">
        <v>437</v>
      </c>
      <c r="UIY91" t="s">
        <v>428</v>
      </c>
      <c r="UJA91" t="s">
        <v>146</v>
      </c>
      <c r="UJB91" t="s">
        <v>145</v>
      </c>
      <c r="UJC91" t="s">
        <v>398</v>
      </c>
      <c r="UJD91">
        <v>1</v>
      </c>
      <c r="UJE91" t="s">
        <v>436</v>
      </c>
      <c r="UJF91" t="s">
        <v>437</v>
      </c>
      <c r="UJG91" t="s">
        <v>428</v>
      </c>
      <c r="UJI91" t="s">
        <v>146</v>
      </c>
      <c r="UJJ91" t="s">
        <v>145</v>
      </c>
      <c r="UJK91" t="s">
        <v>398</v>
      </c>
      <c r="UJL91">
        <v>1</v>
      </c>
      <c r="UJM91" t="s">
        <v>436</v>
      </c>
      <c r="UJN91" t="s">
        <v>437</v>
      </c>
      <c r="UJO91" t="s">
        <v>428</v>
      </c>
      <c r="UJQ91" t="s">
        <v>146</v>
      </c>
      <c r="UJR91" t="s">
        <v>145</v>
      </c>
      <c r="UJS91" t="s">
        <v>398</v>
      </c>
      <c r="UJT91">
        <v>1</v>
      </c>
      <c r="UJU91" t="s">
        <v>436</v>
      </c>
      <c r="UJV91" t="s">
        <v>437</v>
      </c>
      <c r="UJW91" t="s">
        <v>428</v>
      </c>
      <c r="UJY91" t="s">
        <v>146</v>
      </c>
      <c r="UJZ91" t="s">
        <v>145</v>
      </c>
      <c r="UKA91" t="s">
        <v>398</v>
      </c>
      <c r="UKB91">
        <v>1</v>
      </c>
      <c r="UKC91" t="s">
        <v>436</v>
      </c>
      <c r="UKD91" t="s">
        <v>437</v>
      </c>
      <c r="UKE91" t="s">
        <v>428</v>
      </c>
      <c r="UKG91" t="s">
        <v>146</v>
      </c>
      <c r="UKH91" t="s">
        <v>145</v>
      </c>
      <c r="UKI91" t="s">
        <v>398</v>
      </c>
      <c r="UKJ91">
        <v>1</v>
      </c>
      <c r="UKK91" t="s">
        <v>436</v>
      </c>
      <c r="UKL91" t="s">
        <v>437</v>
      </c>
      <c r="UKM91" t="s">
        <v>428</v>
      </c>
      <c r="UKO91" t="s">
        <v>146</v>
      </c>
      <c r="UKP91" t="s">
        <v>145</v>
      </c>
      <c r="UKQ91" t="s">
        <v>398</v>
      </c>
      <c r="UKR91">
        <v>1</v>
      </c>
      <c r="UKS91" t="s">
        <v>436</v>
      </c>
      <c r="UKT91" t="s">
        <v>437</v>
      </c>
      <c r="UKU91" t="s">
        <v>428</v>
      </c>
      <c r="UKW91" t="s">
        <v>146</v>
      </c>
      <c r="UKX91" t="s">
        <v>145</v>
      </c>
      <c r="UKY91" t="s">
        <v>398</v>
      </c>
      <c r="UKZ91">
        <v>1</v>
      </c>
      <c r="ULA91" t="s">
        <v>436</v>
      </c>
      <c r="ULB91" t="s">
        <v>437</v>
      </c>
      <c r="ULC91" t="s">
        <v>428</v>
      </c>
      <c r="ULE91" t="s">
        <v>146</v>
      </c>
      <c r="ULF91" t="s">
        <v>145</v>
      </c>
      <c r="ULG91" t="s">
        <v>398</v>
      </c>
      <c r="ULH91">
        <v>1</v>
      </c>
      <c r="ULI91" t="s">
        <v>436</v>
      </c>
      <c r="ULJ91" t="s">
        <v>437</v>
      </c>
      <c r="ULK91" t="s">
        <v>428</v>
      </c>
      <c r="ULM91" t="s">
        <v>146</v>
      </c>
      <c r="ULN91" t="s">
        <v>145</v>
      </c>
      <c r="ULO91" t="s">
        <v>398</v>
      </c>
      <c r="ULP91">
        <v>1</v>
      </c>
      <c r="ULQ91" t="s">
        <v>436</v>
      </c>
      <c r="ULR91" t="s">
        <v>437</v>
      </c>
      <c r="ULS91" t="s">
        <v>428</v>
      </c>
      <c r="ULU91" t="s">
        <v>146</v>
      </c>
      <c r="ULV91" t="s">
        <v>145</v>
      </c>
      <c r="ULW91" t="s">
        <v>398</v>
      </c>
      <c r="ULX91">
        <v>1</v>
      </c>
      <c r="ULY91" t="s">
        <v>436</v>
      </c>
      <c r="ULZ91" t="s">
        <v>437</v>
      </c>
      <c r="UMA91" t="s">
        <v>428</v>
      </c>
      <c r="UMC91" t="s">
        <v>146</v>
      </c>
      <c r="UMD91" t="s">
        <v>145</v>
      </c>
      <c r="UME91" t="s">
        <v>398</v>
      </c>
      <c r="UMF91">
        <v>1</v>
      </c>
      <c r="UMG91" t="s">
        <v>436</v>
      </c>
      <c r="UMH91" t="s">
        <v>437</v>
      </c>
      <c r="UMI91" t="s">
        <v>428</v>
      </c>
      <c r="UMK91" t="s">
        <v>146</v>
      </c>
      <c r="UML91" t="s">
        <v>145</v>
      </c>
      <c r="UMM91" t="s">
        <v>398</v>
      </c>
      <c r="UMN91">
        <v>1</v>
      </c>
      <c r="UMO91" t="s">
        <v>436</v>
      </c>
      <c r="UMP91" t="s">
        <v>437</v>
      </c>
      <c r="UMQ91" t="s">
        <v>428</v>
      </c>
      <c r="UMS91" t="s">
        <v>146</v>
      </c>
      <c r="UMT91" t="s">
        <v>145</v>
      </c>
      <c r="UMU91" t="s">
        <v>398</v>
      </c>
      <c r="UMV91">
        <v>1</v>
      </c>
      <c r="UMW91" t="s">
        <v>436</v>
      </c>
      <c r="UMX91" t="s">
        <v>437</v>
      </c>
      <c r="UMY91" t="s">
        <v>428</v>
      </c>
      <c r="UNA91" t="s">
        <v>146</v>
      </c>
      <c r="UNB91" t="s">
        <v>145</v>
      </c>
      <c r="UNC91" t="s">
        <v>398</v>
      </c>
      <c r="UND91">
        <v>1</v>
      </c>
      <c r="UNE91" t="s">
        <v>436</v>
      </c>
      <c r="UNF91" t="s">
        <v>437</v>
      </c>
      <c r="UNG91" t="s">
        <v>428</v>
      </c>
      <c r="UNI91" t="s">
        <v>146</v>
      </c>
      <c r="UNJ91" t="s">
        <v>145</v>
      </c>
      <c r="UNK91" t="s">
        <v>398</v>
      </c>
      <c r="UNL91">
        <v>1</v>
      </c>
      <c r="UNM91" t="s">
        <v>436</v>
      </c>
      <c r="UNN91" t="s">
        <v>437</v>
      </c>
      <c r="UNO91" t="s">
        <v>428</v>
      </c>
      <c r="UNQ91" t="s">
        <v>146</v>
      </c>
      <c r="UNR91" t="s">
        <v>145</v>
      </c>
      <c r="UNS91" t="s">
        <v>398</v>
      </c>
      <c r="UNT91">
        <v>1</v>
      </c>
      <c r="UNU91" t="s">
        <v>436</v>
      </c>
      <c r="UNV91" t="s">
        <v>437</v>
      </c>
      <c r="UNW91" t="s">
        <v>428</v>
      </c>
      <c r="UNY91" t="s">
        <v>146</v>
      </c>
      <c r="UNZ91" t="s">
        <v>145</v>
      </c>
      <c r="UOA91" t="s">
        <v>398</v>
      </c>
      <c r="UOB91">
        <v>1</v>
      </c>
      <c r="UOC91" t="s">
        <v>436</v>
      </c>
      <c r="UOD91" t="s">
        <v>437</v>
      </c>
      <c r="UOE91" t="s">
        <v>428</v>
      </c>
      <c r="UOG91" t="s">
        <v>146</v>
      </c>
      <c r="UOH91" t="s">
        <v>145</v>
      </c>
      <c r="UOI91" t="s">
        <v>398</v>
      </c>
      <c r="UOJ91">
        <v>1</v>
      </c>
      <c r="UOK91" t="s">
        <v>436</v>
      </c>
      <c r="UOL91" t="s">
        <v>437</v>
      </c>
      <c r="UOM91" t="s">
        <v>428</v>
      </c>
      <c r="UOO91" t="s">
        <v>146</v>
      </c>
      <c r="UOP91" t="s">
        <v>145</v>
      </c>
      <c r="UOQ91" t="s">
        <v>398</v>
      </c>
      <c r="UOR91">
        <v>1</v>
      </c>
      <c r="UOS91" t="s">
        <v>436</v>
      </c>
      <c r="UOT91" t="s">
        <v>437</v>
      </c>
      <c r="UOU91" t="s">
        <v>428</v>
      </c>
      <c r="UOW91" t="s">
        <v>146</v>
      </c>
      <c r="UOX91" t="s">
        <v>145</v>
      </c>
      <c r="UOY91" t="s">
        <v>398</v>
      </c>
      <c r="UOZ91">
        <v>1</v>
      </c>
      <c r="UPA91" t="s">
        <v>436</v>
      </c>
      <c r="UPB91" t="s">
        <v>437</v>
      </c>
      <c r="UPC91" t="s">
        <v>428</v>
      </c>
      <c r="UPE91" t="s">
        <v>146</v>
      </c>
      <c r="UPF91" t="s">
        <v>145</v>
      </c>
      <c r="UPG91" t="s">
        <v>398</v>
      </c>
      <c r="UPH91">
        <v>1</v>
      </c>
      <c r="UPI91" t="s">
        <v>436</v>
      </c>
      <c r="UPJ91" t="s">
        <v>437</v>
      </c>
      <c r="UPK91" t="s">
        <v>428</v>
      </c>
      <c r="UPM91" t="s">
        <v>146</v>
      </c>
      <c r="UPN91" t="s">
        <v>145</v>
      </c>
      <c r="UPO91" t="s">
        <v>398</v>
      </c>
      <c r="UPP91">
        <v>1</v>
      </c>
      <c r="UPQ91" t="s">
        <v>436</v>
      </c>
      <c r="UPR91" t="s">
        <v>437</v>
      </c>
      <c r="UPS91" t="s">
        <v>428</v>
      </c>
      <c r="UPU91" t="s">
        <v>146</v>
      </c>
      <c r="UPV91" t="s">
        <v>145</v>
      </c>
      <c r="UPW91" t="s">
        <v>398</v>
      </c>
      <c r="UPX91">
        <v>1</v>
      </c>
      <c r="UPY91" t="s">
        <v>436</v>
      </c>
      <c r="UPZ91" t="s">
        <v>437</v>
      </c>
      <c r="UQA91" t="s">
        <v>428</v>
      </c>
      <c r="UQC91" t="s">
        <v>146</v>
      </c>
      <c r="UQD91" t="s">
        <v>145</v>
      </c>
      <c r="UQE91" t="s">
        <v>398</v>
      </c>
      <c r="UQF91">
        <v>1</v>
      </c>
      <c r="UQG91" t="s">
        <v>436</v>
      </c>
      <c r="UQH91" t="s">
        <v>437</v>
      </c>
      <c r="UQI91" t="s">
        <v>428</v>
      </c>
      <c r="UQK91" t="s">
        <v>146</v>
      </c>
      <c r="UQL91" t="s">
        <v>145</v>
      </c>
      <c r="UQM91" t="s">
        <v>398</v>
      </c>
      <c r="UQN91">
        <v>1</v>
      </c>
      <c r="UQO91" t="s">
        <v>436</v>
      </c>
      <c r="UQP91" t="s">
        <v>437</v>
      </c>
      <c r="UQQ91" t="s">
        <v>428</v>
      </c>
      <c r="UQS91" t="s">
        <v>146</v>
      </c>
      <c r="UQT91" t="s">
        <v>145</v>
      </c>
      <c r="UQU91" t="s">
        <v>398</v>
      </c>
      <c r="UQV91">
        <v>1</v>
      </c>
      <c r="UQW91" t="s">
        <v>436</v>
      </c>
      <c r="UQX91" t="s">
        <v>437</v>
      </c>
      <c r="UQY91" t="s">
        <v>428</v>
      </c>
      <c r="URA91" t="s">
        <v>146</v>
      </c>
      <c r="URB91" t="s">
        <v>145</v>
      </c>
      <c r="URC91" t="s">
        <v>398</v>
      </c>
      <c r="URD91">
        <v>1</v>
      </c>
      <c r="URE91" t="s">
        <v>436</v>
      </c>
      <c r="URF91" t="s">
        <v>437</v>
      </c>
      <c r="URG91" t="s">
        <v>428</v>
      </c>
      <c r="URI91" t="s">
        <v>146</v>
      </c>
      <c r="URJ91" t="s">
        <v>145</v>
      </c>
      <c r="URK91" t="s">
        <v>398</v>
      </c>
      <c r="URL91">
        <v>1</v>
      </c>
      <c r="URM91" t="s">
        <v>436</v>
      </c>
      <c r="URN91" t="s">
        <v>437</v>
      </c>
      <c r="URO91" t="s">
        <v>428</v>
      </c>
      <c r="URQ91" t="s">
        <v>146</v>
      </c>
      <c r="URR91" t="s">
        <v>145</v>
      </c>
      <c r="URS91" t="s">
        <v>398</v>
      </c>
      <c r="URT91">
        <v>1</v>
      </c>
      <c r="URU91" t="s">
        <v>436</v>
      </c>
      <c r="URV91" t="s">
        <v>437</v>
      </c>
      <c r="URW91" t="s">
        <v>428</v>
      </c>
      <c r="URY91" t="s">
        <v>146</v>
      </c>
      <c r="URZ91" t="s">
        <v>145</v>
      </c>
      <c r="USA91" t="s">
        <v>398</v>
      </c>
      <c r="USB91">
        <v>1</v>
      </c>
      <c r="USC91" t="s">
        <v>436</v>
      </c>
      <c r="USD91" t="s">
        <v>437</v>
      </c>
      <c r="USE91" t="s">
        <v>428</v>
      </c>
      <c r="USG91" t="s">
        <v>146</v>
      </c>
      <c r="USH91" t="s">
        <v>145</v>
      </c>
      <c r="USI91" t="s">
        <v>398</v>
      </c>
      <c r="USJ91">
        <v>1</v>
      </c>
      <c r="USK91" t="s">
        <v>436</v>
      </c>
      <c r="USL91" t="s">
        <v>437</v>
      </c>
      <c r="USM91" t="s">
        <v>428</v>
      </c>
      <c r="USO91" t="s">
        <v>146</v>
      </c>
      <c r="USP91" t="s">
        <v>145</v>
      </c>
      <c r="USQ91" t="s">
        <v>398</v>
      </c>
      <c r="USR91">
        <v>1</v>
      </c>
      <c r="USS91" t="s">
        <v>436</v>
      </c>
      <c r="UST91" t="s">
        <v>437</v>
      </c>
      <c r="USU91" t="s">
        <v>428</v>
      </c>
      <c r="USW91" t="s">
        <v>146</v>
      </c>
      <c r="USX91" t="s">
        <v>145</v>
      </c>
      <c r="USY91" t="s">
        <v>398</v>
      </c>
      <c r="USZ91">
        <v>1</v>
      </c>
      <c r="UTA91" t="s">
        <v>436</v>
      </c>
      <c r="UTB91" t="s">
        <v>437</v>
      </c>
      <c r="UTC91" t="s">
        <v>428</v>
      </c>
      <c r="UTE91" t="s">
        <v>146</v>
      </c>
      <c r="UTF91" t="s">
        <v>145</v>
      </c>
      <c r="UTG91" t="s">
        <v>398</v>
      </c>
      <c r="UTH91">
        <v>1</v>
      </c>
      <c r="UTI91" t="s">
        <v>436</v>
      </c>
      <c r="UTJ91" t="s">
        <v>437</v>
      </c>
      <c r="UTK91" t="s">
        <v>428</v>
      </c>
      <c r="UTM91" t="s">
        <v>146</v>
      </c>
      <c r="UTN91" t="s">
        <v>145</v>
      </c>
      <c r="UTO91" t="s">
        <v>398</v>
      </c>
      <c r="UTP91">
        <v>1</v>
      </c>
      <c r="UTQ91" t="s">
        <v>436</v>
      </c>
      <c r="UTR91" t="s">
        <v>437</v>
      </c>
      <c r="UTS91" t="s">
        <v>428</v>
      </c>
      <c r="UTU91" t="s">
        <v>146</v>
      </c>
      <c r="UTV91" t="s">
        <v>145</v>
      </c>
      <c r="UTW91" t="s">
        <v>398</v>
      </c>
      <c r="UTX91">
        <v>1</v>
      </c>
      <c r="UTY91" t="s">
        <v>436</v>
      </c>
      <c r="UTZ91" t="s">
        <v>437</v>
      </c>
      <c r="UUA91" t="s">
        <v>428</v>
      </c>
      <c r="UUC91" t="s">
        <v>146</v>
      </c>
      <c r="UUD91" t="s">
        <v>145</v>
      </c>
      <c r="UUE91" t="s">
        <v>398</v>
      </c>
      <c r="UUF91">
        <v>1</v>
      </c>
      <c r="UUG91" t="s">
        <v>436</v>
      </c>
      <c r="UUH91" t="s">
        <v>437</v>
      </c>
      <c r="UUI91" t="s">
        <v>428</v>
      </c>
      <c r="UUK91" t="s">
        <v>146</v>
      </c>
      <c r="UUL91" t="s">
        <v>145</v>
      </c>
      <c r="UUM91" t="s">
        <v>398</v>
      </c>
      <c r="UUN91">
        <v>1</v>
      </c>
      <c r="UUO91" t="s">
        <v>436</v>
      </c>
      <c r="UUP91" t="s">
        <v>437</v>
      </c>
      <c r="UUQ91" t="s">
        <v>428</v>
      </c>
      <c r="UUS91" t="s">
        <v>146</v>
      </c>
      <c r="UUT91" t="s">
        <v>145</v>
      </c>
      <c r="UUU91" t="s">
        <v>398</v>
      </c>
      <c r="UUV91">
        <v>1</v>
      </c>
      <c r="UUW91" t="s">
        <v>436</v>
      </c>
      <c r="UUX91" t="s">
        <v>437</v>
      </c>
      <c r="UUY91" t="s">
        <v>428</v>
      </c>
      <c r="UVA91" t="s">
        <v>146</v>
      </c>
      <c r="UVB91" t="s">
        <v>145</v>
      </c>
      <c r="UVC91" t="s">
        <v>398</v>
      </c>
      <c r="UVD91">
        <v>1</v>
      </c>
      <c r="UVE91" t="s">
        <v>436</v>
      </c>
      <c r="UVF91" t="s">
        <v>437</v>
      </c>
      <c r="UVG91" t="s">
        <v>428</v>
      </c>
      <c r="UVI91" t="s">
        <v>146</v>
      </c>
      <c r="UVJ91" t="s">
        <v>145</v>
      </c>
      <c r="UVK91" t="s">
        <v>398</v>
      </c>
      <c r="UVL91">
        <v>1</v>
      </c>
      <c r="UVM91" t="s">
        <v>436</v>
      </c>
      <c r="UVN91" t="s">
        <v>437</v>
      </c>
      <c r="UVO91" t="s">
        <v>428</v>
      </c>
      <c r="UVQ91" t="s">
        <v>146</v>
      </c>
      <c r="UVR91" t="s">
        <v>145</v>
      </c>
      <c r="UVS91" t="s">
        <v>398</v>
      </c>
      <c r="UVT91">
        <v>1</v>
      </c>
      <c r="UVU91" t="s">
        <v>436</v>
      </c>
      <c r="UVV91" t="s">
        <v>437</v>
      </c>
      <c r="UVW91" t="s">
        <v>428</v>
      </c>
      <c r="UVY91" t="s">
        <v>146</v>
      </c>
      <c r="UVZ91" t="s">
        <v>145</v>
      </c>
      <c r="UWA91" t="s">
        <v>398</v>
      </c>
      <c r="UWB91">
        <v>1</v>
      </c>
      <c r="UWC91" t="s">
        <v>436</v>
      </c>
      <c r="UWD91" t="s">
        <v>437</v>
      </c>
      <c r="UWE91" t="s">
        <v>428</v>
      </c>
      <c r="UWG91" t="s">
        <v>146</v>
      </c>
      <c r="UWH91" t="s">
        <v>145</v>
      </c>
      <c r="UWI91" t="s">
        <v>398</v>
      </c>
      <c r="UWJ91">
        <v>1</v>
      </c>
      <c r="UWK91" t="s">
        <v>436</v>
      </c>
      <c r="UWL91" t="s">
        <v>437</v>
      </c>
      <c r="UWM91" t="s">
        <v>428</v>
      </c>
      <c r="UWO91" t="s">
        <v>146</v>
      </c>
      <c r="UWP91" t="s">
        <v>145</v>
      </c>
      <c r="UWQ91" t="s">
        <v>398</v>
      </c>
      <c r="UWR91">
        <v>1</v>
      </c>
      <c r="UWS91" t="s">
        <v>436</v>
      </c>
      <c r="UWT91" t="s">
        <v>437</v>
      </c>
      <c r="UWU91" t="s">
        <v>428</v>
      </c>
      <c r="UWW91" t="s">
        <v>146</v>
      </c>
      <c r="UWX91" t="s">
        <v>145</v>
      </c>
      <c r="UWY91" t="s">
        <v>398</v>
      </c>
      <c r="UWZ91">
        <v>1</v>
      </c>
      <c r="UXA91" t="s">
        <v>436</v>
      </c>
      <c r="UXB91" t="s">
        <v>437</v>
      </c>
      <c r="UXC91" t="s">
        <v>428</v>
      </c>
      <c r="UXE91" t="s">
        <v>146</v>
      </c>
      <c r="UXF91" t="s">
        <v>145</v>
      </c>
      <c r="UXG91" t="s">
        <v>398</v>
      </c>
      <c r="UXH91">
        <v>1</v>
      </c>
      <c r="UXI91" t="s">
        <v>436</v>
      </c>
      <c r="UXJ91" t="s">
        <v>437</v>
      </c>
      <c r="UXK91" t="s">
        <v>428</v>
      </c>
      <c r="UXM91" t="s">
        <v>146</v>
      </c>
      <c r="UXN91" t="s">
        <v>145</v>
      </c>
      <c r="UXO91" t="s">
        <v>398</v>
      </c>
      <c r="UXP91">
        <v>1</v>
      </c>
      <c r="UXQ91" t="s">
        <v>436</v>
      </c>
      <c r="UXR91" t="s">
        <v>437</v>
      </c>
      <c r="UXS91" t="s">
        <v>428</v>
      </c>
      <c r="UXU91" t="s">
        <v>146</v>
      </c>
      <c r="UXV91" t="s">
        <v>145</v>
      </c>
      <c r="UXW91" t="s">
        <v>398</v>
      </c>
      <c r="UXX91">
        <v>1</v>
      </c>
      <c r="UXY91" t="s">
        <v>436</v>
      </c>
      <c r="UXZ91" t="s">
        <v>437</v>
      </c>
      <c r="UYA91" t="s">
        <v>428</v>
      </c>
      <c r="UYC91" t="s">
        <v>146</v>
      </c>
      <c r="UYD91" t="s">
        <v>145</v>
      </c>
      <c r="UYE91" t="s">
        <v>398</v>
      </c>
      <c r="UYF91">
        <v>1</v>
      </c>
      <c r="UYG91" t="s">
        <v>436</v>
      </c>
      <c r="UYH91" t="s">
        <v>437</v>
      </c>
      <c r="UYI91" t="s">
        <v>428</v>
      </c>
      <c r="UYK91" t="s">
        <v>146</v>
      </c>
      <c r="UYL91" t="s">
        <v>145</v>
      </c>
      <c r="UYM91" t="s">
        <v>398</v>
      </c>
      <c r="UYN91">
        <v>1</v>
      </c>
      <c r="UYO91" t="s">
        <v>436</v>
      </c>
      <c r="UYP91" t="s">
        <v>437</v>
      </c>
      <c r="UYQ91" t="s">
        <v>428</v>
      </c>
      <c r="UYS91" t="s">
        <v>146</v>
      </c>
      <c r="UYT91" t="s">
        <v>145</v>
      </c>
      <c r="UYU91" t="s">
        <v>398</v>
      </c>
      <c r="UYV91">
        <v>1</v>
      </c>
      <c r="UYW91" t="s">
        <v>436</v>
      </c>
      <c r="UYX91" t="s">
        <v>437</v>
      </c>
      <c r="UYY91" t="s">
        <v>428</v>
      </c>
      <c r="UZA91" t="s">
        <v>146</v>
      </c>
      <c r="UZB91" t="s">
        <v>145</v>
      </c>
      <c r="UZC91" t="s">
        <v>398</v>
      </c>
      <c r="UZD91">
        <v>1</v>
      </c>
      <c r="UZE91" t="s">
        <v>436</v>
      </c>
      <c r="UZF91" t="s">
        <v>437</v>
      </c>
      <c r="UZG91" t="s">
        <v>428</v>
      </c>
      <c r="UZI91" t="s">
        <v>146</v>
      </c>
      <c r="UZJ91" t="s">
        <v>145</v>
      </c>
      <c r="UZK91" t="s">
        <v>398</v>
      </c>
      <c r="UZL91">
        <v>1</v>
      </c>
      <c r="UZM91" t="s">
        <v>436</v>
      </c>
      <c r="UZN91" t="s">
        <v>437</v>
      </c>
      <c r="UZO91" t="s">
        <v>428</v>
      </c>
      <c r="UZQ91" t="s">
        <v>146</v>
      </c>
      <c r="UZR91" t="s">
        <v>145</v>
      </c>
      <c r="UZS91" t="s">
        <v>398</v>
      </c>
      <c r="UZT91">
        <v>1</v>
      </c>
      <c r="UZU91" t="s">
        <v>436</v>
      </c>
      <c r="UZV91" t="s">
        <v>437</v>
      </c>
      <c r="UZW91" t="s">
        <v>428</v>
      </c>
      <c r="UZY91" t="s">
        <v>146</v>
      </c>
      <c r="UZZ91" t="s">
        <v>145</v>
      </c>
      <c r="VAA91" t="s">
        <v>398</v>
      </c>
      <c r="VAB91">
        <v>1</v>
      </c>
      <c r="VAC91" t="s">
        <v>436</v>
      </c>
      <c r="VAD91" t="s">
        <v>437</v>
      </c>
      <c r="VAE91" t="s">
        <v>428</v>
      </c>
      <c r="VAG91" t="s">
        <v>146</v>
      </c>
      <c r="VAH91" t="s">
        <v>145</v>
      </c>
      <c r="VAI91" t="s">
        <v>398</v>
      </c>
      <c r="VAJ91">
        <v>1</v>
      </c>
      <c r="VAK91" t="s">
        <v>436</v>
      </c>
      <c r="VAL91" t="s">
        <v>437</v>
      </c>
      <c r="VAM91" t="s">
        <v>428</v>
      </c>
      <c r="VAO91" t="s">
        <v>146</v>
      </c>
      <c r="VAP91" t="s">
        <v>145</v>
      </c>
      <c r="VAQ91" t="s">
        <v>398</v>
      </c>
      <c r="VAR91">
        <v>1</v>
      </c>
      <c r="VAS91" t="s">
        <v>436</v>
      </c>
      <c r="VAT91" t="s">
        <v>437</v>
      </c>
      <c r="VAU91" t="s">
        <v>428</v>
      </c>
      <c r="VAW91" t="s">
        <v>146</v>
      </c>
      <c r="VAX91" t="s">
        <v>145</v>
      </c>
      <c r="VAY91" t="s">
        <v>398</v>
      </c>
      <c r="VAZ91">
        <v>1</v>
      </c>
      <c r="VBA91" t="s">
        <v>436</v>
      </c>
      <c r="VBB91" t="s">
        <v>437</v>
      </c>
      <c r="VBC91" t="s">
        <v>428</v>
      </c>
      <c r="VBE91" t="s">
        <v>146</v>
      </c>
      <c r="VBF91" t="s">
        <v>145</v>
      </c>
      <c r="VBG91" t="s">
        <v>398</v>
      </c>
      <c r="VBH91">
        <v>1</v>
      </c>
      <c r="VBI91" t="s">
        <v>436</v>
      </c>
      <c r="VBJ91" t="s">
        <v>437</v>
      </c>
      <c r="VBK91" t="s">
        <v>428</v>
      </c>
      <c r="VBM91" t="s">
        <v>146</v>
      </c>
      <c r="VBN91" t="s">
        <v>145</v>
      </c>
      <c r="VBO91" t="s">
        <v>398</v>
      </c>
      <c r="VBP91">
        <v>1</v>
      </c>
      <c r="VBQ91" t="s">
        <v>436</v>
      </c>
      <c r="VBR91" t="s">
        <v>437</v>
      </c>
      <c r="VBS91" t="s">
        <v>428</v>
      </c>
      <c r="VBU91" t="s">
        <v>146</v>
      </c>
      <c r="VBV91" t="s">
        <v>145</v>
      </c>
      <c r="VBW91" t="s">
        <v>398</v>
      </c>
      <c r="VBX91">
        <v>1</v>
      </c>
      <c r="VBY91" t="s">
        <v>436</v>
      </c>
      <c r="VBZ91" t="s">
        <v>437</v>
      </c>
      <c r="VCA91" t="s">
        <v>428</v>
      </c>
      <c r="VCC91" t="s">
        <v>146</v>
      </c>
      <c r="VCD91" t="s">
        <v>145</v>
      </c>
      <c r="VCE91" t="s">
        <v>398</v>
      </c>
      <c r="VCF91">
        <v>1</v>
      </c>
      <c r="VCG91" t="s">
        <v>436</v>
      </c>
      <c r="VCH91" t="s">
        <v>437</v>
      </c>
      <c r="VCI91" t="s">
        <v>428</v>
      </c>
      <c r="VCK91" t="s">
        <v>146</v>
      </c>
      <c r="VCL91" t="s">
        <v>145</v>
      </c>
      <c r="VCM91" t="s">
        <v>398</v>
      </c>
      <c r="VCN91">
        <v>1</v>
      </c>
      <c r="VCO91" t="s">
        <v>436</v>
      </c>
      <c r="VCP91" t="s">
        <v>437</v>
      </c>
      <c r="VCQ91" t="s">
        <v>428</v>
      </c>
      <c r="VCS91" t="s">
        <v>146</v>
      </c>
      <c r="VCT91" t="s">
        <v>145</v>
      </c>
      <c r="VCU91" t="s">
        <v>398</v>
      </c>
      <c r="VCV91">
        <v>1</v>
      </c>
      <c r="VCW91" t="s">
        <v>436</v>
      </c>
      <c r="VCX91" t="s">
        <v>437</v>
      </c>
      <c r="VCY91" t="s">
        <v>428</v>
      </c>
      <c r="VDA91" t="s">
        <v>146</v>
      </c>
      <c r="VDB91" t="s">
        <v>145</v>
      </c>
      <c r="VDC91" t="s">
        <v>398</v>
      </c>
      <c r="VDD91">
        <v>1</v>
      </c>
      <c r="VDE91" t="s">
        <v>436</v>
      </c>
      <c r="VDF91" t="s">
        <v>437</v>
      </c>
      <c r="VDG91" t="s">
        <v>428</v>
      </c>
      <c r="VDI91" t="s">
        <v>146</v>
      </c>
      <c r="VDJ91" t="s">
        <v>145</v>
      </c>
      <c r="VDK91" t="s">
        <v>398</v>
      </c>
      <c r="VDL91">
        <v>1</v>
      </c>
      <c r="VDM91" t="s">
        <v>436</v>
      </c>
      <c r="VDN91" t="s">
        <v>437</v>
      </c>
      <c r="VDO91" t="s">
        <v>428</v>
      </c>
      <c r="VDQ91" t="s">
        <v>146</v>
      </c>
      <c r="VDR91" t="s">
        <v>145</v>
      </c>
      <c r="VDS91" t="s">
        <v>398</v>
      </c>
      <c r="VDT91">
        <v>1</v>
      </c>
      <c r="VDU91" t="s">
        <v>436</v>
      </c>
      <c r="VDV91" t="s">
        <v>437</v>
      </c>
      <c r="VDW91" t="s">
        <v>428</v>
      </c>
      <c r="VDY91" t="s">
        <v>146</v>
      </c>
      <c r="VDZ91" t="s">
        <v>145</v>
      </c>
      <c r="VEA91" t="s">
        <v>398</v>
      </c>
      <c r="VEB91">
        <v>1</v>
      </c>
      <c r="VEC91" t="s">
        <v>436</v>
      </c>
      <c r="VED91" t="s">
        <v>437</v>
      </c>
      <c r="VEE91" t="s">
        <v>428</v>
      </c>
      <c r="VEG91" t="s">
        <v>146</v>
      </c>
      <c r="VEH91" t="s">
        <v>145</v>
      </c>
      <c r="VEI91" t="s">
        <v>398</v>
      </c>
      <c r="VEJ91">
        <v>1</v>
      </c>
      <c r="VEK91" t="s">
        <v>436</v>
      </c>
      <c r="VEL91" t="s">
        <v>437</v>
      </c>
      <c r="VEM91" t="s">
        <v>428</v>
      </c>
      <c r="VEO91" t="s">
        <v>146</v>
      </c>
      <c r="VEP91" t="s">
        <v>145</v>
      </c>
      <c r="VEQ91" t="s">
        <v>398</v>
      </c>
      <c r="VER91">
        <v>1</v>
      </c>
      <c r="VES91" t="s">
        <v>436</v>
      </c>
      <c r="VET91" t="s">
        <v>437</v>
      </c>
      <c r="VEU91" t="s">
        <v>428</v>
      </c>
      <c r="VEW91" t="s">
        <v>146</v>
      </c>
      <c r="VEX91" t="s">
        <v>145</v>
      </c>
      <c r="VEY91" t="s">
        <v>398</v>
      </c>
      <c r="VEZ91">
        <v>1</v>
      </c>
      <c r="VFA91" t="s">
        <v>436</v>
      </c>
      <c r="VFB91" t="s">
        <v>437</v>
      </c>
      <c r="VFC91" t="s">
        <v>428</v>
      </c>
      <c r="VFE91" t="s">
        <v>146</v>
      </c>
      <c r="VFF91" t="s">
        <v>145</v>
      </c>
      <c r="VFG91" t="s">
        <v>398</v>
      </c>
      <c r="VFH91">
        <v>1</v>
      </c>
      <c r="VFI91" t="s">
        <v>436</v>
      </c>
      <c r="VFJ91" t="s">
        <v>437</v>
      </c>
      <c r="VFK91" t="s">
        <v>428</v>
      </c>
      <c r="VFM91" t="s">
        <v>146</v>
      </c>
      <c r="VFN91" t="s">
        <v>145</v>
      </c>
      <c r="VFO91" t="s">
        <v>398</v>
      </c>
      <c r="VFP91">
        <v>1</v>
      </c>
      <c r="VFQ91" t="s">
        <v>436</v>
      </c>
      <c r="VFR91" t="s">
        <v>437</v>
      </c>
      <c r="VFS91" t="s">
        <v>428</v>
      </c>
      <c r="VFU91" t="s">
        <v>146</v>
      </c>
      <c r="VFV91" t="s">
        <v>145</v>
      </c>
      <c r="VFW91" t="s">
        <v>398</v>
      </c>
      <c r="VFX91">
        <v>1</v>
      </c>
      <c r="VFY91" t="s">
        <v>436</v>
      </c>
      <c r="VFZ91" t="s">
        <v>437</v>
      </c>
      <c r="VGA91" t="s">
        <v>428</v>
      </c>
      <c r="VGC91" t="s">
        <v>146</v>
      </c>
      <c r="VGD91" t="s">
        <v>145</v>
      </c>
      <c r="VGE91" t="s">
        <v>398</v>
      </c>
      <c r="VGF91">
        <v>1</v>
      </c>
      <c r="VGG91" t="s">
        <v>436</v>
      </c>
      <c r="VGH91" t="s">
        <v>437</v>
      </c>
      <c r="VGI91" t="s">
        <v>428</v>
      </c>
      <c r="VGK91" t="s">
        <v>146</v>
      </c>
      <c r="VGL91" t="s">
        <v>145</v>
      </c>
      <c r="VGM91" t="s">
        <v>398</v>
      </c>
      <c r="VGN91">
        <v>1</v>
      </c>
      <c r="VGO91" t="s">
        <v>436</v>
      </c>
      <c r="VGP91" t="s">
        <v>437</v>
      </c>
      <c r="VGQ91" t="s">
        <v>428</v>
      </c>
      <c r="VGS91" t="s">
        <v>146</v>
      </c>
      <c r="VGT91" t="s">
        <v>145</v>
      </c>
      <c r="VGU91" t="s">
        <v>398</v>
      </c>
      <c r="VGV91">
        <v>1</v>
      </c>
      <c r="VGW91" t="s">
        <v>436</v>
      </c>
      <c r="VGX91" t="s">
        <v>437</v>
      </c>
      <c r="VGY91" t="s">
        <v>428</v>
      </c>
      <c r="VHA91" t="s">
        <v>146</v>
      </c>
      <c r="VHB91" t="s">
        <v>145</v>
      </c>
      <c r="VHC91" t="s">
        <v>398</v>
      </c>
      <c r="VHD91">
        <v>1</v>
      </c>
      <c r="VHE91" t="s">
        <v>436</v>
      </c>
      <c r="VHF91" t="s">
        <v>437</v>
      </c>
      <c r="VHG91" t="s">
        <v>428</v>
      </c>
      <c r="VHI91" t="s">
        <v>146</v>
      </c>
      <c r="VHJ91" t="s">
        <v>145</v>
      </c>
      <c r="VHK91" t="s">
        <v>398</v>
      </c>
      <c r="VHL91">
        <v>1</v>
      </c>
      <c r="VHM91" t="s">
        <v>436</v>
      </c>
      <c r="VHN91" t="s">
        <v>437</v>
      </c>
      <c r="VHO91" t="s">
        <v>428</v>
      </c>
      <c r="VHQ91" t="s">
        <v>146</v>
      </c>
      <c r="VHR91" t="s">
        <v>145</v>
      </c>
      <c r="VHS91" t="s">
        <v>398</v>
      </c>
      <c r="VHT91">
        <v>1</v>
      </c>
      <c r="VHU91" t="s">
        <v>436</v>
      </c>
      <c r="VHV91" t="s">
        <v>437</v>
      </c>
      <c r="VHW91" t="s">
        <v>428</v>
      </c>
      <c r="VHY91" t="s">
        <v>146</v>
      </c>
      <c r="VHZ91" t="s">
        <v>145</v>
      </c>
      <c r="VIA91" t="s">
        <v>398</v>
      </c>
      <c r="VIB91">
        <v>1</v>
      </c>
      <c r="VIC91" t="s">
        <v>436</v>
      </c>
      <c r="VID91" t="s">
        <v>437</v>
      </c>
      <c r="VIE91" t="s">
        <v>428</v>
      </c>
      <c r="VIG91" t="s">
        <v>146</v>
      </c>
      <c r="VIH91" t="s">
        <v>145</v>
      </c>
      <c r="VII91" t="s">
        <v>398</v>
      </c>
      <c r="VIJ91">
        <v>1</v>
      </c>
      <c r="VIK91" t="s">
        <v>436</v>
      </c>
      <c r="VIL91" t="s">
        <v>437</v>
      </c>
      <c r="VIM91" t="s">
        <v>428</v>
      </c>
      <c r="VIO91" t="s">
        <v>146</v>
      </c>
      <c r="VIP91" t="s">
        <v>145</v>
      </c>
      <c r="VIQ91" t="s">
        <v>398</v>
      </c>
      <c r="VIR91">
        <v>1</v>
      </c>
      <c r="VIS91" t="s">
        <v>436</v>
      </c>
      <c r="VIT91" t="s">
        <v>437</v>
      </c>
      <c r="VIU91" t="s">
        <v>428</v>
      </c>
      <c r="VIW91" t="s">
        <v>146</v>
      </c>
      <c r="VIX91" t="s">
        <v>145</v>
      </c>
      <c r="VIY91" t="s">
        <v>398</v>
      </c>
      <c r="VIZ91">
        <v>1</v>
      </c>
      <c r="VJA91" t="s">
        <v>436</v>
      </c>
      <c r="VJB91" t="s">
        <v>437</v>
      </c>
      <c r="VJC91" t="s">
        <v>428</v>
      </c>
      <c r="VJE91" t="s">
        <v>146</v>
      </c>
      <c r="VJF91" t="s">
        <v>145</v>
      </c>
      <c r="VJG91" t="s">
        <v>398</v>
      </c>
      <c r="VJH91">
        <v>1</v>
      </c>
      <c r="VJI91" t="s">
        <v>436</v>
      </c>
      <c r="VJJ91" t="s">
        <v>437</v>
      </c>
      <c r="VJK91" t="s">
        <v>428</v>
      </c>
      <c r="VJM91" t="s">
        <v>146</v>
      </c>
      <c r="VJN91" t="s">
        <v>145</v>
      </c>
      <c r="VJO91" t="s">
        <v>398</v>
      </c>
      <c r="VJP91">
        <v>1</v>
      </c>
      <c r="VJQ91" t="s">
        <v>436</v>
      </c>
      <c r="VJR91" t="s">
        <v>437</v>
      </c>
      <c r="VJS91" t="s">
        <v>428</v>
      </c>
      <c r="VJU91" t="s">
        <v>146</v>
      </c>
      <c r="VJV91" t="s">
        <v>145</v>
      </c>
      <c r="VJW91" t="s">
        <v>398</v>
      </c>
      <c r="VJX91">
        <v>1</v>
      </c>
      <c r="VJY91" t="s">
        <v>436</v>
      </c>
      <c r="VJZ91" t="s">
        <v>437</v>
      </c>
      <c r="VKA91" t="s">
        <v>428</v>
      </c>
      <c r="VKC91" t="s">
        <v>146</v>
      </c>
      <c r="VKD91" t="s">
        <v>145</v>
      </c>
      <c r="VKE91" t="s">
        <v>398</v>
      </c>
      <c r="VKF91">
        <v>1</v>
      </c>
      <c r="VKG91" t="s">
        <v>436</v>
      </c>
      <c r="VKH91" t="s">
        <v>437</v>
      </c>
      <c r="VKI91" t="s">
        <v>428</v>
      </c>
      <c r="VKK91" t="s">
        <v>146</v>
      </c>
      <c r="VKL91" t="s">
        <v>145</v>
      </c>
      <c r="VKM91" t="s">
        <v>398</v>
      </c>
      <c r="VKN91">
        <v>1</v>
      </c>
      <c r="VKO91" t="s">
        <v>436</v>
      </c>
      <c r="VKP91" t="s">
        <v>437</v>
      </c>
      <c r="VKQ91" t="s">
        <v>428</v>
      </c>
      <c r="VKS91" t="s">
        <v>146</v>
      </c>
      <c r="VKT91" t="s">
        <v>145</v>
      </c>
      <c r="VKU91" t="s">
        <v>398</v>
      </c>
      <c r="VKV91">
        <v>1</v>
      </c>
      <c r="VKW91" t="s">
        <v>436</v>
      </c>
      <c r="VKX91" t="s">
        <v>437</v>
      </c>
      <c r="VKY91" t="s">
        <v>428</v>
      </c>
      <c r="VLA91" t="s">
        <v>146</v>
      </c>
      <c r="VLB91" t="s">
        <v>145</v>
      </c>
      <c r="VLC91" t="s">
        <v>398</v>
      </c>
      <c r="VLD91">
        <v>1</v>
      </c>
      <c r="VLE91" t="s">
        <v>436</v>
      </c>
      <c r="VLF91" t="s">
        <v>437</v>
      </c>
      <c r="VLG91" t="s">
        <v>428</v>
      </c>
      <c r="VLI91" t="s">
        <v>146</v>
      </c>
      <c r="VLJ91" t="s">
        <v>145</v>
      </c>
      <c r="VLK91" t="s">
        <v>398</v>
      </c>
      <c r="VLL91">
        <v>1</v>
      </c>
      <c r="VLM91" t="s">
        <v>436</v>
      </c>
      <c r="VLN91" t="s">
        <v>437</v>
      </c>
      <c r="VLO91" t="s">
        <v>428</v>
      </c>
      <c r="VLQ91" t="s">
        <v>146</v>
      </c>
      <c r="VLR91" t="s">
        <v>145</v>
      </c>
      <c r="VLS91" t="s">
        <v>398</v>
      </c>
      <c r="VLT91">
        <v>1</v>
      </c>
      <c r="VLU91" t="s">
        <v>436</v>
      </c>
      <c r="VLV91" t="s">
        <v>437</v>
      </c>
      <c r="VLW91" t="s">
        <v>428</v>
      </c>
      <c r="VLY91" t="s">
        <v>146</v>
      </c>
      <c r="VLZ91" t="s">
        <v>145</v>
      </c>
      <c r="VMA91" t="s">
        <v>398</v>
      </c>
      <c r="VMB91">
        <v>1</v>
      </c>
      <c r="VMC91" t="s">
        <v>436</v>
      </c>
      <c r="VMD91" t="s">
        <v>437</v>
      </c>
      <c r="VME91" t="s">
        <v>428</v>
      </c>
      <c r="VMG91" t="s">
        <v>146</v>
      </c>
      <c r="VMH91" t="s">
        <v>145</v>
      </c>
      <c r="VMI91" t="s">
        <v>398</v>
      </c>
      <c r="VMJ91">
        <v>1</v>
      </c>
      <c r="VMK91" t="s">
        <v>436</v>
      </c>
      <c r="VML91" t="s">
        <v>437</v>
      </c>
      <c r="VMM91" t="s">
        <v>428</v>
      </c>
      <c r="VMO91" t="s">
        <v>146</v>
      </c>
      <c r="VMP91" t="s">
        <v>145</v>
      </c>
      <c r="VMQ91" t="s">
        <v>398</v>
      </c>
      <c r="VMR91">
        <v>1</v>
      </c>
      <c r="VMS91" t="s">
        <v>436</v>
      </c>
      <c r="VMT91" t="s">
        <v>437</v>
      </c>
      <c r="VMU91" t="s">
        <v>428</v>
      </c>
      <c r="VMW91" t="s">
        <v>146</v>
      </c>
      <c r="VMX91" t="s">
        <v>145</v>
      </c>
      <c r="VMY91" t="s">
        <v>398</v>
      </c>
      <c r="VMZ91">
        <v>1</v>
      </c>
      <c r="VNA91" t="s">
        <v>436</v>
      </c>
      <c r="VNB91" t="s">
        <v>437</v>
      </c>
      <c r="VNC91" t="s">
        <v>428</v>
      </c>
      <c r="VNE91" t="s">
        <v>146</v>
      </c>
      <c r="VNF91" t="s">
        <v>145</v>
      </c>
      <c r="VNG91" t="s">
        <v>398</v>
      </c>
      <c r="VNH91">
        <v>1</v>
      </c>
      <c r="VNI91" t="s">
        <v>436</v>
      </c>
      <c r="VNJ91" t="s">
        <v>437</v>
      </c>
      <c r="VNK91" t="s">
        <v>428</v>
      </c>
      <c r="VNM91" t="s">
        <v>146</v>
      </c>
      <c r="VNN91" t="s">
        <v>145</v>
      </c>
      <c r="VNO91" t="s">
        <v>398</v>
      </c>
      <c r="VNP91">
        <v>1</v>
      </c>
      <c r="VNQ91" t="s">
        <v>436</v>
      </c>
      <c r="VNR91" t="s">
        <v>437</v>
      </c>
      <c r="VNS91" t="s">
        <v>428</v>
      </c>
      <c r="VNU91" t="s">
        <v>146</v>
      </c>
      <c r="VNV91" t="s">
        <v>145</v>
      </c>
      <c r="VNW91" t="s">
        <v>398</v>
      </c>
      <c r="VNX91">
        <v>1</v>
      </c>
      <c r="VNY91" t="s">
        <v>436</v>
      </c>
      <c r="VNZ91" t="s">
        <v>437</v>
      </c>
      <c r="VOA91" t="s">
        <v>428</v>
      </c>
      <c r="VOC91" t="s">
        <v>146</v>
      </c>
      <c r="VOD91" t="s">
        <v>145</v>
      </c>
      <c r="VOE91" t="s">
        <v>398</v>
      </c>
      <c r="VOF91">
        <v>1</v>
      </c>
      <c r="VOG91" t="s">
        <v>436</v>
      </c>
      <c r="VOH91" t="s">
        <v>437</v>
      </c>
      <c r="VOI91" t="s">
        <v>428</v>
      </c>
      <c r="VOK91" t="s">
        <v>146</v>
      </c>
      <c r="VOL91" t="s">
        <v>145</v>
      </c>
      <c r="VOM91" t="s">
        <v>398</v>
      </c>
      <c r="VON91">
        <v>1</v>
      </c>
      <c r="VOO91" t="s">
        <v>436</v>
      </c>
      <c r="VOP91" t="s">
        <v>437</v>
      </c>
      <c r="VOQ91" t="s">
        <v>428</v>
      </c>
      <c r="VOS91" t="s">
        <v>146</v>
      </c>
      <c r="VOT91" t="s">
        <v>145</v>
      </c>
      <c r="VOU91" t="s">
        <v>398</v>
      </c>
      <c r="VOV91">
        <v>1</v>
      </c>
      <c r="VOW91" t="s">
        <v>436</v>
      </c>
      <c r="VOX91" t="s">
        <v>437</v>
      </c>
      <c r="VOY91" t="s">
        <v>428</v>
      </c>
      <c r="VPA91" t="s">
        <v>146</v>
      </c>
      <c r="VPB91" t="s">
        <v>145</v>
      </c>
      <c r="VPC91" t="s">
        <v>398</v>
      </c>
      <c r="VPD91">
        <v>1</v>
      </c>
      <c r="VPE91" t="s">
        <v>436</v>
      </c>
      <c r="VPF91" t="s">
        <v>437</v>
      </c>
      <c r="VPG91" t="s">
        <v>428</v>
      </c>
      <c r="VPI91" t="s">
        <v>146</v>
      </c>
      <c r="VPJ91" t="s">
        <v>145</v>
      </c>
      <c r="VPK91" t="s">
        <v>398</v>
      </c>
      <c r="VPL91">
        <v>1</v>
      </c>
      <c r="VPM91" t="s">
        <v>436</v>
      </c>
      <c r="VPN91" t="s">
        <v>437</v>
      </c>
      <c r="VPO91" t="s">
        <v>428</v>
      </c>
      <c r="VPQ91" t="s">
        <v>146</v>
      </c>
      <c r="VPR91" t="s">
        <v>145</v>
      </c>
      <c r="VPS91" t="s">
        <v>398</v>
      </c>
      <c r="VPT91">
        <v>1</v>
      </c>
      <c r="VPU91" t="s">
        <v>436</v>
      </c>
      <c r="VPV91" t="s">
        <v>437</v>
      </c>
      <c r="VPW91" t="s">
        <v>428</v>
      </c>
      <c r="VPY91" t="s">
        <v>146</v>
      </c>
      <c r="VPZ91" t="s">
        <v>145</v>
      </c>
      <c r="VQA91" t="s">
        <v>398</v>
      </c>
      <c r="VQB91">
        <v>1</v>
      </c>
      <c r="VQC91" t="s">
        <v>436</v>
      </c>
      <c r="VQD91" t="s">
        <v>437</v>
      </c>
      <c r="VQE91" t="s">
        <v>428</v>
      </c>
      <c r="VQG91" t="s">
        <v>146</v>
      </c>
      <c r="VQH91" t="s">
        <v>145</v>
      </c>
      <c r="VQI91" t="s">
        <v>398</v>
      </c>
      <c r="VQJ91">
        <v>1</v>
      </c>
      <c r="VQK91" t="s">
        <v>436</v>
      </c>
      <c r="VQL91" t="s">
        <v>437</v>
      </c>
      <c r="VQM91" t="s">
        <v>428</v>
      </c>
      <c r="VQO91" t="s">
        <v>146</v>
      </c>
      <c r="VQP91" t="s">
        <v>145</v>
      </c>
      <c r="VQQ91" t="s">
        <v>398</v>
      </c>
      <c r="VQR91">
        <v>1</v>
      </c>
      <c r="VQS91" t="s">
        <v>436</v>
      </c>
      <c r="VQT91" t="s">
        <v>437</v>
      </c>
      <c r="VQU91" t="s">
        <v>428</v>
      </c>
      <c r="VQW91" t="s">
        <v>146</v>
      </c>
      <c r="VQX91" t="s">
        <v>145</v>
      </c>
      <c r="VQY91" t="s">
        <v>398</v>
      </c>
      <c r="VQZ91">
        <v>1</v>
      </c>
      <c r="VRA91" t="s">
        <v>436</v>
      </c>
      <c r="VRB91" t="s">
        <v>437</v>
      </c>
      <c r="VRC91" t="s">
        <v>428</v>
      </c>
      <c r="VRE91" t="s">
        <v>146</v>
      </c>
      <c r="VRF91" t="s">
        <v>145</v>
      </c>
      <c r="VRG91" t="s">
        <v>398</v>
      </c>
      <c r="VRH91">
        <v>1</v>
      </c>
      <c r="VRI91" t="s">
        <v>436</v>
      </c>
      <c r="VRJ91" t="s">
        <v>437</v>
      </c>
      <c r="VRK91" t="s">
        <v>428</v>
      </c>
      <c r="VRM91" t="s">
        <v>146</v>
      </c>
      <c r="VRN91" t="s">
        <v>145</v>
      </c>
      <c r="VRO91" t="s">
        <v>398</v>
      </c>
      <c r="VRP91">
        <v>1</v>
      </c>
      <c r="VRQ91" t="s">
        <v>436</v>
      </c>
      <c r="VRR91" t="s">
        <v>437</v>
      </c>
      <c r="VRS91" t="s">
        <v>428</v>
      </c>
      <c r="VRU91" t="s">
        <v>146</v>
      </c>
      <c r="VRV91" t="s">
        <v>145</v>
      </c>
      <c r="VRW91" t="s">
        <v>398</v>
      </c>
      <c r="VRX91">
        <v>1</v>
      </c>
      <c r="VRY91" t="s">
        <v>436</v>
      </c>
      <c r="VRZ91" t="s">
        <v>437</v>
      </c>
      <c r="VSA91" t="s">
        <v>428</v>
      </c>
      <c r="VSC91" t="s">
        <v>146</v>
      </c>
      <c r="VSD91" t="s">
        <v>145</v>
      </c>
      <c r="VSE91" t="s">
        <v>398</v>
      </c>
      <c r="VSF91">
        <v>1</v>
      </c>
      <c r="VSG91" t="s">
        <v>436</v>
      </c>
      <c r="VSH91" t="s">
        <v>437</v>
      </c>
      <c r="VSI91" t="s">
        <v>428</v>
      </c>
      <c r="VSK91" t="s">
        <v>146</v>
      </c>
      <c r="VSL91" t="s">
        <v>145</v>
      </c>
      <c r="VSM91" t="s">
        <v>398</v>
      </c>
      <c r="VSN91">
        <v>1</v>
      </c>
      <c r="VSO91" t="s">
        <v>436</v>
      </c>
      <c r="VSP91" t="s">
        <v>437</v>
      </c>
      <c r="VSQ91" t="s">
        <v>428</v>
      </c>
      <c r="VSS91" t="s">
        <v>146</v>
      </c>
      <c r="VST91" t="s">
        <v>145</v>
      </c>
      <c r="VSU91" t="s">
        <v>398</v>
      </c>
      <c r="VSV91">
        <v>1</v>
      </c>
      <c r="VSW91" t="s">
        <v>436</v>
      </c>
      <c r="VSX91" t="s">
        <v>437</v>
      </c>
      <c r="VSY91" t="s">
        <v>428</v>
      </c>
      <c r="VTA91" t="s">
        <v>146</v>
      </c>
      <c r="VTB91" t="s">
        <v>145</v>
      </c>
      <c r="VTC91" t="s">
        <v>398</v>
      </c>
      <c r="VTD91">
        <v>1</v>
      </c>
      <c r="VTE91" t="s">
        <v>436</v>
      </c>
      <c r="VTF91" t="s">
        <v>437</v>
      </c>
      <c r="VTG91" t="s">
        <v>428</v>
      </c>
      <c r="VTI91" t="s">
        <v>146</v>
      </c>
      <c r="VTJ91" t="s">
        <v>145</v>
      </c>
      <c r="VTK91" t="s">
        <v>398</v>
      </c>
      <c r="VTL91">
        <v>1</v>
      </c>
      <c r="VTM91" t="s">
        <v>436</v>
      </c>
      <c r="VTN91" t="s">
        <v>437</v>
      </c>
      <c r="VTO91" t="s">
        <v>428</v>
      </c>
      <c r="VTQ91" t="s">
        <v>146</v>
      </c>
      <c r="VTR91" t="s">
        <v>145</v>
      </c>
      <c r="VTS91" t="s">
        <v>398</v>
      </c>
      <c r="VTT91">
        <v>1</v>
      </c>
      <c r="VTU91" t="s">
        <v>436</v>
      </c>
      <c r="VTV91" t="s">
        <v>437</v>
      </c>
      <c r="VTW91" t="s">
        <v>428</v>
      </c>
      <c r="VTY91" t="s">
        <v>146</v>
      </c>
      <c r="VTZ91" t="s">
        <v>145</v>
      </c>
      <c r="VUA91" t="s">
        <v>398</v>
      </c>
      <c r="VUB91">
        <v>1</v>
      </c>
      <c r="VUC91" t="s">
        <v>436</v>
      </c>
      <c r="VUD91" t="s">
        <v>437</v>
      </c>
      <c r="VUE91" t="s">
        <v>428</v>
      </c>
      <c r="VUG91" t="s">
        <v>146</v>
      </c>
      <c r="VUH91" t="s">
        <v>145</v>
      </c>
      <c r="VUI91" t="s">
        <v>398</v>
      </c>
      <c r="VUJ91">
        <v>1</v>
      </c>
      <c r="VUK91" t="s">
        <v>436</v>
      </c>
      <c r="VUL91" t="s">
        <v>437</v>
      </c>
      <c r="VUM91" t="s">
        <v>428</v>
      </c>
      <c r="VUO91" t="s">
        <v>146</v>
      </c>
      <c r="VUP91" t="s">
        <v>145</v>
      </c>
      <c r="VUQ91" t="s">
        <v>398</v>
      </c>
      <c r="VUR91">
        <v>1</v>
      </c>
      <c r="VUS91" t="s">
        <v>436</v>
      </c>
      <c r="VUT91" t="s">
        <v>437</v>
      </c>
      <c r="VUU91" t="s">
        <v>428</v>
      </c>
      <c r="VUW91" t="s">
        <v>146</v>
      </c>
      <c r="VUX91" t="s">
        <v>145</v>
      </c>
      <c r="VUY91" t="s">
        <v>398</v>
      </c>
      <c r="VUZ91">
        <v>1</v>
      </c>
      <c r="VVA91" t="s">
        <v>436</v>
      </c>
      <c r="VVB91" t="s">
        <v>437</v>
      </c>
      <c r="VVC91" t="s">
        <v>428</v>
      </c>
      <c r="VVE91" t="s">
        <v>146</v>
      </c>
      <c r="VVF91" t="s">
        <v>145</v>
      </c>
      <c r="VVG91" t="s">
        <v>398</v>
      </c>
      <c r="VVH91">
        <v>1</v>
      </c>
      <c r="VVI91" t="s">
        <v>436</v>
      </c>
      <c r="VVJ91" t="s">
        <v>437</v>
      </c>
      <c r="VVK91" t="s">
        <v>428</v>
      </c>
      <c r="VVM91" t="s">
        <v>146</v>
      </c>
      <c r="VVN91" t="s">
        <v>145</v>
      </c>
      <c r="VVO91" t="s">
        <v>398</v>
      </c>
      <c r="VVP91">
        <v>1</v>
      </c>
      <c r="VVQ91" t="s">
        <v>436</v>
      </c>
      <c r="VVR91" t="s">
        <v>437</v>
      </c>
      <c r="VVS91" t="s">
        <v>428</v>
      </c>
      <c r="VVU91" t="s">
        <v>146</v>
      </c>
      <c r="VVV91" t="s">
        <v>145</v>
      </c>
      <c r="VVW91" t="s">
        <v>398</v>
      </c>
      <c r="VVX91">
        <v>1</v>
      </c>
      <c r="VVY91" t="s">
        <v>436</v>
      </c>
      <c r="VVZ91" t="s">
        <v>437</v>
      </c>
      <c r="VWA91" t="s">
        <v>428</v>
      </c>
      <c r="VWC91" t="s">
        <v>146</v>
      </c>
      <c r="VWD91" t="s">
        <v>145</v>
      </c>
      <c r="VWE91" t="s">
        <v>398</v>
      </c>
      <c r="VWF91">
        <v>1</v>
      </c>
      <c r="VWG91" t="s">
        <v>436</v>
      </c>
      <c r="VWH91" t="s">
        <v>437</v>
      </c>
      <c r="VWI91" t="s">
        <v>428</v>
      </c>
      <c r="VWK91" t="s">
        <v>146</v>
      </c>
      <c r="VWL91" t="s">
        <v>145</v>
      </c>
      <c r="VWM91" t="s">
        <v>398</v>
      </c>
      <c r="VWN91">
        <v>1</v>
      </c>
      <c r="VWO91" t="s">
        <v>436</v>
      </c>
      <c r="VWP91" t="s">
        <v>437</v>
      </c>
      <c r="VWQ91" t="s">
        <v>428</v>
      </c>
      <c r="VWS91" t="s">
        <v>146</v>
      </c>
      <c r="VWT91" t="s">
        <v>145</v>
      </c>
      <c r="VWU91" t="s">
        <v>398</v>
      </c>
      <c r="VWV91">
        <v>1</v>
      </c>
      <c r="VWW91" t="s">
        <v>436</v>
      </c>
      <c r="VWX91" t="s">
        <v>437</v>
      </c>
      <c r="VWY91" t="s">
        <v>428</v>
      </c>
      <c r="VXA91" t="s">
        <v>146</v>
      </c>
      <c r="VXB91" t="s">
        <v>145</v>
      </c>
      <c r="VXC91" t="s">
        <v>398</v>
      </c>
      <c r="VXD91">
        <v>1</v>
      </c>
      <c r="VXE91" t="s">
        <v>436</v>
      </c>
      <c r="VXF91" t="s">
        <v>437</v>
      </c>
      <c r="VXG91" t="s">
        <v>428</v>
      </c>
      <c r="VXI91" t="s">
        <v>146</v>
      </c>
      <c r="VXJ91" t="s">
        <v>145</v>
      </c>
      <c r="VXK91" t="s">
        <v>398</v>
      </c>
      <c r="VXL91">
        <v>1</v>
      </c>
      <c r="VXM91" t="s">
        <v>436</v>
      </c>
      <c r="VXN91" t="s">
        <v>437</v>
      </c>
      <c r="VXO91" t="s">
        <v>428</v>
      </c>
      <c r="VXQ91" t="s">
        <v>146</v>
      </c>
      <c r="VXR91" t="s">
        <v>145</v>
      </c>
      <c r="VXS91" t="s">
        <v>398</v>
      </c>
      <c r="VXT91">
        <v>1</v>
      </c>
      <c r="VXU91" t="s">
        <v>436</v>
      </c>
      <c r="VXV91" t="s">
        <v>437</v>
      </c>
      <c r="VXW91" t="s">
        <v>428</v>
      </c>
      <c r="VXY91" t="s">
        <v>146</v>
      </c>
      <c r="VXZ91" t="s">
        <v>145</v>
      </c>
      <c r="VYA91" t="s">
        <v>398</v>
      </c>
      <c r="VYB91">
        <v>1</v>
      </c>
      <c r="VYC91" t="s">
        <v>436</v>
      </c>
      <c r="VYD91" t="s">
        <v>437</v>
      </c>
      <c r="VYE91" t="s">
        <v>428</v>
      </c>
      <c r="VYG91" t="s">
        <v>146</v>
      </c>
      <c r="VYH91" t="s">
        <v>145</v>
      </c>
      <c r="VYI91" t="s">
        <v>398</v>
      </c>
      <c r="VYJ91">
        <v>1</v>
      </c>
      <c r="VYK91" t="s">
        <v>436</v>
      </c>
      <c r="VYL91" t="s">
        <v>437</v>
      </c>
      <c r="VYM91" t="s">
        <v>428</v>
      </c>
      <c r="VYO91" t="s">
        <v>146</v>
      </c>
      <c r="VYP91" t="s">
        <v>145</v>
      </c>
      <c r="VYQ91" t="s">
        <v>398</v>
      </c>
      <c r="VYR91">
        <v>1</v>
      </c>
      <c r="VYS91" t="s">
        <v>436</v>
      </c>
      <c r="VYT91" t="s">
        <v>437</v>
      </c>
      <c r="VYU91" t="s">
        <v>428</v>
      </c>
      <c r="VYW91" t="s">
        <v>146</v>
      </c>
      <c r="VYX91" t="s">
        <v>145</v>
      </c>
      <c r="VYY91" t="s">
        <v>398</v>
      </c>
      <c r="VYZ91">
        <v>1</v>
      </c>
      <c r="VZA91" t="s">
        <v>436</v>
      </c>
      <c r="VZB91" t="s">
        <v>437</v>
      </c>
      <c r="VZC91" t="s">
        <v>428</v>
      </c>
      <c r="VZE91" t="s">
        <v>146</v>
      </c>
      <c r="VZF91" t="s">
        <v>145</v>
      </c>
      <c r="VZG91" t="s">
        <v>398</v>
      </c>
      <c r="VZH91">
        <v>1</v>
      </c>
      <c r="VZI91" t="s">
        <v>436</v>
      </c>
      <c r="VZJ91" t="s">
        <v>437</v>
      </c>
      <c r="VZK91" t="s">
        <v>428</v>
      </c>
      <c r="VZM91" t="s">
        <v>146</v>
      </c>
      <c r="VZN91" t="s">
        <v>145</v>
      </c>
      <c r="VZO91" t="s">
        <v>398</v>
      </c>
      <c r="VZP91">
        <v>1</v>
      </c>
      <c r="VZQ91" t="s">
        <v>436</v>
      </c>
      <c r="VZR91" t="s">
        <v>437</v>
      </c>
      <c r="VZS91" t="s">
        <v>428</v>
      </c>
      <c r="VZU91" t="s">
        <v>146</v>
      </c>
      <c r="VZV91" t="s">
        <v>145</v>
      </c>
      <c r="VZW91" t="s">
        <v>398</v>
      </c>
      <c r="VZX91">
        <v>1</v>
      </c>
      <c r="VZY91" t="s">
        <v>436</v>
      </c>
      <c r="VZZ91" t="s">
        <v>437</v>
      </c>
      <c r="WAA91" t="s">
        <v>428</v>
      </c>
      <c r="WAC91" t="s">
        <v>146</v>
      </c>
      <c r="WAD91" t="s">
        <v>145</v>
      </c>
      <c r="WAE91" t="s">
        <v>398</v>
      </c>
      <c r="WAF91">
        <v>1</v>
      </c>
      <c r="WAG91" t="s">
        <v>436</v>
      </c>
      <c r="WAH91" t="s">
        <v>437</v>
      </c>
      <c r="WAI91" t="s">
        <v>428</v>
      </c>
      <c r="WAK91" t="s">
        <v>146</v>
      </c>
      <c r="WAL91" t="s">
        <v>145</v>
      </c>
      <c r="WAM91" t="s">
        <v>398</v>
      </c>
      <c r="WAN91">
        <v>1</v>
      </c>
      <c r="WAO91" t="s">
        <v>436</v>
      </c>
      <c r="WAP91" t="s">
        <v>437</v>
      </c>
      <c r="WAQ91" t="s">
        <v>428</v>
      </c>
      <c r="WAS91" t="s">
        <v>146</v>
      </c>
      <c r="WAT91" t="s">
        <v>145</v>
      </c>
      <c r="WAU91" t="s">
        <v>398</v>
      </c>
      <c r="WAV91">
        <v>1</v>
      </c>
      <c r="WAW91" t="s">
        <v>436</v>
      </c>
      <c r="WAX91" t="s">
        <v>437</v>
      </c>
      <c r="WAY91" t="s">
        <v>428</v>
      </c>
      <c r="WBA91" t="s">
        <v>146</v>
      </c>
      <c r="WBB91" t="s">
        <v>145</v>
      </c>
      <c r="WBC91" t="s">
        <v>398</v>
      </c>
      <c r="WBD91">
        <v>1</v>
      </c>
      <c r="WBE91" t="s">
        <v>436</v>
      </c>
      <c r="WBF91" t="s">
        <v>437</v>
      </c>
      <c r="WBG91" t="s">
        <v>428</v>
      </c>
      <c r="WBI91" t="s">
        <v>146</v>
      </c>
      <c r="WBJ91" t="s">
        <v>145</v>
      </c>
      <c r="WBK91" t="s">
        <v>398</v>
      </c>
      <c r="WBL91">
        <v>1</v>
      </c>
      <c r="WBM91" t="s">
        <v>436</v>
      </c>
      <c r="WBN91" t="s">
        <v>437</v>
      </c>
      <c r="WBO91" t="s">
        <v>428</v>
      </c>
      <c r="WBQ91" t="s">
        <v>146</v>
      </c>
      <c r="WBR91" t="s">
        <v>145</v>
      </c>
      <c r="WBS91" t="s">
        <v>398</v>
      </c>
      <c r="WBT91">
        <v>1</v>
      </c>
      <c r="WBU91" t="s">
        <v>436</v>
      </c>
      <c r="WBV91" t="s">
        <v>437</v>
      </c>
      <c r="WBW91" t="s">
        <v>428</v>
      </c>
      <c r="WBY91" t="s">
        <v>146</v>
      </c>
      <c r="WBZ91" t="s">
        <v>145</v>
      </c>
      <c r="WCA91" t="s">
        <v>398</v>
      </c>
      <c r="WCB91">
        <v>1</v>
      </c>
      <c r="WCC91" t="s">
        <v>436</v>
      </c>
      <c r="WCD91" t="s">
        <v>437</v>
      </c>
      <c r="WCE91" t="s">
        <v>428</v>
      </c>
      <c r="WCG91" t="s">
        <v>146</v>
      </c>
      <c r="WCH91" t="s">
        <v>145</v>
      </c>
      <c r="WCI91" t="s">
        <v>398</v>
      </c>
      <c r="WCJ91">
        <v>1</v>
      </c>
      <c r="WCK91" t="s">
        <v>436</v>
      </c>
      <c r="WCL91" t="s">
        <v>437</v>
      </c>
      <c r="WCM91" t="s">
        <v>428</v>
      </c>
      <c r="WCO91" t="s">
        <v>146</v>
      </c>
      <c r="WCP91" t="s">
        <v>145</v>
      </c>
      <c r="WCQ91" t="s">
        <v>398</v>
      </c>
      <c r="WCR91">
        <v>1</v>
      </c>
      <c r="WCS91" t="s">
        <v>436</v>
      </c>
      <c r="WCT91" t="s">
        <v>437</v>
      </c>
      <c r="WCU91" t="s">
        <v>428</v>
      </c>
      <c r="WCW91" t="s">
        <v>146</v>
      </c>
      <c r="WCX91" t="s">
        <v>145</v>
      </c>
      <c r="WCY91" t="s">
        <v>398</v>
      </c>
      <c r="WCZ91">
        <v>1</v>
      </c>
      <c r="WDA91" t="s">
        <v>436</v>
      </c>
      <c r="WDB91" t="s">
        <v>437</v>
      </c>
      <c r="WDC91" t="s">
        <v>428</v>
      </c>
      <c r="WDE91" t="s">
        <v>146</v>
      </c>
      <c r="WDF91" t="s">
        <v>145</v>
      </c>
      <c r="WDG91" t="s">
        <v>398</v>
      </c>
      <c r="WDH91">
        <v>1</v>
      </c>
      <c r="WDI91" t="s">
        <v>436</v>
      </c>
      <c r="WDJ91" t="s">
        <v>437</v>
      </c>
      <c r="WDK91" t="s">
        <v>428</v>
      </c>
      <c r="WDM91" t="s">
        <v>146</v>
      </c>
      <c r="WDN91" t="s">
        <v>145</v>
      </c>
      <c r="WDO91" t="s">
        <v>398</v>
      </c>
      <c r="WDP91">
        <v>1</v>
      </c>
      <c r="WDQ91" t="s">
        <v>436</v>
      </c>
      <c r="WDR91" t="s">
        <v>437</v>
      </c>
      <c r="WDS91" t="s">
        <v>428</v>
      </c>
      <c r="WDU91" t="s">
        <v>146</v>
      </c>
      <c r="WDV91" t="s">
        <v>145</v>
      </c>
      <c r="WDW91" t="s">
        <v>398</v>
      </c>
      <c r="WDX91">
        <v>1</v>
      </c>
      <c r="WDY91" t="s">
        <v>436</v>
      </c>
      <c r="WDZ91" t="s">
        <v>437</v>
      </c>
      <c r="WEA91" t="s">
        <v>428</v>
      </c>
      <c r="WEC91" t="s">
        <v>146</v>
      </c>
      <c r="WED91" t="s">
        <v>145</v>
      </c>
      <c r="WEE91" t="s">
        <v>398</v>
      </c>
      <c r="WEF91">
        <v>1</v>
      </c>
      <c r="WEG91" t="s">
        <v>436</v>
      </c>
      <c r="WEH91" t="s">
        <v>437</v>
      </c>
      <c r="WEI91" t="s">
        <v>428</v>
      </c>
      <c r="WEK91" t="s">
        <v>146</v>
      </c>
      <c r="WEL91" t="s">
        <v>145</v>
      </c>
      <c r="WEM91" t="s">
        <v>398</v>
      </c>
      <c r="WEN91">
        <v>1</v>
      </c>
      <c r="WEO91" t="s">
        <v>436</v>
      </c>
      <c r="WEP91" t="s">
        <v>437</v>
      </c>
      <c r="WEQ91" t="s">
        <v>428</v>
      </c>
      <c r="WES91" t="s">
        <v>146</v>
      </c>
      <c r="WET91" t="s">
        <v>145</v>
      </c>
      <c r="WEU91" t="s">
        <v>398</v>
      </c>
      <c r="WEV91">
        <v>1</v>
      </c>
      <c r="WEW91" t="s">
        <v>436</v>
      </c>
      <c r="WEX91" t="s">
        <v>437</v>
      </c>
      <c r="WEY91" t="s">
        <v>428</v>
      </c>
      <c r="WFA91" t="s">
        <v>146</v>
      </c>
      <c r="WFB91" t="s">
        <v>145</v>
      </c>
      <c r="WFC91" t="s">
        <v>398</v>
      </c>
      <c r="WFD91">
        <v>1</v>
      </c>
      <c r="WFE91" t="s">
        <v>436</v>
      </c>
      <c r="WFF91" t="s">
        <v>437</v>
      </c>
      <c r="WFG91" t="s">
        <v>428</v>
      </c>
      <c r="WFI91" t="s">
        <v>146</v>
      </c>
      <c r="WFJ91" t="s">
        <v>145</v>
      </c>
      <c r="WFK91" t="s">
        <v>398</v>
      </c>
      <c r="WFL91">
        <v>1</v>
      </c>
      <c r="WFM91" t="s">
        <v>436</v>
      </c>
      <c r="WFN91" t="s">
        <v>437</v>
      </c>
      <c r="WFO91" t="s">
        <v>428</v>
      </c>
      <c r="WFQ91" t="s">
        <v>146</v>
      </c>
      <c r="WFR91" t="s">
        <v>145</v>
      </c>
      <c r="WFS91" t="s">
        <v>398</v>
      </c>
      <c r="WFT91">
        <v>1</v>
      </c>
      <c r="WFU91" t="s">
        <v>436</v>
      </c>
      <c r="WFV91" t="s">
        <v>437</v>
      </c>
      <c r="WFW91" t="s">
        <v>428</v>
      </c>
      <c r="WFY91" t="s">
        <v>146</v>
      </c>
      <c r="WFZ91" t="s">
        <v>145</v>
      </c>
      <c r="WGA91" t="s">
        <v>398</v>
      </c>
      <c r="WGB91">
        <v>1</v>
      </c>
      <c r="WGC91" t="s">
        <v>436</v>
      </c>
      <c r="WGD91" t="s">
        <v>437</v>
      </c>
      <c r="WGE91" t="s">
        <v>428</v>
      </c>
      <c r="WGG91" t="s">
        <v>146</v>
      </c>
      <c r="WGH91" t="s">
        <v>145</v>
      </c>
      <c r="WGI91" t="s">
        <v>398</v>
      </c>
      <c r="WGJ91">
        <v>1</v>
      </c>
      <c r="WGK91" t="s">
        <v>436</v>
      </c>
      <c r="WGL91" t="s">
        <v>437</v>
      </c>
      <c r="WGM91" t="s">
        <v>428</v>
      </c>
      <c r="WGO91" t="s">
        <v>146</v>
      </c>
      <c r="WGP91" t="s">
        <v>145</v>
      </c>
      <c r="WGQ91" t="s">
        <v>398</v>
      </c>
      <c r="WGR91">
        <v>1</v>
      </c>
      <c r="WGS91" t="s">
        <v>436</v>
      </c>
      <c r="WGT91" t="s">
        <v>437</v>
      </c>
      <c r="WGU91" t="s">
        <v>428</v>
      </c>
      <c r="WGW91" t="s">
        <v>146</v>
      </c>
      <c r="WGX91" t="s">
        <v>145</v>
      </c>
      <c r="WGY91" t="s">
        <v>398</v>
      </c>
      <c r="WGZ91">
        <v>1</v>
      </c>
      <c r="WHA91" t="s">
        <v>436</v>
      </c>
      <c r="WHB91" t="s">
        <v>437</v>
      </c>
      <c r="WHC91" t="s">
        <v>428</v>
      </c>
      <c r="WHE91" t="s">
        <v>146</v>
      </c>
      <c r="WHF91" t="s">
        <v>145</v>
      </c>
      <c r="WHG91" t="s">
        <v>398</v>
      </c>
      <c r="WHH91">
        <v>1</v>
      </c>
      <c r="WHI91" t="s">
        <v>436</v>
      </c>
      <c r="WHJ91" t="s">
        <v>437</v>
      </c>
      <c r="WHK91" t="s">
        <v>428</v>
      </c>
      <c r="WHM91" t="s">
        <v>146</v>
      </c>
      <c r="WHN91" t="s">
        <v>145</v>
      </c>
      <c r="WHO91" t="s">
        <v>398</v>
      </c>
      <c r="WHP91">
        <v>1</v>
      </c>
      <c r="WHQ91" t="s">
        <v>436</v>
      </c>
      <c r="WHR91" t="s">
        <v>437</v>
      </c>
      <c r="WHS91" t="s">
        <v>428</v>
      </c>
      <c r="WHU91" t="s">
        <v>146</v>
      </c>
      <c r="WHV91" t="s">
        <v>145</v>
      </c>
      <c r="WHW91" t="s">
        <v>398</v>
      </c>
      <c r="WHX91">
        <v>1</v>
      </c>
      <c r="WHY91" t="s">
        <v>436</v>
      </c>
      <c r="WHZ91" t="s">
        <v>437</v>
      </c>
      <c r="WIA91" t="s">
        <v>428</v>
      </c>
      <c r="WIC91" t="s">
        <v>146</v>
      </c>
      <c r="WID91" t="s">
        <v>145</v>
      </c>
      <c r="WIE91" t="s">
        <v>398</v>
      </c>
      <c r="WIF91">
        <v>1</v>
      </c>
      <c r="WIG91" t="s">
        <v>436</v>
      </c>
      <c r="WIH91" t="s">
        <v>437</v>
      </c>
      <c r="WII91" t="s">
        <v>428</v>
      </c>
      <c r="WIK91" t="s">
        <v>146</v>
      </c>
      <c r="WIL91" t="s">
        <v>145</v>
      </c>
      <c r="WIM91" t="s">
        <v>398</v>
      </c>
      <c r="WIN91">
        <v>1</v>
      </c>
      <c r="WIO91" t="s">
        <v>436</v>
      </c>
      <c r="WIP91" t="s">
        <v>437</v>
      </c>
      <c r="WIQ91" t="s">
        <v>428</v>
      </c>
      <c r="WIS91" t="s">
        <v>146</v>
      </c>
      <c r="WIT91" t="s">
        <v>145</v>
      </c>
      <c r="WIU91" t="s">
        <v>398</v>
      </c>
      <c r="WIV91">
        <v>1</v>
      </c>
      <c r="WIW91" t="s">
        <v>436</v>
      </c>
      <c r="WIX91" t="s">
        <v>437</v>
      </c>
      <c r="WIY91" t="s">
        <v>428</v>
      </c>
      <c r="WJA91" t="s">
        <v>146</v>
      </c>
      <c r="WJB91" t="s">
        <v>145</v>
      </c>
      <c r="WJC91" t="s">
        <v>398</v>
      </c>
      <c r="WJD91">
        <v>1</v>
      </c>
      <c r="WJE91" t="s">
        <v>436</v>
      </c>
      <c r="WJF91" t="s">
        <v>437</v>
      </c>
      <c r="WJG91" t="s">
        <v>428</v>
      </c>
      <c r="WJI91" t="s">
        <v>146</v>
      </c>
      <c r="WJJ91" t="s">
        <v>145</v>
      </c>
      <c r="WJK91" t="s">
        <v>398</v>
      </c>
      <c r="WJL91">
        <v>1</v>
      </c>
      <c r="WJM91" t="s">
        <v>436</v>
      </c>
      <c r="WJN91" t="s">
        <v>437</v>
      </c>
      <c r="WJO91" t="s">
        <v>428</v>
      </c>
      <c r="WJQ91" t="s">
        <v>146</v>
      </c>
      <c r="WJR91" t="s">
        <v>145</v>
      </c>
      <c r="WJS91" t="s">
        <v>398</v>
      </c>
      <c r="WJT91">
        <v>1</v>
      </c>
      <c r="WJU91" t="s">
        <v>436</v>
      </c>
      <c r="WJV91" t="s">
        <v>437</v>
      </c>
      <c r="WJW91" t="s">
        <v>428</v>
      </c>
      <c r="WJY91" t="s">
        <v>146</v>
      </c>
      <c r="WJZ91" t="s">
        <v>145</v>
      </c>
      <c r="WKA91" t="s">
        <v>398</v>
      </c>
      <c r="WKB91">
        <v>1</v>
      </c>
      <c r="WKC91" t="s">
        <v>436</v>
      </c>
      <c r="WKD91" t="s">
        <v>437</v>
      </c>
      <c r="WKE91" t="s">
        <v>428</v>
      </c>
      <c r="WKG91" t="s">
        <v>146</v>
      </c>
      <c r="WKH91" t="s">
        <v>145</v>
      </c>
      <c r="WKI91" t="s">
        <v>398</v>
      </c>
      <c r="WKJ91">
        <v>1</v>
      </c>
      <c r="WKK91" t="s">
        <v>436</v>
      </c>
      <c r="WKL91" t="s">
        <v>437</v>
      </c>
      <c r="WKM91" t="s">
        <v>428</v>
      </c>
      <c r="WKO91" t="s">
        <v>146</v>
      </c>
      <c r="WKP91" t="s">
        <v>145</v>
      </c>
      <c r="WKQ91" t="s">
        <v>398</v>
      </c>
      <c r="WKR91">
        <v>1</v>
      </c>
      <c r="WKS91" t="s">
        <v>436</v>
      </c>
      <c r="WKT91" t="s">
        <v>437</v>
      </c>
      <c r="WKU91" t="s">
        <v>428</v>
      </c>
      <c r="WKW91" t="s">
        <v>146</v>
      </c>
      <c r="WKX91" t="s">
        <v>145</v>
      </c>
      <c r="WKY91" t="s">
        <v>398</v>
      </c>
      <c r="WKZ91">
        <v>1</v>
      </c>
      <c r="WLA91" t="s">
        <v>436</v>
      </c>
      <c r="WLB91" t="s">
        <v>437</v>
      </c>
      <c r="WLC91" t="s">
        <v>428</v>
      </c>
      <c r="WLE91" t="s">
        <v>146</v>
      </c>
      <c r="WLF91" t="s">
        <v>145</v>
      </c>
      <c r="WLG91" t="s">
        <v>398</v>
      </c>
      <c r="WLH91">
        <v>1</v>
      </c>
      <c r="WLI91" t="s">
        <v>436</v>
      </c>
      <c r="WLJ91" t="s">
        <v>437</v>
      </c>
      <c r="WLK91" t="s">
        <v>428</v>
      </c>
      <c r="WLM91" t="s">
        <v>146</v>
      </c>
      <c r="WLN91" t="s">
        <v>145</v>
      </c>
      <c r="WLO91" t="s">
        <v>398</v>
      </c>
      <c r="WLP91">
        <v>1</v>
      </c>
      <c r="WLQ91" t="s">
        <v>436</v>
      </c>
      <c r="WLR91" t="s">
        <v>437</v>
      </c>
      <c r="WLS91" t="s">
        <v>428</v>
      </c>
      <c r="WLU91" t="s">
        <v>146</v>
      </c>
      <c r="WLV91" t="s">
        <v>145</v>
      </c>
      <c r="WLW91" t="s">
        <v>398</v>
      </c>
      <c r="WLX91">
        <v>1</v>
      </c>
      <c r="WLY91" t="s">
        <v>436</v>
      </c>
      <c r="WLZ91" t="s">
        <v>437</v>
      </c>
      <c r="WMA91" t="s">
        <v>428</v>
      </c>
      <c r="WMC91" t="s">
        <v>146</v>
      </c>
      <c r="WMD91" t="s">
        <v>145</v>
      </c>
      <c r="WME91" t="s">
        <v>398</v>
      </c>
      <c r="WMF91">
        <v>1</v>
      </c>
      <c r="WMG91" t="s">
        <v>436</v>
      </c>
      <c r="WMH91" t="s">
        <v>437</v>
      </c>
      <c r="WMI91" t="s">
        <v>428</v>
      </c>
      <c r="WMK91" t="s">
        <v>146</v>
      </c>
      <c r="WML91" t="s">
        <v>145</v>
      </c>
      <c r="WMM91" t="s">
        <v>398</v>
      </c>
      <c r="WMN91">
        <v>1</v>
      </c>
      <c r="WMO91" t="s">
        <v>436</v>
      </c>
      <c r="WMP91" t="s">
        <v>437</v>
      </c>
      <c r="WMQ91" t="s">
        <v>428</v>
      </c>
      <c r="WMS91" t="s">
        <v>146</v>
      </c>
      <c r="WMT91" t="s">
        <v>145</v>
      </c>
      <c r="WMU91" t="s">
        <v>398</v>
      </c>
      <c r="WMV91">
        <v>1</v>
      </c>
      <c r="WMW91" t="s">
        <v>436</v>
      </c>
      <c r="WMX91" t="s">
        <v>437</v>
      </c>
      <c r="WMY91" t="s">
        <v>428</v>
      </c>
      <c r="WNA91" t="s">
        <v>146</v>
      </c>
      <c r="WNB91" t="s">
        <v>145</v>
      </c>
      <c r="WNC91" t="s">
        <v>398</v>
      </c>
      <c r="WND91">
        <v>1</v>
      </c>
      <c r="WNE91" t="s">
        <v>436</v>
      </c>
      <c r="WNF91" t="s">
        <v>437</v>
      </c>
      <c r="WNG91" t="s">
        <v>428</v>
      </c>
      <c r="WNI91" t="s">
        <v>146</v>
      </c>
      <c r="WNJ91" t="s">
        <v>145</v>
      </c>
      <c r="WNK91" t="s">
        <v>398</v>
      </c>
      <c r="WNL91">
        <v>1</v>
      </c>
      <c r="WNM91" t="s">
        <v>436</v>
      </c>
      <c r="WNN91" t="s">
        <v>437</v>
      </c>
      <c r="WNO91" t="s">
        <v>428</v>
      </c>
      <c r="WNQ91" t="s">
        <v>146</v>
      </c>
      <c r="WNR91" t="s">
        <v>145</v>
      </c>
      <c r="WNS91" t="s">
        <v>398</v>
      </c>
      <c r="WNT91">
        <v>1</v>
      </c>
      <c r="WNU91" t="s">
        <v>436</v>
      </c>
      <c r="WNV91" t="s">
        <v>437</v>
      </c>
      <c r="WNW91" t="s">
        <v>428</v>
      </c>
      <c r="WNY91" t="s">
        <v>146</v>
      </c>
      <c r="WNZ91" t="s">
        <v>145</v>
      </c>
      <c r="WOA91" t="s">
        <v>398</v>
      </c>
      <c r="WOB91">
        <v>1</v>
      </c>
      <c r="WOC91" t="s">
        <v>436</v>
      </c>
      <c r="WOD91" t="s">
        <v>437</v>
      </c>
      <c r="WOE91" t="s">
        <v>428</v>
      </c>
      <c r="WOG91" t="s">
        <v>146</v>
      </c>
      <c r="WOH91" t="s">
        <v>145</v>
      </c>
      <c r="WOI91" t="s">
        <v>398</v>
      </c>
      <c r="WOJ91">
        <v>1</v>
      </c>
      <c r="WOK91" t="s">
        <v>436</v>
      </c>
      <c r="WOL91" t="s">
        <v>437</v>
      </c>
      <c r="WOM91" t="s">
        <v>428</v>
      </c>
      <c r="WOO91" t="s">
        <v>146</v>
      </c>
      <c r="WOP91" t="s">
        <v>145</v>
      </c>
      <c r="WOQ91" t="s">
        <v>398</v>
      </c>
      <c r="WOR91">
        <v>1</v>
      </c>
      <c r="WOS91" t="s">
        <v>436</v>
      </c>
      <c r="WOT91" t="s">
        <v>437</v>
      </c>
      <c r="WOU91" t="s">
        <v>428</v>
      </c>
      <c r="WOW91" t="s">
        <v>146</v>
      </c>
      <c r="WOX91" t="s">
        <v>145</v>
      </c>
      <c r="WOY91" t="s">
        <v>398</v>
      </c>
      <c r="WOZ91">
        <v>1</v>
      </c>
      <c r="WPA91" t="s">
        <v>436</v>
      </c>
      <c r="WPB91" t="s">
        <v>437</v>
      </c>
      <c r="WPC91" t="s">
        <v>428</v>
      </c>
      <c r="WPE91" t="s">
        <v>146</v>
      </c>
      <c r="WPF91" t="s">
        <v>145</v>
      </c>
      <c r="WPG91" t="s">
        <v>398</v>
      </c>
      <c r="WPH91">
        <v>1</v>
      </c>
      <c r="WPI91" t="s">
        <v>436</v>
      </c>
      <c r="WPJ91" t="s">
        <v>437</v>
      </c>
      <c r="WPK91" t="s">
        <v>428</v>
      </c>
      <c r="WPM91" t="s">
        <v>146</v>
      </c>
      <c r="WPN91" t="s">
        <v>145</v>
      </c>
      <c r="WPO91" t="s">
        <v>398</v>
      </c>
      <c r="WPP91">
        <v>1</v>
      </c>
      <c r="WPQ91" t="s">
        <v>436</v>
      </c>
      <c r="WPR91" t="s">
        <v>437</v>
      </c>
      <c r="WPS91" t="s">
        <v>428</v>
      </c>
      <c r="WPU91" t="s">
        <v>146</v>
      </c>
      <c r="WPV91" t="s">
        <v>145</v>
      </c>
      <c r="WPW91" t="s">
        <v>398</v>
      </c>
      <c r="WPX91">
        <v>1</v>
      </c>
      <c r="WPY91" t="s">
        <v>436</v>
      </c>
      <c r="WPZ91" t="s">
        <v>437</v>
      </c>
      <c r="WQA91" t="s">
        <v>428</v>
      </c>
      <c r="WQC91" t="s">
        <v>146</v>
      </c>
      <c r="WQD91" t="s">
        <v>145</v>
      </c>
      <c r="WQE91" t="s">
        <v>398</v>
      </c>
      <c r="WQF91">
        <v>1</v>
      </c>
      <c r="WQG91" t="s">
        <v>436</v>
      </c>
      <c r="WQH91" t="s">
        <v>437</v>
      </c>
      <c r="WQI91" t="s">
        <v>428</v>
      </c>
      <c r="WQK91" t="s">
        <v>146</v>
      </c>
      <c r="WQL91" t="s">
        <v>145</v>
      </c>
      <c r="WQM91" t="s">
        <v>398</v>
      </c>
      <c r="WQN91">
        <v>1</v>
      </c>
      <c r="WQO91" t="s">
        <v>436</v>
      </c>
      <c r="WQP91" t="s">
        <v>437</v>
      </c>
      <c r="WQQ91" t="s">
        <v>428</v>
      </c>
      <c r="WQS91" t="s">
        <v>146</v>
      </c>
      <c r="WQT91" t="s">
        <v>145</v>
      </c>
      <c r="WQU91" t="s">
        <v>398</v>
      </c>
      <c r="WQV91">
        <v>1</v>
      </c>
      <c r="WQW91" t="s">
        <v>436</v>
      </c>
      <c r="WQX91" t="s">
        <v>437</v>
      </c>
      <c r="WQY91" t="s">
        <v>428</v>
      </c>
      <c r="WRA91" t="s">
        <v>146</v>
      </c>
      <c r="WRB91" t="s">
        <v>145</v>
      </c>
      <c r="WRC91" t="s">
        <v>398</v>
      </c>
      <c r="WRD91">
        <v>1</v>
      </c>
      <c r="WRE91" t="s">
        <v>436</v>
      </c>
      <c r="WRF91" t="s">
        <v>437</v>
      </c>
      <c r="WRG91" t="s">
        <v>428</v>
      </c>
      <c r="WRI91" t="s">
        <v>146</v>
      </c>
      <c r="WRJ91" t="s">
        <v>145</v>
      </c>
      <c r="WRK91" t="s">
        <v>398</v>
      </c>
      <c r="WRL91">
        <v>1</v>
      </c>
      <c r="WRM91" t="s">
        <v>436</v>
      </c>
      <c r="WRN91" t="s">
        <v>437</v>
      </c>
      <c r="WRO91" t="s">
        <v>428</v>
      </c>
      <c r="WRQ91" t="s">
        <v>146</v>
      </c>
      <c r="WRR91" t="s">
        <v>145</v>
      </c>
      <c r="WRS91" t="s">
        <v>398</v>
      </c>
      <c r="WRT91">
        <v>1</v>
      </c>
      <c r="WRU91" t="s">
        <v>436</v>
      </c>
      <c r="WRV91" t="s">
        <v>437</v>
      </c>
      <c r="WRW91" t="s">
        <v>428</v>
      </c>
      <c r="WRY91" t="s">
        <v>146</v>
      </c>
      <c r="WRZ91" t="s">
        <v>145</v>
      </c>
      <c r="WSA91" t="s">
        <v>398</v>
      </c>
      <c r="WSB91">
        <v>1</v>
      </c>
      <c r="WSC91" t="s">
        <v>436</v>
      </c>
      <c r="WSD91" t="s">
        <v>437</v>
      </c>
      <c r="WSE91" t="s">
        <v>428</v>
      </c>
      <c r="WSG91" t="s">
        <v>146</v>
      </c>
      <c r="WSH91" t="s">
        <v>145</v>
      </c>
      <c r="WSI91" t="s">
        <v>398</v>
      </c>
      <c r="WSJ91">
        <v>1</v>
      </c>
      <c r="WSK91" t="s">
        <v>436</v>
      </c>
      <c r="WSL91" t="s">
        <v>437</v>
      </c>
      <c r="WSM91" t="s">
        <v>428</v>
      </c>
      <c r="WSO91" t="s">
        <v>146</v>
      </c>
      <c r="WSP91" t="s">
        <v>145</v>
      </c>
      <c r="WSQ91" t="s">
        <v>398</v>
      </c>
      <c r="WSR91">
        <v>1</v>
      </c>
      <c r="WSS91" t="s">
        <v>436</v>
      </c>
      <c r="WST91" t="s">
        <v>437</v>
      </c>
      <c r="WSU91" t="s">
        <v>428</v>
      </c>
      <c r="WSW91" t="s">
        <v>146</v>
      </c>
      <c r="WSX91" t="s">
        <v>145</v>
      </c>
      <c r="WSY91" t="s">
        <v>398</v>
      </c>
      <c r="WSZ91">
        <v>1</v>
      </c>
      <c r="WTA91" t="s">
        <v>436</v>
      </c>
      <c r="WTB91" t="s">
        <v>437</v>
      </c>
      <c r="WTC91" t="s">
        <v>428</v>
      </c>
      <c r="WTE91" t="s">
        <v>146</v>
      </c>
      <c r="WTF91" t="s">
        <v>145</v>
      </c>
      <c r="WTG91" t="s">
        <v>398</v>
      </c>
      <c r="WTH91">
        <v>1</v>
      </c>
      <c r="WTI91" t="s">
        <v>436</v>
      </c>
      <c r="WTJ91" t="s">
        <v>437</v>
      </c>
      <c r="WTK91" t="s">
        <v>428</v>
      </c>
      <c r="WTM91" t="s">
        <v>146</v>
      </c>
      <c r="WTN91" t="s">
        <v>145</v>
      </c>
      <c r="WTO91" t="s">
        <v>398</v>
      </c>
      <c r="WTP91">
        <v>1</v>
      </c>
      <c r="WTQ91" t="s">
        <v>436</v>
      </c>
      <c r="WTR91" t="s">
        <v>437</v>
      </c>
      <c r="WTS91" t="s">
        <v>428</v>
      </c>
      <c r="WTU91" t="s">
        <v>146</v>
      </c>
      <c r="WTV91" t="s">
        <v>145</v>
      </c>
      <c r="WTW91" t="s">
        <v>398</v>
      </c>
      <c r="WTX91">
        <v>1</v>
      </c>
      <c r="WTY91" t="s">
        <v>436</v>
      </c>
      <c r="WTZ91" t="s">
        <v>437</v>
      </c>
      <c r="WUA91" t="s">
        <v>428</v>
      </c>
      <c r="WUC91" t="s">
        <v>146</v>
      </c>
      <c r="WUD91" t="s">
        <v>145</v>
      </c>
      <c r="WUE91" t="s">
        <v>398</v>
      </c>
      <c r="WUF91">
        <v>1</v>
      </c>
      <c r="WUG91" t="s">
        <v>436</v>
      </c>
      <c r="WUH91" t="s">
        <v>437</v>
      </c>
      <c r="WUI91" t="s">
        <v>428</v>
      </c>
      <c r="WUK91" t="s">
        <v>146</v>
      </c>
      <c r="WUL91" t="s">
        <v>145</v>
      </c>
      <c r="WUM91" t="s">
        <v>398</v>
      </c>
      <c r="WUN91">
        <v>1</v>
      </c>
      <c r="WUO91" t="s">
        <v>436</v>
      </c>
      <c r="WUP91" t="s">
        <v>437</v>
      </c>
      <c r="WUQ91" t="s">
        <v>428</v>
      </c>
      <c r="WUS91" t="s">
        <v>146</v>
      </c>
      <c r="WUT91" t="s">
        <v>145</v>
      </c>
      <c r="WUU91" t="s">
        <v>398</v>
      </c>
      <c r="WUV91">
        <v>1</v>
      </c>
      <c r="WUW91" t="s">
        <v>436</v>
      </c>
      <c r="WUX91" t="s">
        <v>437</v>
      </c>
      <c r="WUY91" t="s">
        <v>428</v>
      </c>
      <c r="WVA91" t="s">
        <v>146</v>
      </c>
      <c r="WVB91" t="s">
        <v>145</v>
      </c>
      <c r="WVC91" t="s">
        <v>398</v>
      </c>
      <c r="WVD91">
        <v>1</v>
      </c>
      <c r="WVE91" t="s">
        <v>436</v>
      </c>
      <c r="WVF91" t="s">
        <v>437</v>
      </c>
      <c r="WVG91" t="s">
        <v>428</v>
      </c>
      <c r="WVI91" t="s">
        <v>146</v>
      </c>
      <c r="WVJ91" t="s">
        <v>145</v>
      </c>
      <c r="WVK91" t="s">
        <v>398</v>
      </c>
      <c r="WVL91">
        <v>1</v>
      </c>
      <c r="WVM91" t="s">
        <v>436</v>
      </c>
      <c r="WVN91" t="s">
        <v>437</v>
      </c>
      <c r="WVO91" t="s">
        <v>428</v>
      </c>
      <c r="WVQ91" t="s">
        <v>146</v>
      </c>
      <c r="WVR91" t="s">
        <v>145</v>
      </c>
      <c r="WVS91" t="s">
        <v>398</v>
      </c>
      <c r="WVT91">
        <v>1</v>
      </c>
      <c r="WVU91" t="s">
        <v>436</v>
      </c>
      <c r="WVV91" t="s">
        <v>437</v>
      </c>
      <c r="WVW91" t="s">
        <v>428</v>
      </c>
      <c r="WVY91" t="s">
        <v>146</v>
      </c>
      <c r="WVZ91" t="s">
        <v>145</v>
      </c>
      <c r="WWA91" t="s">
        <v>398</v>
      </c>
      <c r="WWB91">
        <v>1</v>
      </c>
      <c r="WWC91" t="s">
        <v>436</v>
      </c>
      <c r="WWD91" t="s">
        <v>437</v>
      </c>
      <c r="WWE91" t="s">
        <v>428</v>
      </c>
      <c r="WWG91" t="s">
        <v>146</v>
      </c>
      <c r="WWH91" t="s">
        <v>145</v>
      </c>
      <c r="WWI91" t="s">
        <v>398</v>
      </c>
      <c r="WWJ91">
        <v>1</v>
      </c>
      <c r="WWK91" t="s">
        <v>436</v>
      </c>
      <c r="WWL91" t="s">
        <v>437</v>
      </c>
      <c r="WWM91" t="s">
        <v>428</v>
      </c>
      <c r="WWO91" t="s">
        <v>146</v>
      </c>
      <c r="WWP91" t="s">
        <v>145</v>
      </c>
      <c r="WWQ91" t="s">
        <v>398</v>
      </c>
      <c r="WWR91">
        <v>1</v>
      </c>
      <c r="WWS91" t="s">
        <v>436</v>
      </c>
      <c r="WWT91" t="s">
        <v>437</v>
      </c>
      <c r="WWU91" t="s">
        <v>428</v>
      </c>
      <c r="WWW91" t="s">
        <v>146</v>
      </c>
      <c r="WWX91" t="s">
        <v>145</v>
      </c>
      <c r="WWY91" t="s">
        <v>398</v>
      </c>
      <c r="WWZ91">
        <v>1</v>
      </c>
      <c r="WXA91" t="s">
        <v>436</v>
      </c>
      <c r="WXB91" t="s">
        <v>437</v>
      </c>
      <c r="WXC91" t="s">
        <v>428</v>
      </c>
      <c r="WXE91" t="s">
        <v>146</v>
      </c>
      <c r="WXF91" t="s">
        <v>145</v>
      </c>
      <c r="WXG91" t="s">
        <v>398</v>
      </c>
      <c r="WXH91">
        <v>1</v>
      </c>
      <c r="WXI91" t="s">
        <v>436</v>
      </c>
      <c r="WXJ91" t="s">
        <v>437</v>
      </c>
      <c r="WXK91" t="s">
        <v>428</v>
      </c>
      <c r="WXM91" t="s">
        <v>146</v>
      </c>
      <c r="WXN91" t="s">
        <v>145</v>
      </c>
      <c r="WXO91" t="s">
        <v>398</v>
      </c>
      <c r="WXP91">
        <v>1</v>
      </c>
      <c r="WXQ91" t="s">
        <v>436</v>
      </c>
      <c r="WXR91" t="s">
        <v>437</v>
      </c>
      <c r="WXS91" t="s">
        <v>428</v>
      </c>
      <c r="WXU91" t="s">
        <v>146</v>
      </c>
      <c r="WXV91" t="s">
        <v>145</v>
      </c>
      <c r="WXW91" t="s">
        <v>398</v>
      </c>
      <c r="WXX91">
        <v>1</v>
      </c>
      <c r="WXY91" t="s">
        <v>436</v>
      </c>
      <c r="WXZ91" t="s">
        <v>437</v>
      </c>
      <c r="WYA91" t="s">
        <v>428</v>
      </c>
      <c r="WYC91" t="s">
        <v>146</v>
      </c>
      <c r="WYD91" t="s">
        <v>145</v>
      </c>
      <c r="WYE91" t="s">
        <v>398</v>
      </c>
      <c r="WYF91">
        <v>1</v>
      </c>
      <c r="WYG91" t="s">
        <v>436</v>
      </c>
      <c r="WYH91" t="s">
        <v>437</v>
      </c>
      <c r="WYI91" t="s">
        <v>428</v>
      </c>
      <c r="WYK91" t="s">
        <v>146</v>
      </c>
      <c r="WYL91" t="s">
        <v>145</v>
      </c>
      <c r="WYM91" t="s">
        <v>398</v>
      </c>
      <c r="WYN91">
        <v>1</v>
      </c>
      <c r="WYO91" t="s">
        <v>436</v>
      </c>
      <c r="WYP91" t="s">
        <v>437</v>
      </c>
      <c r="WYQ91" t="s">
        <v>428</v>
      </c>
      <c r="WYS91" t="s">
        <v>146</v>
      </c>
      <c r="WYT91" t="s">
        <v>145</v>
      </c>
      <c r="WYU91" t="s">
        <v>398</v>
      </c>
      <c r="WYV91">
        <v>1</v>
      </c>
      <c r="WYW91" t="s">
        <v>436</v>
      </c>
      <c r="WYX91" t="s">
        <v>437</v>
      </c>
      <c r="WYY91" t="s">
        <v>428</v>
      </c>
      <c r="WZA91" t="s">
        <v>146</v>
      </c>
      <c r="WZB91" t="s">
        <v>145</v>
      </c>
      <c r="WZC91" t="s">
        <v>398</v>
      </c>
      <c r="WZD91">
        <v>1</v>
      </c>
      <c r="WZE91" t="s">
        <v>436</v>
      </c>
      <c r="WZF91" t="s">
        <v>437</v>
      </c>
      <c r="WZG91" t="s">
        <v>428</v>
      </c>
      <c r="WZI91" t="s">
        <v>146</v>
      </c>
      <c r="WZJ91" t="s">
        <v>145</v>
      </c>
      <c r="WZK91" t="s">
        <v>398</v>
      </c>
      <c r="WZL91">
        <v>1</v>
      </c>
      <c r="WZM91" t="s">
        <v>436</v>
      </c>
      <c r="WZN91" t="s">
        <v>437</v>
      </c>
      <c r="WZO91" t="s">
        <v>428</v>
      </c>
      <c r="WZQ91" t="s">
        <v>146</v>
      </c>
      <c r="WZR91" t="s">
        <v>145</v>
      </c>
      <c r="WZS91" t="s">
        <v>398</v>
      </c>
      <c r="WZT91">
        <v>1</v>
      </c>
      <c r="WZU91" t="s">
        <v>436</v>
      </c>
      <c r="WZV91" t="s">
        <v>437</v>
      </c>
      <c r="WZW91" t="s">
        <v>428</v>
      </c>
      <c r="WZY91" t="s">
        <v>146</v>
      </c>
      <c r="WZZ91" t="s">
        <v>145</v>
      </c>
      <c r="XAA91" t="s">
        <v>398</v>
      </c>
      <c r="XAB91">
        <v>1</v>
      </c>
      <c r="XAC91" t="s">
        <v>436</v>
      </c>
      <c r="XAD91" t="s">
        <v>437</v>
      </c>
      <c r="XAE91" t="s">
        <v>428</v>
      </c>
      <c r="XAG91" t="s">
        <v>146</v>
      </c>
      <c r="XAH91" t="s">
        <v>145</v>
      </c>
      <c r="XAI91" t="s">
        <v>398</v>
      </c>
      <c r="XAJ91">
        <v>1</v>
      </c>
      <c r="XAK91" t="s">
        <v>436</v>
      </c>
      <c r="XAL91" t="s">
        <v>437</v>
      </c>
      <c r="XAM91" t="s">
        <v>428</v>
      </c>
      <c r="XAO91" t="s">
        <v>146</v>
      </c>
      <c r="XAP91" t="s">
        <v>145</v>
      </c>
      <c r="XAQ91" t="s">
        <v>398</v>
      </c>
      <c r="XAR91">
        <v>1</v>
      </c>
      <c r="XAS91" t="s">
        <v>436</v>
      </c>
      <c r="XAT91" t="s">
        <v>437</v>
      </c>
      <c r="XAU91" t="s">
        <v>428</v>
      </c>
      <c r="XAW91" t="s">
        <v>146</v>
      </c>
      <c r="XAX91" t="s">
        <v>145</v>
      </c>
      <c r="XAY91" t="s">
        <v>398</v>
      </c>
      <c r="XAZ91">
        <v>1</v>
      </c>
      <c r="XBA91" t="s">
        <v>436</v>
      </c>
      <c r="XBB91" t="s">
        <v>437</v>
      </c>
      <c r="XBC91" t="s">
        <v>428</v>
      </c>
      <c r="XBE91" t="s">
        <v>146</v>
      </c>
      <c r="XBF91" t="s">
        <v>145</v>
      </c>
      <c r="XBG91" t="s">
        <v>398</v>
      </c>
      <c r="XBH91">
        <v>1</v>
      </c>
      <c r="XBI91" t="s">
        <v>436</v>
      </c>
      <c r="XBJ91" t="s">
        <v>437</v>
      </c>
      <c r="XBK91" t="s">
        <v>428</v>
      </c>
      <c r="XBM91" t="s">
        <v>146</v>
      </c>
      <c r="XBN91" t="s">
        <v>145</v>
      </c>
      <c r="XBO91" t="s">
        <v>398</v>
      </c>
      <c r="XBP91">
        <v>1</v>
      </c>
      <c r="XBQ91" t="s">
        <v>436</v>
      </c>
      <c r="XBR91" t="s">
        <v>437</v>
      </c>
      <c r="XBS91" t="s">
        <v>428</v>
      </c>
      <c r="XBU91" t="s">
        <v>146</v>
      </c>
      <c r="XBV91" t="s">
        <v>145</v>
      </c>
      <c r="XBW91" t="s">
        <v>398</v>
      </c>
      <c r="XBX91">
        <v>1</v>
      </c>
      <c r="XBY91" t="s">
        <v>436</v>
      </c>
      <c r="XBZ91" t="s">
        <v>437</v>
      </c>
      <c r="XCA91" t="s">
        <v>428</v>
      </c>
      <c r="XCC91" t="s">
        <v>146</v>
      </c>
      <c r="XCD91" t="s">
        <v>145</v>
      </c>
      <c r="XCE91" t="s">
        <v>398</v>
      </c>
      <c r="XCF91">
        <v>1</v>
      </c>
      <c r="XCG91" t="s">
        <v>436</v>
      </c>
      <c r="XCH91" t="s">
        <v>437</v>
      </c>
      <c r="XCI91" t="s">
        <v>428</v>
      </c>
      <c r="XCK91" t="s">
        <v>146</v>
      </c>
      <c r="XCL91" t="s">
        <v>145</v>
      </c>
      <c r="XCM91" t="s">
        <v>398</v>
      </c>
      <c r="XCN91">
        <v>1</v>
      </c>
      <c r="XCO91" t="s">
        <v>436</v>
      </c>
      <c r="XCP91" t="s">
        <v>437</v>
      </c>
      <c r="XCQ91" t="s">
        <v>428</v>
      </c>
      <c r="XCS91" t="s">
        <v>146</v>
      </c>
      <c r="XCT91" t="s">
        <v>145</v>
      </c>
      <c r="XCU91" t="s">
        <v>398</v>
      </c>
      <c r="XCV91">
        <v>1</v>
      </c>
      <c r="XCW91" t="s">
        <v>436</v>
      </c>
      <c r="XCX91" t="s">
        <v>437</v>
      </c>
      <c r="XCY91" t="s">
        <v>428</v>
      </c>
      <c r="XDA91" t="s">
        <v>146</v>
      </c>
      <c r="XDB91" t="s">
        <v>145</v>
      </c>
      <c r="XDC91" t="s">
        <v>398</v>
      </c>
      <c r="XDD91">
        <v>1</v>
      </c>
      <c r="XDE91" t="s">
        <v>436</v>
      </c>
      <c r="XDF91" t="s">
        <v>437</v>
      </c>
      <c r="XDG91" t="s">
        <v>428</v>
      </c>
      <c r="XDI91" t="s">
        <v>146</v>
      </c>
      <c r="XDJ91" t="s">
        <v>145</v>
      </c>
      <c r="XDK91" t="s">
        <v>398</v>
      </c>
      <c r="XDL91">
        <v>1</v>
      </c>
      <c r="XDM91" t="s">
        <v>436</v>
      </c>
      <c r="XDN91" t="s">
        <v>437</v>
      </c>
      <c r="XDO91" t="s">
        <v>428</v>
      </c>
      <c r="XDQ91" t="s">
        <v>146</v>
      </c>
      <c r="XDR91" t="s">
        <v>145</v>
      </c>
      <c r="XDS91" t="s">
        <v>398</v>
      </c>
      <c r="XDT91">
        <v>1</v>
      </c>
      <c r="XDU91" t="s">
        <v>436</v>
      </c>
      <c r="XDV91" t="s">
        <v>437</v>
      </c>
      <c r="XDW91" t="s">
        <v>428</v>
      </c>
      <c r="XDY91" t="s">
        <v>146</v>
      </c>
      <c r="XDZ91" t="s">
        <v>145</v>
      </c>
      <c r="XEA91" t="s">
        <v>398</v>
      </c>
      <c r="XEB91">
        <v>1</v>
      </c>
      <c r="XEC91" t="s">
        <v>436</v>
      </c>
      <c r="XED91" t="s">
        <v>437</v>
      </c>
      <c r="XEE91" t="s">
        <v>428</v>
      </c>
      <c r="XEG91" t="s">
        <v>146</v>
      </c>
      <c r="XEH91" t="s">
        <v>145</v>
      </c>
      <c r="XEI91" t="s">
        <v>398</v>
      </c>
      <c r="XEJ91">
        <v>1</v>
      </c>
      <c r="XEK91" t="s">
        <v>436</v>
      </c>
      <c r="XEL91" t="s">
        <v>437</v>
      </c>
      <c r="XEM91" t="s">
        <v>428</v>
      </c>
      <c r="XEO91" t="s">
        <v>146</v>
      </c>
      <c r="XEP91" t="s">
        <v>145</v>
      </c>
      <c r="XEQ91" t="s">
        <v>398</v>
      </c>
      <c r="XER91">
        <v>1</v>
      </c>
      <c r="XES91" t="s">
        <v>436</v>
      </c>
      <c r="XET91" t="s">
        <v>437</v>
      </c>
      <c r="XEU91" t="s">
        <v>428</v>
      </c>
      <c r="XEW91" t="s">
        <v>146</v>
      </c>
      <c r="XEX91" t="s">
        <v>145</v>
      </c>
      <c r="XEY91" t="s">
        <v>398</v>
      </c>
      <c r="XEZ91">
        <v>1</v>
      </c>
      <c r="XFA91" t="s">
        <v>436</v>
      </c>
      <c r="XFB91" t="s">
        <v>437</v>
      </c>
      <c r="XFC91" t="s">
        <v>428</v>
      </c>
    </row>
    <row r="92" spans="1:1023 1025:2047 2049:3071 3073:4095 4097:5119 5121:6143 6145:7167 7169:8191 8193:9215 9217:10239 10241:11263 11265:12287 12289:13311 13313:14335 14337:15359 15361:16383" ht="15" customHeight="1" x14ac:dyDescent="0.2">
      <c r="A92" s="57" t="s">
        <v>429</v>
      </c>
      <c r="B92" s="57" t="s">
        <v>143</v>
      </c>
      <c r="C92" s="57" t="s">
        <v>398</v>
      </c>
      <c r="D92" s="57">
        <v>1</v>
      </c>
      <c r="E92" s="57" t="s">
        <v>430</v>
      </c>
      <c r="F92" s="57" t="s">
        <v>431</v>
      </c>
      <c r="G92" s="57" t="s">
        <v>432</v>
      </c>
      <c r="I92" s="13" t="s">
        <v>104</v>
      </c>
      <c r="J92" s="13" t="s">
        <v>103</v>
      </c>
      <c r="K92" s="13" t="s">
        <v>398</v>
      </c>
      <c r="L92" s="13">
        <v>1</v>
      </c>
      <c r="M92" s="13" t="s">
        <v>438</v>
      </c>
      <c r="N92" s="13" t="s">
        <v>439</v>
      </c>
      <c r="O92" s="13" t="s">
        <v>428</v>
      </c>
      <c r="Q92" s="13" t="s">
        <v>104</v>
      </c>
      <c r="R92" s="13" t="s">
        <v>103</v>
      </c>
      <c r="S92" s="13" t="s">
        <v>398</v>
      </c>
      <c r="T92" s="13">
        <v>1</v>
      </c>
      <c r="U92" s="13" t="s">
        <v>438</v>
      </c>
      <c r="V92" s="13" t="s">
        <v>439</v>
      </c>
      <c r="W92" s="13" t="s">
        <v>428</v>
      </c>
      <c r="Y92" s="13" t="s">
        <v>104</v>
      </c>
      <c r="Z92" s="13" t="s">
        <v>103</v>
      </c>
      <c r="AA92" s="13" t="s">
        <v>398</v>
      </c>
      <c r="AB92" s="13">
        <v>1</v>
      </c>
      <c r="AC92" s="13" t="s">
        <v>438</v>
      </c>
      <c r="AD92" s="13" t="s">
        <v>439</v>
      </c>
      <c r="AE92" s="13" t="s">
        <v>428</v>
      </c>
      <c r="AG92" s="13" t="s">
        <v>104</v>
      </c>
      <c r="AH92" s="13" t="s">
        <v>103</v>
      </c>
      <c r="AI92" s="13" t="s">
        <v>398</v>
      </c>
      <c r="AJ92" s="13">
        <v>1</v>
      </c>
      <c r="AK92" s="13" t="s">
        <v>438</v>
      </c>
      <c r="AL92" s="13" t="s">
        <v>439</v>
      </c>
      <c r="AM92" s="13" t="s">
        <v>428</v>
      </c>
      <c r="AO92" s="13" t="s">
        <v>104</v>
      </c>
      <c r="AP92" s="13" t="s">
        <v>103</v>
      </c>
      <c r="AQ92" s="13" t="s">
        <v>398</v>
      </c>
      <c r="AR92" s="13">
        <v>1</v>
      </c>
      <c r="AS92" s="13" t="s">
        <v>438</v>
      </c>
      <c r="AT92" s="13" t="s">
        <v>439</v>
      </c>
      <c r="AU92" s="13" t="s">
        <v>428</v>
      </c>
      <c r="AW92" s="13" t="s">
        <v>104</v>
      </c>
      <c r="AX92" s="13" t="s">
        <v>103</v>
      </c>
      <c r="AY92" s="13" t="s">
        <v>398</v>
      </c>
      <c r="AZ92" s="13">
        <v>1</v>
      </c>
      <c r="BA92" s="13" t="s">
        <v>438</v>
      </c>
      <c r="BB92" s="13" t="s">
        <v>439</v>
      </c>
      <c r="BC92" s="13" t="s">
        <v>428</v>
      </c>
      <c r="BE92" s="13" t="s">
        <v>104</v>
      </c>
      <c r="BF92" s="13" t="s">
        <v>103</v>
      </c>
      <c r="BG92" s="13" t="s">
        <v>398</v>
      </c>
      <c r="BH92" s="13">
        <v>1</v>
      </c>
      <c r="BI92" s="13" t="s">
        <v>438</v>
      </c>
      <c r="BJ92" s="13" t="s">
        <v>439</v>
      </c>
      <c r="BK92" s="13" t="s">
        <v>428</v>
      </c>
      <c r="BM92" s="13" t="s">
        <v>104</v>
      </c>
      <c r="BN92" s="13" t="s">
        <v>103</v>
      </c>
      <c r="BO92" s="13" t="s">
        <v>398</v>
      </c>
      <c r="BP92" s="13">
        <v>1</v>
      </c>
      <c r="BQ92" s="13" t="s">
        <v>438</v>
      </c>
      <c r="BR92" s="13" t="s">
        <v>439</v>
      </c>
      <c r="BS92" s="13" t="s">
        <v>428</v>
      </c>
      <c r="BU92" s="13" t="s">
        <v>104</v>
      </c>
      <c r="BV92" s="13" t="s">
        <v>103</v>
      </c>
      <c r="BW92" s="13" t="s">
        <v>398</v>
      </c>
      <c r="BX92" s="13">
        <v>1</v>
      </c>
      <c r="BY92" s="13" t="s">
        <v>438</v>
      </c>
      <c r="BZ92" s="13" t="s">
        <v>439</v>
      </c>
      <c r="CA92" s="13" t="s">
        <v>428</v>
      </c>
      <c r="CC92" s="13" t="s">
        <v>104</v>
      </c>
      <c r="CD92" s="13" t="s">
        <v>103</v>
      </c>
      <c r="CE92" s="13" t="s">
        <v>398</v>
      </c>
      <c r="CF92" s="13">
        <v>1</v>
      </c>
      <c r="CG92" s="13" t="s">
        <v>438</v>
      </c>
      <c r="CH92" t="s">
        <v>439</v>
      </c>
      <c r="CI92" t="s">
        <v>428</v>
      </c>
      <c r="CK92" t="s">
        <v>104</v>
      </c>
      <c r="CL92" t="s">
        <v>103</v>
      </c>
      <c r="CM92" t="s">
        <v>398</v>
      </c>
      <c r="CN92">
        <v>1</v>
      </c>
      <c r="CO92" t="s">
        <v>438</v>
      </c>
      <c r="CP92" t="s">
        <v>439</v>
      </c>
      <c r="CQ92" t="s">
        <v>428</v>
      </c>
      <c r="CS92" t="s">
        <v>104</v>
      </c>
      <c r="CT92" t="s">
        <v>103</v>
      </c>
      <c r="CU92" t="s">
        <v>398</v>
      </c>
      <c r="CV92">
        <v>1</v>
      </c>
      <c r="CW92" t="s">
        <v>438</v>
      </c>
      <c r="CX92" t="s">
        <v>439</v>
      </c>
      <c r="CY92" t="s">
        <v>428</v>
      </c>
      <c r="DA92" t="s">
        <v>104</v>
      </c>
      <c r="DB92" t="s">
        <v>103</v>
      </c>
      <c r="DC92" t="s">
        <v>398</v>
      </c>
      <c r="DD92">
        <v>1</v>
      </c>
      <c r="DE92" t="s">
        <v>438</v>
      </c>
      <c r="DF92" t="s">
        <v>439</v>
      </c>
      <c r="DG92" t="s">
        <v>428</v>
      </c>
      <c r="DI92" t="s">
        <v>104</v>
      </c>
      <c r="DJ92" t="s">
        <v>103</v>
      </c>
      <c r="DK92" t="s">
        <v>398</v>
      </c>
      <c r="DL92">
        <v>1</v>
      </c>
      <c r="DM92" t="s">
        <v>438</v>
      </c>
      <c r="DN92" t="s">
        <v>439</v>
      </c>
      <c r="DO92" t="s">
        <v>428</v>
      </c>
      <c r="DQ92" t="s">
        <v>104</v>
      </c>
      <c r="DR92" t="s">
        <v>103</v>
      </c>
      <c r="DS92" t="s">
        <v>398</v>
      </c>
      <c r="DT92">
        <v>1</v>
      </c>
      <c r="DU92" t="s">
        <v>438</v>
      </c>
      <c r="DV92" t="s">
        <v>439</v>
      </c>
      <c r="DW92" t="s">
        <v>428</v>
      </c>
      <c r="DY92" t="s">
        <v>104</v>
      </c>
      <c r="DZ92" t="s">
        <v>103</v>
      </c>
      <c r="EA92" t="s">
        <v>398</v>
      </c>
      <c r="EB92">
        <v>1</v>
      </c>
      <c r="EC92" t="s">
        <v>438</v>
      </c>
      <c r="ED92" t="s">
        <v>439</v>
      </c>
      <c r="EE92" t="s">
        <v>428</v>
      </c>
      <c r="EG92" t="s">
        <v>104</v>
      </c>
      <c r="EH92" t="s">
        <v>103</v>
      </c>
      <c r="EI92" t="s">
        <v>398</v>
      </c>
      <c r="EJ92">
        <v>1</v>
      </c>
      <c r="EK92" t="s">
        <v>438</v>
      </c>
      <c r="EL92" t="s">
        <v>439</v>
      </c>
      <c r="EM92" t="s">
        <v>428</v>
      </c>
      <c r="EO92" t="s">
        <v>104</v>
      </c>
      <c r="EP92" t="s">
        <v>103</v>
      </c>
      <c r="EQ92" t="s">
        <v>398</v>
      </c>
      <c r="ER92">
        <v>1</v>
      </c>
      <c r="ES92" t="s">
        <v>438</v>
      </c>
      <c r="ET92" t="s">
        <v>439</v>
      </c>
      <c r="EU92" t="s">
        <v>428</v>
      </c>
      <c r="EW92" t="s">
        <v>104</v>
      </c>
      <c r="EX92" t="s">
        <v>103</v>
      </c>
      <c r="EY92" t="s">
        <v>398</v>
      </c>
      <c r="EZ92">
        <v>1</v>
      </c>
      <c r="FA92" t="s">
        <v>438</v>
      </c>
      <c r="FB92" t="s">
        <v>439</v>
      </c>
      <c r="FC92" t="s">
        <v>428</v>
      </c>
      <c r="FE92" t="s">
        <v>104</v>
      </c>
      <c r="FF92" t="s">
        <v>103</v>
      </c>
      <c r="FG92" t="s">
        <v>398</v>
      </c>
      <c r="FH92">
        <v>1</v>
      </c>
      <c r="FI92" t="s">
        <v>438</v>
      </c>
      <c r="FJ92" t="s">
        <v>439</v>
      </c>
      <c r="FK92" t="s">
        <v>428</v>
      </c>
      <c r="FM92" t="s">
        <v>104</v>
      </c>
      <c r="FN92" t="s">
        <v>103</v>
      </c>
      <c r="FO92" t="s">
        <v>398</v>
      </c>
      <c r="FP92">
        <v>1</v>
      </c>
      <c r="FQ92" t="s">
        <v>438</v>
      </c>
      <c r="FR92" t="s">
        <v>439</v>
      </c>
      <c r="FS92" t="s">
        <v>428</v>
      </c>
      <c r="FU92" t="s">
        <v>104</v>
      </c>
      <c r="FV92" t="s">
        <v>103</v>
      </c>
      <c r="FW92" t="s">
        <v>398</v>
      </c>
      <c r="FX92">
        <v>1</v>
      </c>
      <c r="FY92" t="s">
        <v>438</v>
      </c>
      <c r="FZ92" t="s">
        <v>439</v>
      </c>
      <c r="GA92" t="s">
        <v>428</v>
      </c>
      <c r="GC92" t="s">
        <v>104</v>
      </c>
      <c r="GD92" t="s">
        <v>103</v>
      </c>
      <c r="GE92" t="s">
        <v>398</v>
      </c>
      <c r="GF92">
        <v>1</v>
      </c>
      <c r="GG92" t="s">
        <v>438</v>
      </c>
      <c r="GH92" t="s">
        <v>439</v>
      </c>
      <c r="GI92" t="s">
        <v>428</v>
      </c>
      <c r="GK92" t="s">
        <v>104</v>
      </c>
      <c r="GL92" t="s">
        <v>103</v>
      </c>
      <c r="GM92" t="s">
        <v>398</v>
      </c>
      <c r="GN92">
        <v>1</v>
      </c>
      <c r="GO92" t="s">
        <v>438</v>
      </c>
      <c r="GP92" t="s">
        <v>439</v>
      </c>
      <c r="GQ92" t="s">
        <v>428</v>
      </c>
      <c r="GS92" t="s">
        <v>104</v>
      </c>
      <c r="GT92" t="s">
        <v>103</v>
      </c>
      <c r="GU92" t="s">
        <v>398</v>
      </c>
      <c r="GV92">
        <v>1</v>
      </c>
      <c r="GW92" t="s">
        <v>438</v>
      </c>
      <c r="GX92" t="s">
        <v>439</v>
      </c>
      <c r="GY92" t="s">
        <v>428</v>
      </c>
      <c r="HA92" t="s">
        <v>104</v>
      </c>
      <c r="HB92" t="s">
        <v>103</v>
      </c>
      <c r="HC92" t="s">
        <v>398</v>
      </c>
      <c r="HD92">
        <v>1</v>
      </c>
      <c r="HE92" t="s">
        <v>438</v>
      </c>
      <c r="HF92" t="s">
        <v>439</v>
      </c>
      <c r="HG92" t="s">
        <v>428</v>
      </c>
      <c r="HI92" t="s">
        <v>104</v>
      </c>
      <c r="HJ92" t="s">
        <v>103</v>
      </c>
      <c r="HK92" t="s">
        <v>398</v>
      </c>
      <c r="HL92">
        <v>1</v>
      </c>
      <c r="HM92" t="s">
        <v>438</v>
      </c>
      <c r="HN92" t="s">
        <v>439</v>
      </c>
      <c r="HO92" t="s">
        <v>428</v>
      </c>
      <c r="HQ92" t="s">
        <v>104</v>
      </c>
      <c r="HR92" t="s">
        <v>103</v>
      </c>
      <c r="HS92" t="s">
        <v>398</v>
      </c>
      <c r="HT92">
        <v>1</v>
      </c>
      <c r="HU92" t="s">
        <v>438</v>
      </c>
      <c r="HV92" t="s">
        <v>439</v>
      </c>
      <c r="HW92" t="s">
        <v>428</v>
      </c>
      <c r="HY92" t="s">
        <v>104</v>
      </c>
      <c r="HZ92" t="s">
        <v>103</v>
      </c>
      <c r="IA92" t="s">
        <v>398</v>
      </c>
      <c r="IB92">
        <v>1</v>
      </c>
      <c r="IC92" t="s">
        <v>438</v>
      </c>
      <c r="ID92" t="s">
        <v>439</v>
      </c>
      <c r="IE92" t="s">
        <v>428</v>
      </c>
      <c r="IG92" t="s">
        <v>104</v>
      </c>
      <c r="IH92" t="s">
        <v>103</v>
      </c>
      <c r="II92" t="s">
        <v>398</v>
      </c>
      <c r="IJ92">
        <v>1</v>
      </c>
      <c r="IK92" t="s">
        <v>438</v>
      </c>
      <c r="IL92" t="s">
        <v>439</v>
      </c>
      <c r="IM92" t="s">
        <v>428</v>
      </c>
      <c r="IO92" t="s">
        <v>104</v>
      </c>
      <c r="IP92" t="s">
        <v>103</v>
      </c>
      <c r="IQ92" t="s">
        <v>398</v>
      </c>
      <c r="IR92">
        <v>1</v>
      </c>
      <c r="IS92" t="s">
        <v>438</v>
      </c>
      <c r="IT92" t="s">
        <v>439</v>
      </c>
      <c r="IU92" t="s">
        <v>428</v>
      </c>
      <c r="IW92" t="s">
        <v>104</v>
      </c>
      <c r="IX92" t="s">
        <v>103</v>
      </c>
      <c r="IY92" t="s">
        <v>398</v>
      </c>
      <c r="IZ92">
        <v>1</v>
      </c>
      <c r="JA92" t="s">
        <v>438</v>
      </c>
      <c r="JB92" t="s">
        <v>439</v>
      </c>
      <c r="JC92" t="s">
        <v>428</v>
      </c>
      <c r="JE92" t="s">
        <v>104</v>
      </c>
      <c r="JF92" t="s">
        <v>103</v>
      </c>
      <c r="JG92" t="s">
        <v>398</v>
      </c>
      <c r="JH92">
        <v>1</v>
      </c>
      <c r="JI92" t="s">
        <v>438</v>
      </c>
      <c r="JJ92" t="s">
        <v>439</v>
      </c>
      <c r="JK92" t="s">
        <v>428</v>
      </c>
      <c r="JM92" t="s">
        <v>104</v>
      </c>
      <c r="JN92" t="s">
        <v>103</v>
      </c>
      <c r="JO92" t="s">
        <v>398</v>
      </c>
      <c r="JP92">
        <v>1</v>
      </c>
      <c r="JQ92" t="s">
        <v>438</v>
      </c>
      <c r="JR92" t="s">
        <v>439</v>
      </c>
      <c r="JS92" t="s">
        <v>428</v>
      </c>
      <c r="JU92" t="s">
        <v>104</v>
      </c>
      <c r="JV92" t="s">
        <v>103</v>
      </c>
      <c r="JW92" t="s">
        <v>398</v>
      </c>
      <c r="JX92">
        <v>1</v>
      </c>
      <c r="JY92" t="s">
        <v>438</v>
      </c>
      <c r="JZ92" t="s">
        <v>439</v>
      </c>
      <c r="KA92" t="s">
        <v>428</v>
      </c>
      <c r="KC92" t="s">
        <v>104</v>
      </c>
      <c r="KD92" t="s">
        <v>103</v>
      </c>
      <c r="KE92" t="s">
        <v>398</v>
      </c>
      <c r="KF92">
        <v>1</v>
      </c>
      <c r="KG92" t="s">
        <v>438</v>
      </c>
      <c r="KH92" t="s">
        <v>439</v>
      </c>
      <c r="KI92" t="s">
        <v>428</v>
      </c>
      <c r="KK92" t="s">
        <v>104</v>
      </c>
      <c r="KL92" t="s">
        <v>103</v>
      </c>
      <c r="KM92" t="s">
        <v>398</v>
      </c>
      <c r="KN92">
        <v>1</v>
      </c>
      <c r="KO92" t="s">
        <v>438</v>
      </c>
      <c r="KP92" t="s">
        <v>439</v>
      </c>
      <c r="KQ92" t="s">
        <v>428</v>
      </c>
      <c r="KS92" t="s">
        <v>104</v>
      </c>
      <c r="KT92" t="s">
        <v>103</v>
      </c>
      <c r="KU92" t="s">
        <v>398</v>
      </c>
      <c r="KV92">
        <v>1</v>
      </c>
      <c r="KW92" t="s">
        <v>438</v>
      </c>
      <c r="KX92" t="s">
        <v>439</v>
      </c>
      <c r="KY92" t="s">
        <v>428</v>
      </c>
      <c r="LA92" t="s">
        <v>104</v>
      </c>
      <c r="LB92" t="s">
        <v>103</v>
      </c>
      <c r="LC92" t="s">
        <v>398</v>
      </c>
      <c r="LD92">
        <v>1</v>
      </c>
      <c r="LE92" t="s">
        <v>438</v>
      </c>
      <c r="LF92" t="s">
        <v>439</v>
      </c>
      <c r="LG92" t="s">
        <v>428</v>
      </c>
      <c r="LI92" t="s">
        <v>104</v>
      </c>
      <c r="LJ92" t="s">
        <v>103</v>
      </c>
      <c r="LK92" t="s">
        <v>398</v>
      </c>
      <c r="LL92">
        <v>1</v>
      </c>
      <c r="LM92" t="s">
        <v>438</v>
      </c>
      <c r="LN92" t="s">
        <v>439</v>
      </c>
      <c r="LO92" t="s">
        <v>428</v>
      </c>
      <c r="LQ92" t="s">
        <v>104</v>
      </c>
      <c r="LR92" t="s">
        <v>103</v>
      </c>
      <c r="LS92" t="s">
        <v>398</v>
      </c>
      <c r="LT92">
        <v>1</v>
      </c>
      <c r="LU92" t="s">
        <v>438</v>
      </c>
      <c r="LV92" t="s">
        <v>439</v>
      </c>
      <c r="LW92" t="s">
        <v>428</v>
      </c>
      <c r="LY92" t="s">
        <v>104</v>
      </c>
      <c r="LZ92" t="s">
        <v>103</v>
      </c>
      <c r="MA92" t="s">
        <v>398</v>
      </c>
      <c r="MB92">
        <v>1</v>
      </c>
      <c r="MC92" t="s">
        <v>438</v>
      </c>
      <c r="MD92" t="s">
        <v>439</v>
      </c>
      <c r="ME92" t="s">
        <v>428</v>
      </c>
      <c r="MG92" t="s">
        <v>104</v>
      </c>
      <c r="MH92" t="s">
        <v>103</v>
      </c>
      <c r="MI92" t="s">
        <v>398</v>
      </c>
      <c r="MJ92">
        <v>1</v>
      </c>
      <c r="MK92" t="s">
        <v>438</v>
      </c>
      <c r="ML92" t="s">
        <v>439</v>
      </c>
      <c r="MM92" t="s">
        <v>428</v>
      </c>
      <c r="MO92" t="s">
        <v>104</v>
      </c>
      <c r="MP92" t="s">
        <v>103</v>
      </c>
      <c r="MQ92" t="s">
        <v>398</v>
      </c>
      <c r="MR92">
        <v>1</v>
      </c>
      <c r="MS92" t="s">
        <v>438</v>
      </c>
      <c r="MT92" t="s">
        <v>439</v>
      </c>
      <c r="MU92" t="s">
        <v>428</v>
      </c>
      <c r="MW92" t="s">
        <v>104</v>
      </c>
      <c r="MX92" t="s">
        <v>103</v>
      </c>
      <c r="MY92" t="s">
        <v>398</v>
      </c>
      <c r="MZ92">
        <v>1</v>
      </c>
      <c r="NA92" t="s">
        <v>438</v>
      </c>
      <c r="NB92" t="s">
        <v>439</v>
      </c>
      <c r="NC92" t="s">
        <v>428</v>
      </c>
      <c r="NE92" t="s">
        <v>104</v>
      </c>
      <c r="NF92" t="s">
        <v>103</v>
      </c>
      <c r="NG92" t="s">
        <v>398</v>
      </c>
      <c r="NH92">
        <v>1</v>
      </c>
      <c r="NI92" t="s">
        <v>438</v>
      </c>
      <c r="NJ92" t="s">
        <v>439</v>
      </c>
      <c r="NK92" t="s">
        <v>428</v>
      </c>
      <c r="NM92" t="s">
        <v>104</v>
      </c>
      <c r="NN92" t="s">
        <v>103</v>
      </c>
      <c r="NO92" t="s">
        <v>398</v>
      </c>
      <c r="NP92">
        <v>1</v>
      </c>
      <c r="NQ92" t="s">
        <v>438</v>
      </c>
      <c r="NR92" t="s">
        <v>439</v>
      </c>
      <c r="NS92" t="s">
        <v>428</v>
      </c>
      <c r="NU92" t="s">
        <v>104</v>
      </c>
      <c r="NV92" t="s">
        <v>103</v>
      </c>
      <c r="NW92" t="s">
        <v>398</v>
      </c>
      <c r="NX92">
        <v>1</v>
      </c>
      <c r="NY92" t="s">
        <v>438</v>
      </c>
      <c r="NZ92" t="s">
        <v>439</v>
      </c>
      <c r="OA92" t="s">
        <v>428</v>
      </c>
      <c r="OC92" t="s">
        <v>104</v>
      </c>
      <c r="OD92" t="s">
        <v>103</v>
      </c>
      <c r="OE92" t="s">
        <v>398</v>
      </c>
      <c r="OF92">
        <v>1</v>
      </c>
      <c r="OG92" t="s">
        <v>438</v>
      </c>
      <c r="OH92" t="s">
        <v>439</v>
      </c>
      <c r="OI92" t="s">
        <v>428</v>
      </c>
      <c r="OK92" t="s">
        <v>104</v>
      </c>
      <c r="OL92" t="s">
        <v>103</v>
      </c>
      <c r="OM92" t="s">
        <v>398</v>
      </c>
      <c r="ON92">
        <v>1</v>
      </c>
      <c r="OO92" t="s">
        <v>438</v>
      </c>
      <c r="OP92" t="s">
        <v>439</v>
      </c>
      <c r="OQ92" t="s">
        <v>428</v>
      </c>
      <c r="OS92" t="s">
        <v>104</v>
      </c>
      <c r="OT92" t="s">
        <v>103</v>
      </c>
      <c r="OU92" t="s">
        <v>398</v>
      </c>
      <c r="OV92">
        <v>1</v>
      </c>
      <c r="OW92" t="s">
        <v>438</v>
      </c>
      <c r="OX92" t="s">
        <v>439</v>
      </c>
      <c r="OY92" t="s">
        <v>428</v>
      </c>
      <c r="PA92" t="s">
        <v>104</v>
      </c>
      <c r="PB92" t="s">
        <v>103</v>
      </c>
      <c r="PC92" t="s">
        <v>398</v>
      </c>
      <c r="PD92">
        <v>1</v>
      </c>
      <c r="PE92" t="s">
        <v>438</v>
      </c>
      <c r="PF92" t="s">
        <v>439</v>
      </c>
      <c r="PG92" t="s">
        <v>428</v>
      </c>
      <c r="PI92" t="s">
        <v>104</v>
      </c>
      <c r="PJ92" t="s">
        <v>103</v>
      </c>
      <c r="PK92" t="s">
        <v>398</v>
      </c>
      <c r="PL92">
        <v>1</v>
      </c>
      <c r="PM92" t="s">
        <v>438</v>
      </c>
      <c r="PN92" t="s">
        <v>439</v>
      </c>
      <c r="PO92" t="s">
        <v>428</v>
      </c>
      <c r="PQ92" t="s">
        <v>104</v>
      </c>
      <c r="PR92" t="s">
        <v>103</v>
      </c>
      <c r="PS92" t="s">
        <v>398</v>
      </c>
      <c r="PT92">
        <v>1</v>
      </c>
      <c r="PU92" t="s">
        <v>438</v>
      </c>
      <c r="PV92" t="s">
        <v>439</v>
      </c>
      <c r="PW92" t="s">
        <v>428</v>
      </c>
      <c r="PY92" t="s">
        <v>104</v>
      </c>
      <c r="PZ92" t="s">
        <v>103</v>
      </c>
      <c r="QA92" t="s">
        <v>398</v>
      </c>
      <c r="QB92">
        <v>1</v>
      </c>
      <c r="QC92" t="s">
        <v>438</v>
      </c>
      <c r="QD92" t="s">
        <v>439</v>
      </c>
      <c r="QE92" t="s">
        <v>428</v>
      </c>
      <c r="QG92" t="s">
        <v>104</v>
      </c>
      <c r="QH92" t="s">
        <v>103</v>
      </c>
      <c r="QI92" t="s">
        <v>398</v>
      </c>
      <c r="QJ92">
        <v>1</v>
      </c>
      <c r="QK92" t="s">
        <v>438</v>
      </c>
      <c r="QL92" t="s">
        <v>439</v>
      </c>
      <c r="QM92" t="s">
        <v>428</v>
      </c>
      <c r="QO92" t="s">
        <v>104</v>
      </c>
      <c r="QP92" t="s">
        <v>103</v>
      </c>
      <c r="QQ92" t="s">
        <v>398</v>
      </c>
      <c r="QR92">
        <v>1</v>
      </c>
      <c r="QS92" t="s">
        <v>438</v>
      </c>
      <c r="QT92" t="s">
        <v>439</v>
      </c>
      <c r="QU92" t="s">
        <v>428</v>
      </c>
      <c r="QW92" t="s">
        <v>104</v>
      </c>
      <c r="QX92" t="s">
        <v>103</v>
      </c>
      <c r="QY92" t="s">
        <v>398</v>
      </c>
      <c r="QZ92">
        <v>1</v>
      </c>
      <c r="RA92" t="s">
        <v>438</v>
      </c>
      <c r="RB92" t="s">
        <v>439</v>
      </c>
      <c r="RC92" t="s">
        <v>428</v>
      </c>
      <c r="RE92" t="s">
        <v>104</v>
      </c>
      <c r="RF92" t="s">
        <v>103</v>
      </c>
      <c r="RG92" t="s">
        <v>398</v>
      </c>
      <c r="RH92">
        <v>1</v>
      </c>
      <c r="RI92" t="s">
        <v>438</v>
      </c>
      <c r="RJ92" t="s">
        <v>439</v>
      </c>
      <c r="RK92" t="s">
        <v>428</v>
      </c>
      <c r="RM92" t="s">
        <v>104</v>
      </c>
      <c r="RN92" t="s">
        <v>103</v>
      </c>
      <c r="RO92" t="s">
        <v>398</v>
      </c>
      <c r="RP92">
        <v>1</v>
      </c>
      <c r="RQ92" t="s">
        <v>438</v>
      </c>
      <c r="RR92" t="s">
        <v>439</v>
      </c>
      <c r="RS92" t="s">
        <v>428</v>
      </c>
      <c r="RU92" t="s">
        <v>104</v>
      </c>
      <c r="RV92" t="s">
        <v>103</v>
      </c>
      <c r="RW92" t="s">
        <v>398</v>
      </c>
      <c r="RX92">
        <v>1</v>
      </c>
      <c r="RY92" t="s">
        <v>438</v>
      </c>
      <c r="RZ92" t="s">
        <v>439</v>
      </c>
      <c r="SA92" t="s">
        <v>428</v>
      </c>
      <c r="SC92" t="s">
        <v>104</v>
      </c>
      <c r="SD92" t="s">
        <v>103</v>
      </c>
      <c r="SE92" t="s">
        <v>398</v>
      </c>
      <c r="SF92">
        <v>1</v>
      </c>
      <c r="SG92" t="s">
        <v>438</v>
      </c>
      <c r="SH92" t="s">
        <v>439</v>
      </c>
      <c r="SI92" t="s">
        <v>428</v>
      </c>
      <c r="SK92" t="s">
        <v>104</v>
      </c>
      <c r="SL92" t="s">
        <v>103</v>
      </c>
      <c r="SM92" t="s">
        <v>398</v>
      </c>
      <c r="SN92">
        <v>1</v>
      </c>
      <c r="SO92" t="s">
        <v>438</v>
      </c>
      <c r="SP92" t="s">
        <v>439</v>
      </c>
      <c r="SQ92" t="s">
        <v>428</v>
      </c>
      <c r="SS92" t="s">
        <v>104</v>
      </c>
      <c r="ST92" t="s">
        <v>103</v>
      </c>
      <c r="SU92" t="s">
        <v>398</v>
      </c>
      <c r="SV92">
        <v>1</v>
      </c>
      <c r="SW92" t="s">
        <v>438</v>
      </c>
      <c r="SX92" t="s">
        <v>439</v>
      </c>
      <c r="SY92" t="s">
        <v>428</v>
      </c>
      <c r="TA92" t="s">
        <v>104</v>
      </c>
      <c r="TB92" t="s">
        <v>103</v>
      </c>
      <c r="TC92" t="s">
        <v>398</v>
      </c>
      <c r="TD92">
        <v>1</v>
      </c>
      <c r="TE92" t="s">
        <v>438</v>
      </c>
      <c r="TF92" t="s">
        <v>439</v>
      </c>
      <c r="TG92" t="s">
        <v>428</v>
      </c>
      <c r="TI92" t="s">
        <v>104</v>
      </c>
      <c r="TJ92" t="s">
        <v>103</v>
      </c>
      <c r="TK92" t="s">
        <v>398</v>
      </c>
      <c r="TL92">
        <v>1</v>
      </c>
      <c r="TM92" t="s">
        <v>438</v>
      </c>
      <c r="TN92" t="s">
        <v>439</v>
      </c>
      <c r="TO92" t="s">
        <v>428</v>
      </c>
      <c r="TQ92" t="s">
        <v>104</v>
      </c>
      <c r="TR92" t="s">
        <v>103</v>
      </c>
      <c r="TS92" t="s">
        <v>398</v>
      </c>
      <c r="TT92">
        <v>1</v>
      </c>
      <c r="TU92" t="s">
        <v>438</v>
      </c>
      <c r="TV92" t="s">
        <v>439</v>
      </c>
      <c r="TW92" t="s">
        <v>428</v>
      </c>
      <c r="TY92" t="s">
        <v>104</v>
      </c>
      <c r="TZ92" t="s">
        <v>103</v>
      </c>
      <c r="UA92" t="s">
        <v>398</v>
      </c>
      <c r="UB92">
        <v>1</v>
      </c>
      <c r="UC92" t="s">
        <v>438</v>
      </c>
      <c r="UD92" t="s">
        <v>439</v>
      </c>
      <c r="UE92" t="s">
        <v>428</v>
      </c>
      <c r="UG92" t="s">
        <v>104</v>
      </c>
      <c r="UH92" t="s">
        <v>103</v>
      </c>
      <c r="UI92" t="s">
        <v>398</v>
      </c>
      <c r="UJ92">
        <v>1</v>
      </c>
      <c r="UK92" t="s">
        <v>438</v>
      </c>
      <c r="UL92" t="s">
        <v>439</v>
      </c>
      <c r="UM92" t="s">
        <v>428</v>
      </c>
      <c r="UO92" t="s">
        <v>104</v>
      </c>
      <c r="UP92" t="s">
        <v>103</v>
      </c>
      <c r="UQ92" t="s">
        <v>398</v>
      </c>
      <c r="UR92">
        <v>1</v>
      </c>
      <c r="US92" t="s">
        <v>438</v>
      </c>
      <c r="UT92" t="s">
        <v>439</v>
      </c>
      <c r="UU92" t="s">
        <v>428</v>
      </c>
      <c r="UW92" t="s">
        <v>104</v>
      </c>
      <c r="UX92" t="s">
        <v>103</v>
      </c>
      <c r="UY92" t="s">
        <v>398</v>
      </c>
      <c r="UZ92">
        <v>1</v>
      </c>
      <c r="VA92" t="s">
        <v>438</v>
      </c>
      <c r="VB92" t="s">
        <v>439</v>
      </c>
      <c r="VC92" t="s">
        <v>428</v>
      </c>
      <c r="VE92" t="s">
        <v>104</v>
      </c>
      <c r="VF92" t="s">
        <v>103</v>
      </c>
      <c r="VG92" t="s">
        <v>398</v>
      </c>
      <c r="VH92">
        <v>1</v>
      </c>
      <c r="VI92" t="s">
        <v>438</v>
      </c>
      <c r="VJ92" t="s">
        <v>439</v>
      </c>
      <c r="VK92" t="s">
        <v>428</v>
      </c>
      <c r="VM92" t="s">
        <v>104</v>
      </c>
      <c r="VN92" t="s">
        <v>103</v>
      </c>
      <c r="VO92" t="s">
        <v>398</v>
      </c>
      <c r="VP92">
        <v>1</v>
      </c>
      <c r="VQ92" t="s">
        <v>438</v>
      </c>
      <c r="VR92" t="s">
        <v>439</v>
      </c>
      <c r="VS92" t="s">
        <v>428</v>
      </c>
      <c r="VU92" t="s">
        <v>104</v>
      </c>
      <c r="VV92" t="s">
        <v>103</v>
      </c>
      <c r="VW92" t="s">
        <v>398</v>
      </c>
      <c r="VX92">
        <v>1</v>
      </c>
      <c r="VY92" t="s">
        <v>438</v>
      </c>
      <c r="VZ92" t="s">
        <v>439</v>
      </c>
      <c r="WA92" t="s">
        <v>428</v>
      </c>
      <c r="WC92" t="s">
        <v>104</v>
      </c>
      <c r="WD92" t="s">
        <v>103</v>
      </c>
      <c r="WE92" t="s">
        <v>398</v>
      </c>
      <c r="WF92">
        <v>1</v>
      </c>
      <c r="WG92" t="s">
        <v>438</v>
      </c>
      <c r="WH92" t="s">
        <v>439</v>
      </c>
      <c r="WI92" t="s">
        <v>428</v>
      </c>
      <c r="WK92" t="s">
        <v>104</v>
      </c>
      <c r="WL92" t="s">
        <v>103</v>
      </c>
      <c r="WM92" t="s">
        <v>398</v>
      </c>
      <c r="WN92">
        <v>1</v>
      </c>
      <c r="WO92" t="s">
        <v>438</v>
      </c>
      <c r="WP92" t="s">
        <v>439</v>
      </c>
      <c r="WQ92" t="s">
        <v>428</v>
      </c>
      <c r="WS92" t="s">
        <v>104</v>
      </c>
      <c r="WT92" t="s">
        <v>103</v>
      </c>
      <c r="WU92" t="s">
        <v>398</v>
      </c>
      <c r="WV92">
        <v>1</v>
      </c>
      <c r="WW92" t="s">
        <v>438</v>
      </c>
      <c r="WX92" t="s">
        <v>439</v>
      </c>
      <c r="WY92" t="s">
        <v>428</v>
      </c>
      <c r="XA92" t="s">
        <v>104</v>
      </c>
      <c r="XB92" t="s">
        <v>103</v>
      </c>
      <c r="XC92" t="s">
        <v>398</v>
      </c>
      <c r="XD92">
        <v>1</v>
      </c>
      <c r="XE92" t="s">
        <v>438</v>
      </c>
      <c r="XF92" t="s">
        <v>439</v>
      </c>
      <c r="XG92" t="s">
        <v>428</v>
      </c>
      <c r="XI92" t="s">
        <v>104</v>
      </c>
      <c r="XJ92" t="s">
        <v>103</v>
      </c>
      <c r="XK92" t="s">
        <v>398</v>
      </c>
      <c r="XL92">
        <v>1</v>
      </c>
      <c r="XM92" t="s">
        <v>438</v>
      </c>
      <c r="XN92" t="s">
        <v>439</v>
      </c>
      <c r="XO92" t="s">
        <v>428</v>
      </c>
      <c r="XQ92" t="s">
        <v>104</v>
      </c>
      <c r="XR92" t="s">
        <v>103</v>
      </c>
      <c r="XS92" t="s">
        <v>398</v>
      </c>
      <c r="XT92">
        <v>1</v>
      </c>
      <c r="XU92" t="s">
        <v>438</v>
      </c>
      <c r="XV92" t="s">
        <v>439</v>
      </c>
      <c r="XW92" t="s">
        <v>428</v>
      </c>
      <c r="XY92" t="s">
        <v>104</v>
      </c>
      <c r="XZ92" t="s">
        <v>103</v>
      </c>
      <c r="YA92" t="s">
        <v>398</v>
      </c>
      <c r="YB92">
        <v>1</v>
      </c>
      <c r="YC92" t="s">
        <v>438</v>
      </c>
      <c r="YD92" t="s">
        <v>439</v>
      </c>
      <c r="YE92" t="s">
        <v>428</v>
      </c>
      <c r="YG92" t="s">
        <v>104</v>
      </c>
      <c r="YH92" t="s">
        <v>103</v>
      </c>
      <c r="YI92" t="s">
        <v>398</v>
      </c>
      <c r="YJ92">
        <v>1</v>
      </c>
      <c r="YK92" t="s">
        <v>438</v>
      </c>
      <c r="YL92" t="s">
        <v>439</v>
      </c>
      <c r="YM92" t="s">
        <v>428</v>
      </c>
      <c r="YO92" t="s">
        <v>104</v>
      </c>
      <c r="YP92" t="s">
        <v>103</v>
      </c>
      <c r="YQ92" t="s">
        <v>398</v>
      </c>
      <c r="YR92">
        <v>1</v>
      </c>
      <c r="YS92" t="s">
        <v>438</v>
      </c>
      <c r="YT92" t="s">
        <v>439</v>
      </c>
      <c r="YU92" t="s">
        <v>428</v>
      </c>
      <c r="YW92" t="s">
        <v>104</v>
      </c>
      <c r="YX92" t="s">
        <v>103</v>
      </c>
      <c r="YY92" t="s">
        <v>398</v>
      </c>
      <c r="YZ92">
        <v>1</v>
      </c>
      <c r="ZA92" t="s">
        <v>438</v>
      </c>
      <c r="ZB92" t="s">
        <v>439</v>
      </c>
      <c r="ZC92" t="s">
        <v>428</v>
      </c>
      <c r="ZE92" t="s">
        <v>104</v>
      </c>
      <c r="ZF92" t="s">
        <v>103</v>
      </c>
      <c r="ZG92" t="s">
        <v>398</v>
      </c>
      <c r="ZH92">
        <v>1</v>
      </c>
      <c r="ZI92" t="s">
        <v>438</v>
      </c>
      <c r="ZJ92" t="s">
        <v>439</v>
      </c>
      <c r="ZK92" t="s">
        <v>428</v>
      </c>
      <c r="ZM92" t="s">
        <v>104</v>
      </c>
      <c r="ZN92" t="s">
        <v>103</v>
      </c>
      <c r="ZO92" t="s">
        <v>398</v>
      </c>
      <c r="ZP92">
        <v>1</v>
      </c>
      <c r="ZQ92" t="s">
        <v>438</v>
      </c>
      <c r="ZR92" t="s">
        <v>439</v>
      </c>
      <c r="ZS92" t="s">
        <v>428</v>
      </c>
      <c r="ZU92" t="s">
        <v>104</v>
      </c>
      <c r="ZV92" t="s">
        <v>103</v>
      </c>
      <c r="ZW92" t="s">
        <v>398</v>
      </c>
      <c r="ZX92">
        <v>1</v>
      </c>
      <c r="ZY92" t="s">
        <v>438</v>
      </c>
      <c r="ZZ92" t="s">
        <v>439</v>
      </c>
      <c r="AAA92" t="s">
        <v>428</v>
      </c>
      <c r="AAC92" t="s">
        <v>104</v>
      </c>
      <c r="AAD92" t="s">
        <v>103</v>
      </c>
      <c r="AAE92" t="s">
        <v>398</v>
      </c>
      <c r="AAF92">
        <v>1</v>
      </c>
      <c r="AAG92" t="s">
        <v>438</v>
      </c>
      <c r="AAH92" t="s">
        <v>439</v>
      </c>
      <c r="AAI92" t="s">
        <v>428</v>
      </c>
      <c r="AAK92" t="s">
        <v>104</v>
      </c>
      <c r="AAL92" t="s">
        <v>103</v>
      </c>
      <c r="AAM92" t="s">
        <v>398</v>
      </c>
      <c r="AAN92">
        <v>1</v>
      </c>
      <c r="AAO92" t="s">
        <v>438</v>
      </c>
      <c r="AAP92" t="s">
        <v>439</v>
      </c>
      <c r="AAQ92" t="s">
        <v>428</v>
      </c>
      <c r="AAS92" t="s">
        <v>104</v>
      </c>
      <c r="AAT92" t="s">
        <v>103</v>
      </c>
      <c r="AAU92" t="s">
        <v>398</v>
      </c>
      <c r="AAV92">
        <v>1</v>
      </c>
      <c r="AAW92" t="s">
        <v>438</v>
      </c>
      <c r="AAX92" t="s">
        <v>439</v>
      </c>
      <c r="AAY92" t="s">
        <v>428</v>
      </c>
      <c r="ABA92" t="s">
        <v>104</v>
      </c>
      <c r="ABB92" t="s">
        <v>103</v>
      </c>
      <c r="ABC92" t="s">
        <v>398</v>
      </c>
      <c r="ABD92">
        <v>1</v>
      </c>
      <c r="ABE92" t="s">
        <v>438</v>
      </c>
      <c r="ABF92" t="s">
        <v>439</v>
      </c>
      <c r="ABG92" t="s">
        <v>428</v>
      </c>
      <c r="ABI92" t="s">
        <v>104</v>
      </c>
      <c r="ABJ92" t="s">
        <v>103</v>
      </c>
      <c r="ABK92" t="s">
        <v>398</v>
      </c>
      <c r="ABL92">
        <v>1</v>
      </c>
      <c r="ABM92" t="s">
        <v>438</v>
      </c>
      <c r="ABN92" t="s">
        <v>439</v>
      </c>
      <c r="ABO92" t="s">
        <v>428</v>
      </c>
      <c r="ABQ92" t="s">
        <v>104</v>
      </c>
      <c r="ABR92" t="s">
        <v>103</v>
      </c>
      <c r="ABS92" t="s">
        <v>398</v>
      </c>
      <c r="ABT92">
        <v>1</v>
      </c>
      <c r="ABU92" t="s">
        <v>438</v>
      </c>
      <c r="ABV92" t="s">
        <v>439</v>
      </c>
      <c r="ABW92" t="s">
        <v>428</v>
      </c>
      <c r="ABY92" t="s">
        <v>104</v>
      </c>
      <c r="ABZ92" t="s">
        <v>103</v>
      </c>
      <c r="ACA92" t="s">
        <v>398</v>
      </c>
      <c r="ACB92">
        <v>1</v>
      </c>
      <c r="ACC92" t="s">
        <v>438</v>
      </c>
      <c r="ACD92" t="s">
        <v>439</v>
      </c>
      <c r="ACE92" t="s">
        <v>428</v>
      </c>
      <c r="ACG92" t="s">
        <v>104</v>
      </c>
      <c r="ACH92" t="s">
        <v>103</v>
      </c>
      <c r="ACI92" t="s">
        <v>398</v>
      </c>
      <c r="ACJ92">
        <v>1</v>
      </c>
      <c r="ACK92" t="s">
        <v>438</v>
      </c>
      <c r="ACL92" t="s">
        <v>439</v>
      </c>
      <c r="ACM92" t="s">
        <v>428</v>
      </c>
      <c r="ACO92" t="s">
        <v>104</v>
      </c>
      <c r="ACP92" t="s">
        <v>103</v>
      </c>
      <c r="ACQ92" t="s">
        <v>398</v>
      </c>
      <c r="ACR92">
        <v>1</v>
      </c>
      <c r="ACS92" t="s">
        <v>438</v>
      </c>
      <c r="ACT92" t="s">
        <v>439</v>
      </c>
      <c r="ACU92" t="s">
        <v>428</v>
      </c>
      <c r="ACW92" t="s">
        <v>104</v>
      </c>
      <c r="ACX92" t="s">
        <v>103</v>
      </c>
      <c r="ACY92" t="s">
        <v>398</v>
      </c>
      <c r="ACZ92">
        <v>1</v>
      </c>
      <c r="ADA92" t="s">
        <v>438</v>
      </c>
      <c r="ADB92" t="s">
        <v>439</v>
      </c>
      <c r="ADC92" t="s">
        <v>428</v>
      </c>
      <c r="ADE92" t="s">
        <v>104</v>
      </c>
      <c r="ADF92" t="s">
        <v>103</v>
      </c>
      <c r="ADG92" t="s">
        <v>398</v>
      </c>
      <c r="ADH92">
        <v>1</v>
      </c>
      <c r="ADI92" t="s">
        <v>438</v>
      </c>
      <c r="ADJ92" t="s">
        <v>439</v>
      </c>
      <c r="ADK92" t="s">
        <v>428</v>
      </c>
      <c r="ADM92" t="s">
        <v>104</v>
      </c>
      <c r="ADN92" t="s">
        <v>103</v>
      </c>
      <c r="ADO92" t="s">
        <v>398</v>
      </c>
      <c r="ADP92">
        <v>1</v>
      </c>
      <c r="ADQ92" t="s">
        <v>438</v>
      </c>
      <c r="ADR92" t="s">
        <v>439</v>
      </c>
      <c r="ADS92" t="s">
        <v>428</v>
      </c>
      <c r="ADU92" t="s">
        <v>104</v>
      </c>
      <c r="ADV92" t="s">
        <v>103</v>
      </c>
      <c r="ADW92" t="s">
        <v>398</v>
      </c>
      <c r="ADX92">
        <v>1</v>
      </c>
      <c r="ADY92" t="s">
        <v>438</v>
      </c>
      <c r="ADZ92" t="s">
        <v>439</v>
      </c>
      <c r="AEA92" t="s">
        <v>428</v>
      </c>
      <c r="AEC92" t="s">
        <v>104</v>
      </c>
      <c r="AED92" t="s">
        <v>103</v>
      </c>
      <c r="AEE92" t="s">
        <v>398</v>
      </c>
      <c r="AEF92">
        <v>1</v>
      </c>
      <c r="AEG92" t="s">
        <v>438</v>
      </c>
      <c r="AEH92" t="s">
        <v>439</v>
      </c>
      <c r="AEI92" t="s">
        <v>428</v>
      </c>
      <c r="AEK92" t="s">
        <v>104</v>
      </c>
      <c r="AEL92" t="s">
        <v>103</v>
      </c>
      <c r="AEM92" t="s">
        <v>398</v>
      </c>
      <c r="AEN92">
        <v>1</v>
      </c>
      <c r="AEO92" t="s">
        <v>438</v>
      </c>
      <c r="AEP92" t="s">
        <v>439</v>
      </c>
      <c r="AEQ92" t="s">
        <v>428</v>
      </c>
      <c r="AES92" t="s">
        <v>104</v>
      </c>
      <c r="AET92" t="s">
        <v>103</v>
      </c>
      <c r="AEU92" t="s">
        <v>398</v>
      </c>
      <c r="AEV92">
        <v>1</v>
      </c>
      <c r="AEW92" t="s">
        <v>438</v>
      </c>
      <c r="AEX92" t="s">
        <v>439</v>
      </c>
      <c r="AEY92" t="s">
        <v>428</v>
      </c>
      <c r="AFA92" t="s">
        <v>104</v>
      </c>
      <c r="AFB92" t="s">
        <v>103</v>
      </c>
      <c r="AFC92" t="s">
        <v>398</v>
      </c>
      <c r="AFD92">
        <v>1</v>
      </c>
      <c r="AFE92" t="s">
        <v>438</v>
      </c>
      <c r="AFF92" t="s">
        <v>439</v>
      </c>
      <c r="AFG92" t="s">
        <v>428</v>
      </c>
      <c r="AFI92" t="s">
        <v>104</v>
      </c>
      <c r="AFJ92" t="s">
        <v>103</v>
      </c>
      <c r="AFK92" t="s">
        <v>398</v>
      </c>
      <c r="AFL92">
        <v>1</v>
      </c>
      <c r="AFM92" t="s">
        <v>438</v>
      </c>
      <c r="AFN92" t="s">
        <v>439</v>
      </c>
      <c r="AFO92" t="s">
        <v>428</v>
      </c>
      <c r="AFQ92" t="s">
        <v>104</v>
      </c>
      <c r="AFR92" t="s">
        <v>103</v>
      </c>
      <c r="AFS92" t="s">
        <v>398</v>
      </c>
      <c r="AFT92">
        <v>1</v>
      </c>
      <c r="AFU92" t="s">
        <v>438</v>
      </c>
      <c r="AFV92" t="s">
        <v>439</v>
      </c>
      <c r="AFW92" t="s">
        <v>428</v>
      </c>
      <c r="AFY92" t="s">
        <v>104</v>
      </c>
      <c r="AFZ92" t="s">
        <v>103</v>
      </c>
      <c r="AGA92" t="s">
        <v>398</v>
      </c>
      <c r="AGB92">
        <v>1</v>
      </c>
      <c r="AGC92" t="s">
        <v>438</v>
      </c>
      <c r="AGD92" t="s">
        <v>439</v>
      </c>
      <c r="AGE92" t="s">
        <v>428</v>
      </c>
      <c r="AGG92" t="s">
        <v>104</v>
      </c>
      <c r="AGH92" t="s">
        <v>103</v>
      </c>
      <c r="AGI92" t="s">
        <v>398</v>
      </c>
      <c r="AGJ92">
        <v>1</v>
      </c>
      <c r="AGK92" t="s">
        <v>438</v>
      </c>
      <c r="AGL92" t="s">
        <v>439</v>
      </c>
      <c r="AGM92" t="s">
        <v>428</v>
      </c>
      <c r="AGO92" t="s">
        <v>104</v>
      </c>
      <c r="AGP92" t="s">
        <v>103</v>
      </c>
      <c r="AGQ92" t="s">
        <v>398</v>
      </c>
      <c r="AGR92">
        <v>1</v>
      </c>
      <c r="AGS92" t="s">
        <v>438</v>
      </c>
      <c r="AGT92" t="s">
        <v>439</v>
      </c>
      <c r="AGU92" t="s">
        <v>428</v>
      </c>
      <c r="AGW92" t="s">
        <v>104</v>
      </c>
      <c r="AGX92" t="s">
        <v>103</v>
      </c>
      <c r="AGY92" t="s">
        <v>398</v>
      </c>
      <c r="AGZ92">
        <v>1</v>
      </c>
      <c r="AHA92" t="s">
        <v>438</v>
      </c>
      <c r="AHB92" t="s">
        <v>439</v>
      </c>
      <c r="AHC92" t="s">
        <v>428</v>
      </c>
      <c r="AHE92" t="s">
        <v>104</v>
      </c>
      <c r="AHF92" t="s">
        <v>103</v>
      </c>
      <c r="AHG92" t="s">
        <v>398</v>
      </c>
      <c r="AHH92">
        <v>1</v>
      </c>
      <c r="AHI92" t="s">
        <v>438</v>
      </c>
      <c r="AHJ92" t="s">
        <v>439</v>
      </c>
      <c r="AHK92" t="s">
        <v>428</v>
      </c>
      <c r="AHM92" t="s">
        <v>104</v>
      </c>
      <c r="AHN92" t="s">
        <v>103</v>
      </c>
      <c r="AHO92" t="s">
        <v>398</v>
      </c>
      <c r="AHP92">
        <v>1</v>
      </c>
      <c r="AHQ92" t="s">
        <v>438</v>
      </c>
      <c r="AHR92" t="s">
        <v>439</v>
      </c>
      <c r="AHS92" t="s">
        <v>428</v>
      </c>
      <c r="AHU92" t="s">
        <v>104</v>
      </c>
      <c r="AHV92" t="s">
        <v>103</v>
      </c>
      <c r="AHW92" t="s">
        <v>398</v>
      </c>
      <c r="AHX92">
        <v>1</v>
      </c>
      <c r="AHY92" t="s">
        <v>438</v>
      </c>
      <c r="AHZ92" t="s">
        <v>439</v>
      </c>
      <c r="AIA92" t="s">
        <v>428</v>
      </c>
      <c r="AIC92" t="s">
        <v>104</v>
      </c>
      <c r="AID92" t="s">
        <v>103</v>
      </c>
      <c r="AIE92" t="s">
        <v>398</v>
      </c>
      <c r="AIF92">
        <v>1</v>
      </c>
      <c r="AIG92" t="s">
        <v>438</v>
      </c>
      <c r="AIH92" t="s">
        <v>439</v>
      </c>
      <c r="AII92" t="s">
        <v>428</v>
      </c>
      <c r="AIK92" t="s">
        <v>104</v>
      </c>
      <c r="AIL92" t="s">
        <v>103</v>
      </c>
      <c r="AIM92" t="s">
        <v>398</v>
      </c>
      <c r="AIN92">
        <v>1</v>
      </c>
      <c r="AIO92" t="s">
        <v>438</v>
      </c>
      <c r="AIP92" t="s">
        <v>439</v>
      </c>
      <c r="AIQ92" t="s">
        <v>428</v>
      </c>
      <c r="AIS92" t="s">
        <v>104</v>
      </c>
      <c r="AIT92" t="s">
        <v>103</v>
      </c>
      <c r="AIU92" t="s">
        <v>398</v>
      </c>
      <c r="AIV92">
        <v>1</v>
      </c>
      <c r="AIW92" t="s">
        <v>438</v>
      </c>
      <c r="AIX92" t="s">
        <v>439</v>
      </c>
      <c r="AIY92" t="s">
        <v>428</v>
      </c>
      <c r="AJA92" t="s">
        <v>104</v>
      </c>
      <c r="AJB92" t="s">
        <v>103</v>
      </c>
      <c r="AJC92" t="s">
        <v>398</v>
      </c>
      <c r="AJD92">
        <v>1</v>
      </c>
      <c r="AJE92" t="s">
        <v>438</v>
      </c>
      <c r="AJF92" t="s">
        <v>439</v>
      </c>
      <c r="AJG92" t="s">
        <v>428</v>
      </c>
      <c r="AJI92" t="s">
        <v>104</v>
      </c>
      <c r="AJJ92" t="s">
        <v>103</v>
      </c>
      <c r="AJK92" t="s">
        <v>398</v>
      </c>
      <c r="AJL92">
        <v>1</v>
      </c>
      <c r="AJM92" t="s">
        <v>438</v>
      </c>
      <c r="AJN92" t="s">
        <v>439</v>
      </c>
      <c r="AJO92" t="s">
        <v>428</v>
      </c>
      <c r="AJQ92" t="s">
        <v>104</v>
      </c>
      <c r="AJR92" t="s">
        <v>103</v>
      </c>
      <c r="AJS92" t="s">
        <v>398</v>
      </c>
      <c r="AJT92">
        <v>1</v>
      </c>
      <c r="AJU92" t="s">
        <v>438</v>
      </c>
      <c r="AJV92" t="s">
        <v>439</v>
      </c>
      <c r="AJW92" t="s">
        <v>428</v>
      </c>
      <c r="AJY92" t="s">
        <v>104</v>
      </c>
      <c r="AJZ92" t="s">
        <v>103</v>
      </c>
      <c r="AKA92" t="s">
        <v>398</v>
      </c>
      <c r="AKB92">
        <v>1</v>
      </c>
      <c r="AKC92" t="s">
        <v>438</v>
      </c>
      <c r="AKD92" t="s">
        <v>439</v>
      </c>
      <c r="AKE92" t="s">
        <v>428</v>
      </c>
      <c r="AKG92" t="s">
        <v>104</v>
      </c>
      <c r="AKH92" t="s">
        <v>103</v>
      </c>
      <c r="AKI92" t="s">
        <v>398</v>
      </c>
      <c r="AKJ92">
        <v>1</v>
      </c>
      <c r="AKK92" t="s">
        <v>438</v>
      </c>
      <c r="AKL92" t="s">
        <v>439</v>
      </c>
      <c r="AKM92" t="s">
        <v>428</v>
      </c>
      <c r="AKO92" t="s">
        <v>104</v>
      </c>
      <c r="AKP92" t="s">
        <v>103</v>
      </c>
      <c r="AKQ92" t="s">
        <v>398</v>
      </c>
      <c r="AKR92">
        <v>1</v>
      </c>
      <c r="AKS92" t="s">
        <v>438</v>
      </c>
      <c r="AKT92" t="s">
        <v>439</v>
      </c>
      <c r="AKU92" t="s">
        <v>428</v>
      </c>
      <c r="AKW92" t="s">
        <v>104</v>
      </c>
      <c r="AKX92" t="s">
        <v>103</v>
      </c>
      <c r="AKY92" t="s">
        <v>398</v>
      </c>
      <c r="AKZ92">
        <v>1</v>
      </c>
      <c r="ALA92" t="s">
        <v>438</v>
      </c>
      <c r="ALB92" t="s">
        <v>439</v>
      </c>
      <c r="ALC92" t="s">
        <v>428</v>
      </c>
      <c r="ALE92" t="s">
        <v>104</v>
      </c>
      <c r="ALF92" t="s">
        <v>103</v>
      </c>
      <c r="ALG92" t="s">
        <v>398</v>
      </c>
      <c r="ALH92">
        <v>1</v>
      </c>
      <c r="ALI92" t="s">
        <v>438</v>
      </c>
      <c r="ALJ92" t="s">
        <v>439</v>
      </c>
      <c r="ALK92" t="s">
        <v>428</v>
      </c>
      <c r="ALM92" t="s">
        <v>104</v>
      </c>
      <c r="ALN92" t="s">
        <v>103</v>
      </c>
      <c r="ALO92" t="s">
        <v>398</v>
      </c>
      <c r="ALP92">
        <v>1</v>
      </c>
      <c r="ALQ92" t="s">
        <v>438</v>
      </c>
      <c r="ALR92" t="s">
        <v>439</v>
      </c>
      <c r="ALS92" t="s">
        <v>428</v>
      </c>
      <c r="ALU92" t="s">
        <v>104</v>
      </c>
      <c r="ALV92" t="s">
        <v>103</v>
      </c>
      <c r="ALW92" t="s">
        <v>398</v>
      </c>
      <c r="ALX92">
        <v>1</v>
      </c>
      <c r="ALY92" t="s">
        <v>438</v>
      </c>
      <c r="ALZ92" t="s">
        <v>439</v>
      </c>
      <c r="AMA92" t="s">
        <v>428</v>
      </c>
      <c r="AMC92" t="s">
        <v>104</v>
      </c>
      <c r="AMD92" t="s">
        <v>103</v>
      </c>
      <c r="AME92" t="s">
        <v>398</v>
      </c>
      <c r="AMF92">
        <v>1</v>
      </c>
      <c r="AMG92" t="s">
        <v>438</v>
      </c>
      <c r="AMH92" t="s">
        <v>439</v>
      </c>
      <c r="AMI92" t="s">
        <v>428</v>
      </c>
      <c r="AMK92" t="s">
        <v>104</v>
      </c>
      <c r="AML92" t="s">
        <v>103</v>
      </c>
      <c r="AMM92" t="s">
        <v>398</v>
      </c>
      <c r="AMN92">
        <v>1</v>
      </c>
      <c r="AMO92" t="s">
        <v>438</v>
      </c>
      <c r="AMP92" t="s">
        <v>439</v>
      </c>
      <c r="AMQ92" t="s">
        <v>428</v>
      </c>
      <c r="AMS92" t="s">
        <v>104</v>
      </c>
      <c r="AMT92" t="s">
        <v>103</v>
      </c>
      <c r="AMU92" t="s">
        <v>398</v>
      </c>
      <c r="AMV92">
        <v>1</v>
      </c>
      <c r="AMW92" t="s">
        <v>438</v>
      </c>
      <c r="AMX92" t="s">
        <v>439</v>
      </c>
      <c r="AMY92" t="s">
        <v>428</v>
      </c>
      <c r="ANA92" t="s">
        <v>104</v>
      </c>
      <c r="ANB92" t="s">
        <v>103</v>
      </c>
      <c r="ANC92" t="s">
        <v>398</v>
      </c>
      <c r="AND92">
        <v>1</v>
      </c>
      <c r="ANE92" t="s">
        <v>438</v>
      </c>
      <c r="ANF92" t="s">
        <v>439</v>
      </c>
      <c r="ANG92" t="s">
        <v>428</v>
      </c>
      <c r="ANI92" t="s">
        <v>104</v>
      </c>
      <c r="ANJ92" t="s">
        <v>103</v>
      </c>
      <c r="ANK92" t="s">
        <v>398</v>
      </c>
      <c r="ANL92">
        <v>1</v>
      </c>
      <c r="ANM92" t="s">
        <v>438</v>
      </c>
      <c r="ANN92" t="s">
        <v>439</v>
      </c>
      <c r="ANO92" t="s">
        <v>428</v>
      </c>
      <c r="ANQ92" t="s">
        <v>104</v>
      </c>
      <c r="ANR92" t="s">
        <v>103</v>
      </c>
      <c r="ANS92" t="s">
        <v>398</v>
      </c>
      <c r="ANT92">
        <v>1</v>
      </c>
      <c r="ANU92" t="s">
        <v>438</v>
      </c>
      <c r="ANV92" t="s">
        <v>439</v>
      </c>
      <c r="ANW92" t="s">
        <v>428</v>
      </c>
      <c r="ANY92" t="s">
        <v>104</v>
      </c>
      <c r="ANZ92" t="s">
        <v>103</v>
      </c>
      <c r="AOA92" t="s">
        <v>398</v>
      </c>
      <c r="AOB92">
        <v>1</v>
      </c>
      <c r="AOC92" t="s">
        <v>438</v>
      </c>
      <c r="AOD92" t="s">
        <v>439</v>
      </c>
      <c r="AOE92" t="s">
        <v>428</v>
      </c>
      <c r="AOG92" t="s">
        <v>104</v>
      </c>
      <c r="AOH92" t="s">
        <v>103</v>
      </c>
      <c r="AOI92" t="s">
        <v>398</v>
      </c>
      <c r="AOJ92">
        <v>1</v>
      </c>
      <c r="AOK92" t="s">
        <v>438</v>
      </c>
      <c r="AOL92" t="s">
        <v>439</v>
      </c>
      <c r="AOM92" t="s">
        <v>428</v>
      </c>
      <c r="AOO92" t="s">
        <v>104</v>
      </c>
      <c r="AOP92" t="s">
        <v>103</v>
      </c>
      <c r="AOQ92" t="s">
        <v>398</v>
      </c>
      <c r="AOR92">
        <v>1</v>
      </c>
      <c r="AOS92" t="s">
        <v>438</v>
      </c>
      <c r="AOT92" t="s">
        <v>439</v>
      </c>
      <c r="AOU92" t="s">
        <v>428</v>
      </c>
      <c r="AOW92" t="s">
        <v>104</v>
      </c>
      <c r="AOX92" t="s">
        <v>103</v>
      </c>
      <c r="AOY92" t="s">
        <v>398</v>
      </c>
      <c r="AOZ92">
        <v>1</v>
      </c>
      <c r="APA92" t="s">
        <v>438</v>
      </c>
      <c r="APB92" t="s">
        <v>439</v>
      </c>
      <c r="APC92" t="s">
        <v>428</v>
      </c>
      <c r="APE92" t="s">
        <v>104</v>
      </c>
      <c r="APF92" t="s">
        <v>103</v>
      </c>
      <c r="APG92" t="s">
        <v>398</v>
      </c>
      <c r="APH92">
        <v>1</v>
      </c>
      <c r="API92" t="s">
        <v>438</v>
      </c>
      <c r="APJ92" t="s">
        <v>439</v>
      </c>
      <c r="APK92" t="s">
        <v>428</v>
      </c>
      <c r="APM92" t="s">
        <v>104</v>
      </c>
      <c r="APN92" t="s">
        <v>103</v>
      </c>
      <c r="APO92" t="s">
        <v>398</v>
      </c>
      <c r="APP92">
        <v>1</v>
      </c>
      <c r="APQ92" t="s">
        <v>438</v>
      </c>
      <c r="APR92" t="s">
        <v>439</v>
      </c>
      <c r="APS92" t="s">
        <v>428</v>
      </c>
      <c r="APU92" t="s">
        <v>104</v>
      </c>
      <c r="APV92" t="s">
        <v>103</v>
      </c>
      <c r="APW92" t="s">
        <v>398</v>
      </c>
      <c r="APX92">
        <v>1</v>
      </c>
      <c r="APY92" t="s">
        <v>438</v>
      </c>
      <c r="APZ92" t="s">
        <v>439</v>
      </c>
      <c r="AQA92" t="s">
        <v>428</v>
      </c>
      <c r="AQC92" t="s">
        <v>104</v>
      </c>
      <c r="AQD92" t="s">
        <v>103</v>
      </c>
      <c r="AQE92" t="s">
        <v>398</v>
      </c>
      <c r="AQF92">
        <v>1</v>
      </c>
      <c r="AQG92" t="s">
        <v>438</v>
      </c>
      <c r="AQH92" t="s">
        <v>439</v>
      </c>
      <c r="AQI92" t="s">
        <v>428</v>
      </c>
      <c r="AQK92" t="s">
        <v>104</v>
      </c>
      <c r="AQL92" t="s">
        <v>103</v>
      </c>
      <c r="AQM92" t="s">
        <v>398</v>
      </c>
      <c r="AQN92">
        <v>1</v>
      </c>
      <c r="AQO92" t="s">
        <v>438</v>
      </c>
      <c r="AQP92" t="s">
        <v>439</v>
      </c>
      <c r="AQQ92" t="s">
        <v>428</v>
      </c>
      <c r="AQS92" t="s">
        <v>104</v>
      </c>
      <c r="AQT92" t="s">
        <v>103</v>
      </c>
      <c r="AQU92" t="s">
        <v>398</v>
      </c>
      <c r="AQV92">
        <v>1</v>
      </c>
      <c r="AQW92" t="s">
        <v>438</v>
      </c>
      <c r="AQX92" t="s">
        <v>439</v>
      </c>
      <c r="AQY92" t="s">
        <v>428</v>
      </c>
      <c r="ARA92" t="s">
        <v>104</v>
      </c>
      <c r="ARB92" t="s">
        <v>103</v>
      </c>
      <c r="ARC92" t="s">
        <v>398</v>
      </c>
      <c r="ARD92">
        <v>1</v>
      </c>
      <c r="ARE92" t="s">
        <v>438</v>
      </c>
      <c r="ARF92" t="s">
        <v>439</v>
      </c>
      <c r="ARG92" t="s">
        <v>428</v>
      </c>
      <c r="ARI92" t="s">
        <v>104</v>
      </c>
      <c r="ARJ92" t="s">
        <v>103</v>
      </c>
      <c r="ARK92" t="s">
        <v>398</v>
      </c>
      <c r="ARL92">
        <v>1</v>
      </c>
      <c r="ARM92" t="s">
        <v>438</v>
      </c>
      <c r="ARN92" t="s">
        <v>439</v>
      </c>
      <c r="ARO92" t="s">
        <v>428</v>
      </c>
      <c r="ARQ92" t="s">
        <v>104</v>
      </c>
      <c r="ARR92" t="s">
        <v>103</v>
      </c>
      <c r="ARS92" t="s">
        <v>398</v>
      </c>
      <c r="ART92">
        <v>1</v>
      </c>
      <c r="ARU92" t="s">
        <v>438</v>
      </c>
      <c r="ARV92" t="s">
        <v>439</v>
      </c>
      <c r="ARW92" t="s">
        <v>428</v>
      </c>
      <c r="ARY92" t="s">
        <v>104</v>
      </c>
      <c r="ARZ92" t="s">
        <v>103</v>
      </c>
      <c r="ASA92" t="s">
        <v>398</v>
      </c>
      <c r="ASB92">
        <v>1</v>
      </c>
      <c r="ASC92" t="s">
        <v>438</v>
      </c>
      <c r="ASD92" t="s">
        <v>439</v>
      </c>
      <c r="ASE92" t="s">
        <v>428</v>
      </c>
      <c r="ASG92" t="s">
        <v>104</v>
      </c>
      <c r="ASH92" t="s">
        <v>103</v>
      </c>
      <c r="ASI92" t="s">
        <v>398</v>
      </c>
      <c r="ASJ92">
        <v>1</v>
      </c>
      <c r="ASK92" t="s">
        <v>438</v>
      </c>
      <c r="ASL92" t="s">
        <v>439</v>
      </c>
      <c r="ASM92" t="s">
        <v>428</v>
      </c>
      <c r="ASO92" t="s">
        <v>104</v>
      </c>
      <c r="ASP92" t="s">
        <v>103</v>
      </c>
      <c r="ASQ92" t="s">
        <v>398</v>
      </c>
      <c r="ASR92">
        <v>1</v>
      </c>
      <c r="ASS92" t="s">
        <v>438</v>
      </c>
      <c r="AST92" t="s">
        <v>439</v>
      </c>
      <c r="ASU92" t="s">
        <v>428</v>
      </c>
      <c r="ASW92" t="s">
        <v>104</v>
      </c>
      <c r="ASX92" t="s">
        <v>103</v>
      </c>
      <c r="ASY92" t="s">
        <v>398</v>
      </c>
      <c r="ASZ92">
        <v>1</v>
      </c>
      <c r="ATA92" t="s">
        <v>438</v>
      </c>
      <c r="ATB92" t="s">
        <v>439</v>
      </c>
      <c r="ATC92" t="s">
        <v>428</v>
      </c>
      <c r="ATE92" t="s">
        <v>104</v>
      </c>
      <c r="ATF92" t="s">
        <v>103</v>
      </c>
      <c r="ATG92" t="s">
        <v>398</v>
      </c>
      <c r="ATH92">
        <v>1</v>
      </c>
      <c r="ATI92" t="s">
        <v>438</v>
      </c>
      <c r="ATJ92" t="s">
        <v>439</v>
      </c>
      <c r="ATK92" t="s">
        <v>428</v>
      </c>
      <c r="ATM92" t="s">
        <v>104</v>
      </c>
      <c r="ATN92" t="s">
        <v>103</v>
      </c>
      <c r="ATO92" t="s">
        <v>398</v>
      </c>
      <c r="ATP92">
        <v>1</v>
      </c>
      <c r="ATQ92" t="s">
        <v>438</v>
      </c>
      <c r="ATR92" t="s">
        <v>439</v>
      </c>
      <c r="ATS92" t="s">
        <v>428</v>
      </c>
      <c r="ATU92" t="s">
        <v>104</v>
      </c>
      <c r="ATV92" t="s">
        <v>103</v>
      </c>
      <c r="ATW92" t="s">
        <v>398</v>
      </c>
      <c r="ATX92">
        <v>1</v>
      </c>
      <c r="ATY92" t="s">
        <v>438</v>
      </c>
      <c r="ATZ92" t="s">
        <v>439</v>
      </c>
      <c r="AUA92" t="s">
        <v>428</v>
      </c>
      <c r="AUC92" t="s">
        <v>104</v>
      </c>
      <c r="AUD92" t="s">
        <v>103</v>
      </c>
      <c r="AUE92" t="s">
        <v>398</v>
      </c>
      <c r="AUF92">
        <v>1</v>
      </c>
      <c r="AUG92" t="s">
        <v>438</v>
      </c>
      <c r="AUH92" t="s">
        <v>439</v>
      </c>
      <c r="AUI92" t="s">
        <v>428</v>
      </c>
      <c r="AUK92" t="s">
        <v>104</v>
      </c>
      <c r="AUL92" t="s">
        <v>103</v>
      </c>
      <c r="AUM92" t="s">
        <v>398</v>
      </c>
      <c r="AUN92">
        <v>1</v>
      </c>
      <c r="AUO92" t="s">
        <v>438</v>
      </c>
      <c r="AUP92" t="s">
        <v>439</v>
      </c>
      <c r="AUQ92" t="s">
        <v>428</v>
      </c>
      <c r="AUS92" t="s">
        <v>104</v>
      </c>
      <c r="AUT92" t="s">
        <v>103</v>
      </c>
      <c r="AUU92" t="s">
        <v>398</v>
      </c>
      <c r="AUV92">
        <v>1</v>
      </c>
      <c r="AUW92" t="s">
        <v>438</v>
      </c>
      <c r="AUX92" t="s">
        <v>439</v>
      </c>
      <c r="AUY92" t="s">
        <v>428</v>
      </c>
      <c r="AVA92" t="s">
        <v>104</v>
      </c>
      <c r="AVB92" t="s">
        <v>103</v>
      </c>
      <c r="AVC92" t="s">
        <v>398</v>
      </c>
      <c r="AVD92">
        <v>1</v>
      </c>
      <c r="AVE92" t="s">
        <v>438</v>
      </c>
      <c r="AVF92" t="s">
        <v>439</v>
      </c>
      <c r="AVG92" t="s">
        <v>428</v>
      </c>
      <c r="AVI92" t="s">
        <v>104</v>
      </c>
      <c r="AVJ92" t="s">
        <v>103</v>
      </c>
      <c r="AVK92" t="s">
        <v>398</v>
      </c>
      <c r="AVL92">
        <v>1</v>
      </c>
      <c r="AVM92" t="s">
        <v>438</v>
      </c>
      <c r="AVN92" t="s">
        <v>439</v>
      </c>
      <c r="AVO92" t="s">
        <v>428</v>
      </c>
      <c r="AVQ92" t="s">
        <v>104</v>
      </c>
      <c r="AVR92" t="s">
        <v>103</v>
      </c>
      <c r="AVS92" t="s">
        <v>398</v>
      </c>
      <c r="AVT92">
        <v>1</v>
      </c>
      <c r="AVU92" t="s">
        <v>438</v>
      </c>
      <c r="AVV92" t="s">
        <v>439</v>
      </c>
      <c r="AVW92" t="s">
        <v>428</v>
      </c>
      <c r="AVY92" t="s">
        <v>104</v>
      </c>
      <c r="AVZ92" t="s">
        <v>103</v>
      </c>
      <c r="AWA92" t="s">
        <v>398</v>
      </c>
      <c r="AWB92">
        <v>1</v>
      </c>
      <c r="AWC92" t="s">
        <v>438</v>
      </c>
      <c r="AWD92" t="s">
        <v>439</v>
      </c>
      <c r="AWE92" t="s">
        <v>428</v>
      </c>
      <c r="AWG92" t="s">
        <v>104</v>
      </c>
      <c r="AWH92" t="s">
        <v>103</v>
      </c>
      <c r="AWI92" t="s">
        <v>398</v>
      </c>
      <c r="AWJ92">
        <v>1</v>
      </c>
      <c r="AWK92" t="s">
        <v>438</v>
      </c>
      <c r="AWL92" t="s">
        <v>439</v>
      </c>
      <c r="AWM92" t="s">
        <v>428</v>
      </c>
      <c r="AWO92" t="s">
        <v>104</v>
      </c>
      <c r="AWP92" t="s">
        <v>103</v>
      </c>
      <c r="AWQ92" t="s">
        <v>398</v>
      </c>
      <c r="AWR92">
        <v>1</v>
      </c>
      <c r="AWS92" t="s">
        <v>438</v>
      </c>
      <c r="AWT92" t="s">
        <v>439</v>
      </c>
      <c r="AWU92" t="s">
        <v>428</v>
      </c>
      <c r="AWW92" t="s">
        <v>104</v>
      </c>
      <c r="AWX92" t="s">
        <v>103</v>
      </c>
      <c r="AWY92" t="s">
        <v>398</v>
      </c>
      <c r="AWZ92">
        <v>1</v>
      </c>
      <c r="AXA92" t="s">
        <v>438</v>
      </c>
      <c r="AXB92" t="s">
        <v>439</v>
      </c>
      <c r="AXC92" t="s">
        <v>428</v>
      </c>
      <c r="AXE92" t="s">
        <v>104</v>
      </c>
      <c r="AXF92" t="s">
        <v>103</v>
      </c>
      <c r="AXG92" t="s">
        <v>398</v>
      </c>
      <c r="AXH92">
        <v>1</v>
      </c>
      <c r="AXI92" t="s">
        <v>438</v>
      </c>
      <c r="AXJ92" t="s">
        <v>439</v>
      </c>
      <c r="AXK92" t="s">
        <v>428</v>
      </c>
      <c r="AXM92" t="s">
        <v>104</v>
      </c>
      <c r="AXN92" t="s">
        <v>103</v>
      </c>
      <c r="AXO92" t="s">
        <v>398</v>
      </c>
      <c r="AXP92">
        <v>1</v>
      </c>
      <c r="AXQ92" t="s">
        <v>438</v>
      </c>
      <c r="AXR92" t="s">
        <v>439</v>
      </c>
      <c r="AXS92" t="s">
        <v>428</v>
      </c>
      <c r="AXU92" t="s">
        <v>104</v>
      </c>
      <c r="AXV92" t="s">
        <v>103</v>
      </c>
      <c r="AXW92" t="s">
        <v>398</v>
      </c>
      <c r="AXX92">
        <v>1</v>
      </c>
      <c r="AXY92" t="s">
        <v>438</v>
      </c>
      <c r="AXZ92" t="s">
        <v>439</v>
      </c>
      <c r="AYA92" t="s">
        <v>428</v>
      </c>
      <c r="AYC92" t="s">
        <v>104</v>
      </c>
      <c r="AYD92" t="s">
        <v>103</v>
      </c>
      <c r="AYE92" t="s">
        <v>398</v>
      </c>
      <c r="AYF92">
        <v>1</v>
      </c>
      <c r="AYG92" t="s">
        <v>438</v>
      </c>
      <c r="AYH92" t="s">
        <v>439</v>
      </c>
      <c r="AYI92" t="s">
        <v>428</v>
      </c>
      <c r="AYK92" t="s">
        <v>104</v>
      </c>
      <c r="AYL92" t="s">
        <v>103</v>
      </c>
      <c r="AYM92" t="s">
        <v>398</v>
      </c>
      <c r="AYN92">
        <v>1</v>
      </c>
      <c r="AYO92" t="s">
        <v>438</v>
      </c>
      <c r="AYP92" t="s">
        <v>439</v>
      </c>
      <c r="AYQ92" t="s">
        <v>428</v>
      </c>
      <c r="AYS92" t="s">
        <v>104</v>
      </c>
      <c r="AYT92" t="s">
        <v>103</v>
      </c>
      <c r="AYU92" t="s">
        <v>398</v>
      </c>
      <c r="AYV92">
        <v>1</v>
      </c>
      <c r="AYW92" t="s">
        <v>438</v>
      </c>
      <c r="AYX92" t="s">
        <v>439</v>
      </c>
      <c r="AYY92" t="s">
        <v>428</v>
      </c>
      <c r="AZA92" t="s">
        <v>104</v>
      </c>
      <c r="AZB92" t="s">
        <v>103</v>
      </c>
      <c r="AZC92" t="s">
        <v>398</v>
      </c>
      <c r="AZD92">
        <v>1</v>
      </c>
      <c r="AZE92" t="s">
        <v>438</v>
      </c>
      <c r="AZF92" t="s">
        <v>439</v>
      </c>
      <c r="AZG92" t="s">
        <v>428</v>
      </c>
      <c r="AZI92" t="s">
        <v>104</v>
      </c>
      <c r="AZJ92" t="s">
        <v>103</v>
      </c>
      <c r="AZK92" t="s">
        <v>398</v>
      </c>
      <c r="AZL92">
        <v>1</v>
      </c>
      <c r="AZM92" t="s">
        <v>438</v>
      </c>
      <c r="AZN92" t="s">
        <v>439</v>
      </c>
      <c r="AZO92" t="s">
        <v>428</v>
      </c>
      <c r="AZQ92" t="s">
        <v>104</v>
      </c>
      <c r="AZR92" t="s">
        <v>103</v>
      </c>
      <c r="AZS92" t="s">
        <v>398</v>
      </c>
      <c r="AZT92">
        <v>1</v>
      </c>
      <c r="AZU92" t="s">
        <v>438</v>
      </c>
      <c r="AZV92" t="s">
        <v>439</v>
      </c>
      <c r="AZW92" t="s">
        <v>428</v>
      </c>
      <c r="AZY92" t="s">
        <v>104</v>
      </c>
      <c r="AZZ92" t="s">
        <v>103</v>
      </c>
      <c r="BAA92" t="s">
        <v>398</v>
      </c>
      <c r="BAB92">
        <v>1</v>
      </c>
      <c r="BAC92" t="s">
        <v>438</v>
      </c>
      <c r="BAD92" t="s">
        <v>439</v>
      </c>
      <c r="BAE92" t="s">
        <v>428</v>
      </c>
      <c r="BAG92" t="s">
        <v>104</v>
      </c>
      <c r="BAH92" t="s">
        <v>103</v>
      </c>
      <c r="BAI92" t="s">
        <v>398</v>
      </c>
      <c r="BAJ92">
        <v>1</v>
      </c>
      <c r="BAK92" t="s">
        <v>438</v>
      </c>
      <c r="BAL92" t="s">
        <v>439</v>
      </c>
      <c r="BAM92" t="s">
        <v>428</v>
      </c>
      <c r="BAO92" t="s">
        <v>104</v>
      </c>
      <c r="BAP92" t="s">
        <v>103</v>
      </c>
      <c r="BAQ92" t="s">
        <v>398</v>
      </c>
      <c r="BAR92">
        <v>1</v>
      </c>
      <c r="BAS92" t="s">
        <v>438</v>
      </c>
      <c r="BAT92" t="s">
        <v>439</v>
      </c>
      <c r="BAU92" t="s">
        <v>428</v>
      </c>
      <c r="BAW92" t="s">
        <v>104</v>
      </c>
      <c r="BAX92" t="s">
        <v>103</v>
      </c>
      <c r="BAY92" t="s">
        <v>398</v>
      </c>
      <c r="BAZ92">
        <v>1</v>
      </c>
      <c r="BBA92" t="s">
        <v>438</v>
      </c>
      <c r="BBB92" t="s">
        <v>439</v>
      </c>
      <c r="BBC92" t="s">
        <v>428</v>
      </c>
      <c r="BBE92" t="s">
        <v>104</v>
      </c>
      <c r="BBF92" t="s">
        <v>103</v>
      </c>
      <c r="BBG92" t="s">
        <v>398</v>
      </c>
      <c r="BBH92">
        <v>1</v>
      </c>
      <c r="BBI92" t="s">
        <v>438</v>
      </c>
      <c r="BBJ92" t="s">
        <v>439</v>
      </c>
      <c r="BBK92" t="s">
        <v>428</v>
      </c>
      <c r="BBM92" t="s">
        <v>104</v>
      </c>
      <c r="BBN92" t="s">
        <v>103</v>
      </c>
      <c r="BBO92" t="s">
        <v>398</v>
      </c>
      <c r="BBP92">
        <v>1</v>
      </c>
      <c r="BBQ92" t="s">
        <v>438</v>
      </c>
      <c r="BBR92" t="s">
        <v>439</v>
      </c>
      <c r="BBS92" t="s">
        <v>428</v>
      </c>
      <c r="BBU92" t="s">
        <v>104</v>
      </c>
      <c r="BBV92" t="s">
        <v>103</v>
      </c>
      <c r="BBW92" t="s">
        <v>398</v>
      </c>
      <c r="BBX92">
        <v>1</v>
      </c>
      <c r="BBY92" t="s">
        <v>438</v>
      </c>
      <c r="BBZ92" t="s">
        <v>439</v>
      </c>
      <c r="BCA92" t="s">
        <v>428</v>
      </c>
      <c r="BCC92" t="s">
        <v>104</v>
      </c>
      <c r="BCD92" t="s">
        <v>103</v>
      </c>
      <c r="BCE92" t="s">
        <v>398</v>
      </c>
      <c r="BCF92">
        <v>1</v>
      </c>
      <c r="BCG92" t="s">
        <v>438</v>
      </c>
      <c r="BCH92" t="s">
        <v>439</v>
      </c>
      <c r="BCI92" t="s">
        <v>428</v>
      </c>
      <c r="BCK92" t="s">
        <v>104</v>
      </c>
      <c r="BCL92" t="s">
        <v>103</v>
      </c>
      <c r="BCM92" t="s">
        <v>398</v>
      </c>
      <c r="BCN92">
        <v>1</v>
      </c>
      <c r="BCO92" t="s">
        <v>438</v>
      </c>
      <c r="BCP92" t="s">
        <v>439</v>
      </c>
      <c r="BCQ92" t="s">
        <v>428</v>
      </c>
      <c r="BCS92" t="s">
        <v>104</v>
      </c>
      <c r="BCT92" t="s">
        <v>103</v>
      </c>
      <c r="BCU92" t="s">
        <v>398</v>
      </c>
      <c r="BCV92">
        <v>1</v>
      </c>
      <c r="BCW92" t="s">
        <v>438</v>
      </c>
      <c r="BCX92" t="s">
        <v>439</v>
      </c>
      <c r="BCY92" t="s">
        <v>428</v>
      </c>
      <c r="BDA92" t="s">
        <v>104</v>
      </c>
      <c r="BDB92" t="s">
        <v>103</v>
      </c>
      <c r="BDC92" t="s">
        <v>398</v>
      </c>
      <c r="BDD92">
        <v>1</v>
      </c>
      <c r="BDE92" t="s">
        <v>438</v>
      </c>
      <c r="BDF92" t="s">
        <v>439</v>
      </c>
      <c r="BDG92" t="s">
        <v>428</v>
      </c>
      <c r="BDI92" t="s">
        <v>104</v>
      </c>
      <c r="BDJ92" t="s">
        <v>103</v>
      </c>
      <c r="BDK92" t="s">
        <v>398</v>
      </c>
      <c r="BDL92">
        <v>1</v>
      </c>
      <c r="BDM92" t="s">
        <v>438</v>
      </c>
      <c r="BDN92" t="s">
        <v>439</v>
      </c>
      <c r="BDO92" t="s">
        <v>428</v>
      </c>
      <c r="BDQ92" t="s">
        <v>104</v>
      </c>
      <c r="BDR92" t="s">
        <v>103</v>
      </c>
      <c r="BDS92" t="s">
        <v>398</v>
      </c>
      <c r="BDT92">
        <v>1</v>
      </c>
      <c r="BDU92" t="s">
        <v>438</v>
      </c>
      <c r="BDV92" t="s">
        <v>439</v>
      </c>
      <c r="BDW92" t="s">
        <v>428</v>
      </c>
      <c r="BDY92" t="s">
        <v>104</v>
      </c>
      <c r="BDZ92" t="s">
        <v>103</v>
      </c>
      <c r="BEA92" t="s">
        <v>398</v>
      </c>
      <c r="BEB92">
        <v>1</v>
      </c>
      <c r="BEC92" t="s">
        <v>438</v>
      </c>
      <c r="BED92" t="s">
        <v>439</v>
      </c>
      <c r="BEE92" t="s">
        <v>428</v>
      </c>
      <c r="BEG92" t="s">
        <v>104</v>
      </c>
      <c r="BEH92" t="s">
        <v>103</v>
      </c>
      <c r="BEI92" t="s">
        <v>398</v>
      </c>
      <c r="BEJ92">
        <v>1</v>
      </c>
      <c r="BEK92" t="s">
        <v>438</v>
      </c>
      <c r="BEL92" t="s">
        <v>439</v>
      </c>
      <c r="BEM92" t="s">
        <v>428</v>
      </c>
      <c r="BEO92" t="s">
        <v>104</v>
      </c>
      <c r="BEP92" t="s">
        <v>103</v>
      </c>
      <c r="BEQ92" t="s">
        <v>398</v>
      </c>
      <c r="BER92">
        <v>1</v>
      </c>
      <c r="BES92" t="s">
        <v>438</v>
      </c>
      <c r="BET92" t="s">
        <v>439</v>
      </c>
      <c r="BEU92" t="s">
        <v>428</v>
      </c>
      <c r="BEW92" t="s">
        <v>104</v>
      </c>
      <c r="BEX92" t="s">
        <v>103</v>
      </c>
      <c r="BEY92" t="s">
        <v>398</v>
      </c>
      <c r="BEZ92">
        <v>1</v>
      </c>
      <c r="BFA92" t="s">
        <v>438</v>
      </c>
      <c r="BFB92" t="s">
        <v>439</v>
      </c>
      <c r="BFC92" t="s">
        <v>428</v>
      </c>
      <c r="BFE92" t="s">
        <v>104</v>
      </c>
      <c r="BFF92" t="s">
        <v>103</v>
      </c>
      <c r="BFG92" t="s">
        <v>398</v>
      </c>
      <c r="BFH92">
        <v>1</v>
      </c>
      <c r="BFI92" t="s">
        <v>438</v>
      </c>
      <c r="BFJ92" t="s">
        <v>439</v>
      </c>
      <c r="BFK92" t="s">
        <v>428</v>
      </c>
      <c r="BFM92" t="s">
        <v>104</v>
      </c>
      <c r="BFN92" t="s">
        <v>103</v>
      </c>
      <c r="BFO92" t="s">
        <v>398</v>
      </c>
      <c r="BFP92">
        <v>1</v>
      </c>
      <c r="BFQ92" t="s">
        <v>438</v>
      </c>
      <c r="BFR92" t="s">
        <v>439</v>
      </c>
      <c r="BFS92" t="s">
        <v>428</v>
      </c>
      <c r="BFU92" t="s">
        <v>104</v>
      </c>
      <c r="BFV92" t="s">
        <v>103</v>
      </c>
      <c r="BFW92" t="s">
        <v>398</v>
      </c>
      <c r="BFX92">
        <v>1</v>
      </c>
      <c r="BFY92" t="s">
        <v>438</v>
      </c>
      <c r="BFZ92" t="s">
        <v>439</v>
      </c>
      <c r="BGA92" t="s">
        <v>428</v>
      </c>
      <c r="BGC92" t="s">
        <v>104</v>
      </c>
      <c r="BGD92" t="s">
        <v>103</v>
      </c>
      <c r="BGE92" t="s">
        <v>398</v>
      </c>
      <c r="BGF92">
        <v>1</v>
      </c>
      <c r="BGG92" t="s">
        <v>438</v>
      </c>
      <c r="BGH92" t="s">
        <v>439</v>
      </c>
      <c r="BGI92" t="s">
        <v>428</v>
      </c>
      <c r="BGK92" t="s">
        <v>104</v>
      </c>
      <c r="BGL92" t="s">
        <v>103</v>
      </c>
      <c r="BGM92" t="s">
        <v>398</v>
      </c>
      <c r="BGN92">
        <v>1</v>
      </c>
      <c r="BGO92" t="s">
        <v>438</v>
      </c>
      <c r="BGP92" t="s">
        <v>439</v>
      </c>
      <c r="BGQ92" t="s">
        <v>428</v>
      </c>
      <c r="BGS92" t="s">
        <v>104</v>
      </c>
      <c r="BGT92" t="s">
        <v>103</v>
      </c>
      <c r="BGU92" t="s">
        <v>398</v>
      </c>
      <c r="BGV92">
        <v>1</v>
      </c>
      <c r="BGW92" t="s">
        <v>438</v>
      </c>
      <c r="BGX92" t="s">
        <v>439</v>
      </c>
      <c r="BGY92" t="s">
        <v>428</v>
      </c>
      <c r="BHA92" t="s">
        <v>104</v>
      </c>
      <c r="BHB92" t="s">
        <v>103</v>
      </c>
      <c r="BHC92" t="s">
        <v>398</v>
      </c>
      <c r="BHD92">
        <v>1</v>
      </c>
      <c r="BHE92" t="s">
        <v>438</v>
      </c>
      <c r="BHF92" t="s">
        <v>439</v>
      </c>
      <c r="BHG92" t="s">
        <v>428</v>
      </c>
      <c r="BHI92" t="s">
        <v>104</v>
      </c>
      <c r="BHJ92" t="s">
        <v>103</v>
      </c>
      <c r="BHK92" t="s">
        <v>398</v>
      </c>
      <c r="BHL92">
        <v>1</v>
      </c>
      <c r="BHM92" t="s">
        <v>438</v>
      </c>
      <c r="BHN92" t="s">
        <v>439</v>
      </c>
      <c r="BHO92" t="s">
        <v>428</v>
      </c>
      <c r="BHQ92" t="s">
        <v>104</v>
      </c>
      <c r="BHR92" t="s">
        <v>103</v>
      </c>
      <c r="BHS92" t="s">
        <v>398</v>
      </c>
      <c r="BHT92">
        <v>1</v>
      </c>
      <c r="BHU92" t="s">
        <v>438</v>
      </c>
      <c r="BHV92" t="s">
        <v>439</v>
      </c>
      <c r="BHW92" t="s">
        <v>428</v>
      </c>
      <c r="BHY92" t="s">
        <v>104</v>
      </c>
      <c r="BHZ92" t="s">
        <v>103</v>
      </c>
      <c r="BIA92" t="s">
        <v>398</v>
      </c>
      <c r="BIB92">
        <v>1</v>
      </c>
      <c r="BIC92" t="s">
        <v>438</v>
      </c>
      <c r="BID92" t="s">
        <v>439</v>
      </c>
      <c r="BIE92" t="s">
        <v>428</v>
      </c>
      <c r="BIG92" t="s">
        <v>104</v>
      </c>
      <c r="BIH92" t="s">
        <v>103</v>
      </c>
      <c r="BII92" t="s">
        <v>398</v>
      </c>
      <c r="BIJ92">
        <v>1</v>
      </c>
      <c r="BIK92" t="s">
        <v>438</v>
      </c>
      <c r="BIL92" t="s">
        <v>439</v>
      </c>
      <c r="BIM92" t="s">
        <v>428</v>
      </c>
      <c r="BIO92" t="s">
        <v>104</v>
      </c>
      <c r="BIP92" t="s">
        <v>103</v>
      </c>
      <c r="BIQ92" t="s">
        <v>398</v>
      </c>
      <c r="BIR92">
        <v>1</v>
      </c>
      <c r="BIS92" t="s">
        <v>438</v>
      </c>
      <c r="BIT92" t="s">
        <v>439</v>
      </c>
      <c r="BIU92" t="s">
        <v>428</v>
      </c>
      <c r="BIW92" t="s">
        <v>104</v>
      </c>
      <c r="BIX92" t="s">
        <v>103</v>
      </c>
      <c r="BIY92" t="s">
        <v>398</v>
      </c>
      <c r="BIZ92">
        <v>1</v>
      </c>
      <c r="BJA92" t="s">
        <v>438</v>
      </c>
      <c r="BJB92" t="s">
        <v>439</v>
      </c>
      <c r="BJC92" t="s">
        <v>428</v>
      </c>
      <c r="BJE92" t="s">
        <v>104</v>
      </c>
      <c r="BJF92" t="s">
        <v>103</v>
      </c>
      <c r="BJG92" t="s">
        <v>398</v>
      </c>
      <c r="BJH92">
        <v>1</v>
      </c>
      <c r="BJI92" t="s">
        <v>438</v>
      </c>
      <c r="BJJ92" t="s">
        <v>439</v>
      </c>
      <c r="BJK92" t="s">
        <v>428</v>
      </c>
      <c r="BJM92" t="s">
        <v>104</v>
      </c>
      <c r="BJN92" t="s">
        <v>103</v>
      </c>
      <c r="BJO92" t="s">
        <v>398</v>
      </c>
      <c r="BJP92">
        <v>1</v>
      </c>
      <c r="BJQ92" t="s">
        <v>438</v>
      </c>
      <c r="BJR92" t="s">
        <v>439</v>
      </c>
      <c r="BJS92" t="s">
        <v>428</v>
      </c>
      <c r="BJU92" t="s">
        <v>104</v>
      </c>
      <c r="BJV92" t="s">
        <v>103</v>
      </c>
      <c r="BJW92" t="s">
        <v>398</v>
      </c>
      <c r="BJX92">
        <v>1</v>
      </c>
      <c r="BJY92" t="s">
        <v>438</v>
      </c>
      <c r="BJZ92" t="s">
        <v>439</v>
      </c>
      <c r="BKA92" t="s">
        <v>428</v>
      </c>
      <c r="BKC92" t="s">
        <v>104</v>
      </c>
      <c r="BKD92" t="s">
        <v>103</v>
      </c>
      <c r="BKE92" t="s">
        <v>398</v>
      </c>
      <c r="BKF92">
        <v>1</v>
      </c>
      <c r="BKG92" t="s">
        <v>438</v>
      </c>
      <c r="BKH92" t="s">
        <v>439</v>
      </c>
      <c r="BKI92" t="s">
        <v>428</v>
      </c>
      <c r="BKK92" t="s">
        <v>104</v>
      </c>
      <c r="BKL92" t="s">
        <v>103</v>
      </c>
      <c r="BKM92" t="s">
        <v>398</v>
      </c>
      <c r="BKN92">
        <v>1</v>
      </c>
      <c r="BKO92" t="s">
        <v>438</v>
      </c>
      <c r="BKP92" t="s">
        <v>439</v>
      </c>
      <c r="BKQ92" t="s">
        <v>428</v>
      </c>
      <c r="BKS92" t="s">
        <v>104</v>
      </c>
      <c r="BKT92" t="s">
        <v>103</v>
      </c>
      <c r="BKU92" t="s">
        <v>398</v>
      </c>
      <c r="BKV92">
        <v>1</v>
      </c>
      <c r="BKW92" t="s">
        <v>438</v>
      </c>
      <c r="BKX92" t="s">
        <v>439</v>
      </c>
      <c r="BKY92" t="s">
        <v>428</v>
      </c>
      <c r="BLA92" t="s">
        <v>104</v>
      </c>
      <c r="BLB92" t="s">
        <v>103</v>
      </c>
      <c r="BLC92" t="s">
        <v>398</v>
      </c>
      <c r="BLD92">
        <v>1</v>
      </c>
      <c r="BLE92" t="s">
        <v>438</v>
      </c>
      <c r="BLF92" t="s">
        <v>439</v>
      </c>
      <c r="BLG92" t="s">
        <v>428</v>
      </c>
      <c r="BLI92" t="s">
        <v>104</v>
      </c>
      <c r="BLJ92" t="s">
        <v>103</v>
      </c>
      <c r="BLK92" t="s">
        <v>398</v>
      </c>
      <c r="BLL92">
        <v>1</v>
      </c>
      <c r="BLM92" t="s">
        <v>438</v>
      </c>
      <c r="BLN92" t="s">
        <v>439</v>
      </c>
      <c r="BLO92" t="s">
        <v>428</v>
      </c>
      <c r="BLQ92" t="s">
        <v>104</v>
      </c>
      <c r="BLR92" t="s">
        <v>103</v>
      </c>
      <c r="BLS92" t="s">
        <v>398</v>
      </c>
      <c r="BLT92">
        <v>1</v>
      </c>
      <c r="BLU92" t="s">
        <v>438</v>
      </c>
      <c r="BLV92" t="s">
        <v>439</v>
      </c>
      <c r="BLW92" t="s">
        <v>428</v>
      </c>
      <c r="BLY92" t="s">
        <v>104</v>
      </c>
      <c r="BLZ92" t="s">
        <v>103</v>
      </c>
      <c r="BMA92" t="s">
        <v>398</v>
      </c>
      <c r="BMB92">
        <v>1</v>
      </c>
      <c r="BMC92" t="s">
        <v>438</v>
      </c>
      <c r="BMD92" t="s">
        <v>439</v>
      </c>
      <c r="BME92" t="s">
        <v>428</v>
      </c>
      <c r="BMG92" t="s">
        <v>104</v>
      </c>
      <c r="BMH92" t="s">
        <v>103</v>
      </c>
      <c r="BMI92" t="s">
        <v>398</v>
      </c>
      <c r="BMJ92">
        <v>1</v>
      </c>
      <c r="BMK92" t="s">
        <v>438</v>
      </c>
      <c r="BML92" t="s">
        <v>439</v>
      </c>
      <c r="BMM92" t="s">
        <v>428</v>
      </c>
      <c r="BMO92" t="s">
        <v>104</v>
      </c>
      <c r="BMP92" t="s">
        <v>103</v>
      </c>
      <c r="BMQ92" t="s">
        <v>398</v>
      </c>
      <c r="BMR92">
        <v>1</v>
      </c>
      <c r="BMS92" t="s">
        <v>438</v>
      </c>
      <c r="BMT92" t="s">
        <v>439</v>
      </c>
      <c r="BMU92" t="s">
        <v>428</v>
      </c>
      <c r="BMW92" t="s">
        <v>104</v>
      </c>
      <c r="BMX92" t="s">
        <v>103</v>
      </c>
      <c r="BMY92" t="s">
        <v>398</v>
      </c>
      <c r="BMZ92">
        <v>1</v>
      </c>
      <c r="BNA92" t="s">
        <v>438</v>
      </c>
      <c r="BNB92" t="s">
        <v>439</v>
      </c>
      <c r="BNC92" t="s">
        <v>428</v>
      </c>
      <c r="BNE92" t="s">
        <v>104</v>
      </c>
      <c r="BNF92" t="s">
        <v>103</v>
      </c>
      <c r="BNG92" t="s">
        <v>398</v>
      </c>
      <c r="BNH92">
        <v>1</v>
      </c>
      <c r="BNI92" t="s">
        <v>438</v>
      </c>
      <c r="BNJ92" t="s">
        <v>439</v>
      </c>
      <c r="BNK92" t="s">
        <v>428</v>
      </c>
      <c r="BNM92" t="s">
        <v>104</v>
      </c>
      <c r="BNN92" t="s">
        <v>103</v>
      </c>
      <c r="BNO92" t="s">
        <v>398</v>
      </c>
      <c r="BNP92">
        <v>1</v>
      </c>
      <c r="BNQ92" t="s">
        <v>438</v>
      </c>
      <c r="BNR92" t="s">
        <v>439</v>
      </c>
      <c r="BNS92" t="s">
        <v>428</v>
      </c>
      <c r="BNU92" t="s">
        <v>104</v>
      </c>
      <c r="BNV92" t="s">
        <v>103</v>
      </c>
      <c r="BNW92" t="s">
        <v>398</v>
      </c>
      <c r="BNX92">
        <v>1</v>
      </c>
      <c r="BNY92" t="s">
        <v>438</v>
      </c>
      <c r="BNZ92" t="s">
        <v>439</v>
      </c>
      <c r="BOA92" t="s">
        <v>428</v>
      </c>
      <c r="BOC92" t="s">
        <v>104</v>
      </c>
      <c r="BOD92" t="s">
        <v>103</v>
      </c>
      <c r="BOE92" t="s">
        <v>398</v>
      </c>
      <c r="BOF92">
        <v>1</v>
      </c>
      <c r="BOG92" t="s">
        <v>438</v>
      </c>
      <c r="BOH92" t="s">
        <v>439</v>
      </c>
      <c r="BOI92" t="s">
        <v>428</v>
      </c>
      <c r="BOK92" t="s">
        <v>104</v>
      </c>
      <c r="BOL92" t="s">
        <v>103</v>
      </c>
      <c r="BOM92" t="s">
        <v>398</v>
      </c>
      <c r="BON92">
        <v>1</v>
      </c>
      <c r="BOO92" t="s">
        <v>438</v>
      </c>
      <c r="BOP92" t="s">
        <v>439</v>
      </c>
      <c r="BOQ92" t="s">
        <v>428</v>
      </c>
      <c r="BOS92" t="s">
        <v>104</v>
      </c>
      <c r="BOT92" t="s">
        <v>103</v>
      </c>
      <c r="BOU92" t="s">
        <v>398</v>
      </c>
      <c r="BOV92">
        <v>1</v>
      </c>
      <c r="BOW92" t="s">
        <v>438</v>
      </c>
      <c r="BOX92" t="s">
        <v>439</v>
      </c>
      <c r="BOY92" t="s">
        <v>428</v>
      </c>
      <c r="BPA92" t="s">
        <v>104</v>
      </c>
      <c r="BPB92" t="s">
        <v>103</v>
      </c>
      <c r="BPC92" t="s">
        <v>398</v>
      </c>
      <c r="BPD92">
        <v>1</v>
      </c>
      <c r="BPE92" t="s">
        <v>438</v>
      </c>
      <c r="BPF92" t="s">
        <v>439</v>
      </c>
      <c r="BPG92" t="s">
        <v>428</v>
      </c>
      <c r="BPI92" t="s">
        <v>104</v>
      </c>
      <c r="BPJ92" t="s">
        <v>103</v>
      </c>
      <c r="BPK92" t="s">
        <v>398</v>
      </c>
      <c r="BPL92">
        <v>1</v>
      </c>
      <c r="BPM92" t="s">
        <v>438</v>
      </c>
      <c r="BPN92" t="s">
        <v>439</v>
      </c>
      <c r="BPO92" t="s">
        <v>428</v>
      </c>
      <c r="BPQ92" t="s">
        <v>104</v>
      </c>
      <c r="BPR92" t="s">
        <v>103</v>
      </c>
      <c r="BPS92" t="s">
        <v>398</v>
      </c>
      <c r="BPT92">
        <v>1</v>
      </c>
      <c r="BPU92" t="s">
        <v>438</v>
      </c>
      <c r="BPV92" t="s">
        <v>439</v>
      </c>
      <c r="BPW92" t="s">
        <v>428</v>
      </c>
      <c r="BPY92" t="s">
        <v>104</v>
      </c>
      <c r="BPZ92" t="s">
        <v>103</v>
      </c>
      <c r="BQA92" t="s">
        <v>398</v>
      </c>
      <c r="BQB92">
        <v>1</v>
      </c>
      <c r="BQC92" t="s">
        <v>438</v>
      </c>
      <c r="BQD92" t="s">
        <v>439</v>
      </c>
      <c r="BQE92" t="s">
        <v>428</v>
      </c>
      <c r="BQG92" t="s">
        <v>104</v>
      </c>
      <c r="BQH92" t="s">
        <v>103</v>
      </c>
      <c r="BQI92" t="s">
        <v>398</v>
      </c>
      <c r="BQJ92">
        <v>1</v>
      </c>
      <c r="BQK92" t="s">
        <v>438</v>
      </c>
      <c r="BQL92" t="s">
        <v>439</v>
      </c>
      <c r="BQM92" t="s">
        <v>428</v>
      </c>
      <c r="BQO92" t="s">
        <v>104</v>
      </c>
      <c r="BQP92" t="s">
        <v>103</v>
      </c>
      <c r="BQQ92" t="s">
        <v>398</v>
      </c>
      <c r="BQR92">
        <v>1</v>
      </c>
      <c r="BQS92" t="s">
        <v>438</v>
      </c>
      <c r="BQT92" t="s">
        <v>439</v>
      </c>
      <c r="BQU92" t="s">
        <v>428</v>
      </c>
      <c r="BQW92" t="s">
        <v>104</v>
      </c>
      <c r="BQX92" t="s">
        <v>103</v>
      </c>
      <c r="BQY92" t="s">
        <v>398</v>
      </c>
      <c r="BQZ92">
        <v>1</v>
      </c>
      <c r="BRA92" t="s">
        <v>438</v>
      </c>
      <c r="BRB92" t="s">
        <v>439</v>
      </c>
      <c r="BRC92" t="s">
        <v>428</v>
      </c>
      <c r="BRE92" t="s">
        <v>104</v>
      </c>
      <c r="BRF92" t="s">
        <v>103</v>
      </c>
      <c r="BRG92" t="s">
        <v>398</v>
      </c>
      <c r="BRH92">
        <v>1</v>
      </c>
      <c r="BRI92" t="s">
        <v>438</v>
      </c>
      <c r="BRJ92" t="s">
        <v>439</v>
      </c>
      <c r="BRK92" t="s">
        <v>428</v>
      </c>
      <c r="BRM92" t="s">
        <v>104</v>
      </c>
      <c r="BRN92" t="s">
        <v>103</v>
      </c>
      <c r="BRO92" t="s">
        <v>398</v>
      </c>
      <c r="BRP92">
        <v>1</v>
      </c>
      <c r="BRQ92" t="s">
        <v>438</v>
      </c>
      <c r="BRR92" t="s">
        <v>439</v>
      </c>
      <c r="BRS92" t="s">
        <v>428</v>
      </c>
      <c r="BRU92" t="s">
        <v>104</v>
      </c>
      <c r="BRV92" t="s">
        <v>103</v>
      </c>
      <c r="BRW92" t="s">
        <v>398</v>
      </c>
      <c r="BRX92">
        <v>1</v>
      </c>
      <c r="BRY92" t="s">
        <v>438</v>
      </c>
      <c r="BRZ92" t="s">
        <v>439</v>
      </c>
      <c r="BSA92" t="s">
        <v>428</v>
      </c>
      <c r="BSC92" t="s">
        <v>104</v>
      </c>
      <c r="BSD92" t="s">
        <v>103</v>
      </c>
      <c r="BSE92" t="s">
        <v>398</v>
      </c>
      <c r="BSF92">
        <v>1</v>
      </c>
      <c r="BSG92" t="s">
        <v>438</v>
      </c>
      <c r="BSH92" t="s">
        <v>439</v>
      </c>
      <c r="BSI92" t="s">
        <v>428</v>
      </c>
      <c r="BSK92" t="s">
        <v>104</v>
      </c>
      <c r="BSL92" t="s">
        <v>103</v>
      </c>
      <c r="BSM92" t="s">
        <v>398</v>
      </c>
      <c r="BSN92">
        <v>1</v>
      </c>
      <c r="BSO92" t="s">
        <v>438</v>
      </c>
      <c r="BSP92" t="s">
        <v>439</v>
      </c>
      <c r="BSQ92" t="s">
        <v>428</v>
      </c>
      <c r="BSS92" t="s">
        <v>104</v>
      </c>
      <c r="BST92" t="s">
        <v>103</v>
      </c>
      <c r="BSU92" t="s">
        <v>398</v>
      </c>
      <c r="BSV92">
        <v>1</v>
      </c>
      <c r="BSW92" t="s">
        <v>438</v>
      </c>
      <c r="BSX92" t="s">
        <v>439</v>
      </c>
      <c r="BSY92" t="s">
        <v>428</v>
      </c>
      <c r="BTA92" t="s">
        <v>104</v>
      </c>
      <c r="BTB92" t="s">
        <v>103</v>
      </c>
      <c r="BTC92" t="s">
        <v>398</v>
      </c>
      <c r="BTD92">
        <v>1</v>
      </c>
      <c r="BTE92" t="s">
        <v>438</v>
      </c>
      <c r="BTF92" t="s">
        <v>439</v>
      </c>
      <c r="BTG92" t="s">
        <v>428</v>
      </c>
      <c r="BTI92" t="s">
        <v>104</v>
      </c>
      <c r="BTJ92" t="s">
        <v>103</v>
      </c>
      <c r="BTK92" t="s">
        <v>398</v>
      </c>
      <c r="BTL92">
        <v>1</v>
      </c>
      <c r="BTM92" t="s">
        <v>438</v>
      </c>
      <c r="BTN92" t="s">
        <v>439</v>
      </c>
      <c r="BTO92" t="s">
        <v>428</v>
      </c>
      <c r="BTQ92" t="s">
        <v>104</v>
      </c>
      <c r="BTR92" t="s">
        <v>103</v>
      </c>
      <c r="BTS92" t="s">
        <v>398</v>
      </c>
      <c r="BTT92">
        <v>1</v>
      </c>
      <c r="BTU92" t="s">
        <v>438</v>
      </c>
      <c r="BTV92" t="s">
        <v>439</v>
      </c>
      <c r="BTW92" t="s">
        <v>428</v>
      </c>
      <c r="BTY92" t="s">
        <v>104</v>
      </c>
      <c r="BTZ92" t="s">
        <v>103</v>
      </c>
      <c r="BUA92" t="s">
        <v>398</v>
      </c>
      <c r="BUB92">
        <v>1</v>
      </c>
      <c r="BUC92" t="s">
        <v>438</v>
      </c>
      <c r="BUD92" t="s">
        <v>439</v>
      </c>
      <c r="BUE92" t="s">
        <v>428</v>
      </c>
      <c r="BUG92" t="s">
        <v>104</v>
      </c>
      <c r="BUH92" t="s">
        <v>103</v>
      </c>
      <c r="BUI92" t="s">
        <v>398</v>
      </c>
      <c r="BUJ92">
        <v>1</v>
      </c>
      <c r="BUK92" t="s">
        <v>438</v>
      </c>
      <c r="BUL92" t="s">
        <v>439</v>
      </c>
      <c r="BUM92" t="s">
        <v>428</v>
      </c>
      <c r="BUO92" t="s">
        <v>104</v>
      </c>
      <c r="BUP92" t="s">
        <v>103</v>
      </c>
      <c r="BUQ92" t="s">
        <v>398</v>
      </c>
      <c r="BUR92">
        <v>1</v>
      </c>
      <c r="BUS92" t="s">
        <v>438</v>
      </c>
      <c r="BUT92" t="s">
        <v>439</v>
      </c>
      <c r="BUU92" t="s">
        <v>428</v>
      </c>
      <c r="BUW92" t="s">
        <v>104</v>
      </c>
      <c r="BUX92" t="s">
        <v>103</v>
      </c>
      <c r="BUY92" t="s">
        <v>398</v>
      </c>
      <c r="BUZ92">
        <v>1</v>
      </c>
      <c r="BVA92" t="s">
        <v>438</v>
      </c>
      <c r="BVB92" t="s">
        <v>439</v>
      </c>
      <c r="BVC92" t="s">
        <v>428</v>
      </c>
      <c r="BVE92" t="s">
        <v>104</v>
      </c>
      <c r="BVF92" t="s">
        <v>103</v>
      </c>
      <c r="BVG92" t="s">
        <v>398</v>
      </c>
      <c r="BVH92">
        <v>1</v>
      </c>
      <c r="BVI92" t="s">
        <v>438</v>
      </c>
      <c r="BVJ92" t="s">
        <v>439</v>
      </c>
      <c r="BVK92" t="s">
        <v>428</v>
      </c>
      <c r="BVM92" t="s">
        <v>104</v>
      </c>
      <c r="BVN92" t="s">
        <v>103</v>
      </c>
      <c r="BVO92" t="s">
        <v>398</v>
      </c>
      <c r="BVP92">
        <v>1</v>
      </c>
      <c r="BVQ92" t="s">
        <v>438</v>
      </c>
      <c r="BVR92" t="s">
        <v>439</v>
      </c>
      <c r="BVS92" t="s">
        <v>428</v>
      </c>
      <c r="BVU92" t="s">
        <v>104</v>
      </c>
      <c r="BVV92" t="s">
        <v>103</v>
      </c>
      <c r="BVW92" t="s">
        <v>398</v>
      </c>
      <c r="BVX92">
        <v>1</v>
      </c>
      <c r="BVY92" t="s">
        <v>438</v>
      </c>
      <c r="BVZ92" t="s">
        <v>439</v>
      </c>
      <c r="BWA92" t="s">
        <v>428</v>
      </c>
      <c r="BWC92" t="s">
        <v>104</v>
      </c>
      <c r="BWD92" t="s">
        <v>103</v>
      </c>
      <c r="BWE92" t="s">
        <v>398</v>
      </c>
      <c r="BWF92">
        <v>1</v>
      </c>
      <c r="BWG92" t="s">
        <v>438</v>
      </c>
      <c r="BWH92" t="s">
        <v>439</v>
      </c>
      <c r="BWI92" t="s">
        <v>428</v>
      </c>
      <c r="BWK92" t="s">
        <v>104</v>
      </c>
      <c r="BWL92" t="s">
        <v>103</v>
      </c>
      <c r="BWM92" t="s">
        <v>398</v>
      </c>
      <c r="BWN92">
        <v>1</v>
      </c>
      <c r="BWO92" t="s">
        <v>438</v>
      </c>
      <c r="BWP92" t="s">
        <v>439</v>
      </c>
      <c r="BWQ92" t="s">
        <v>428</v>
      </c>
      <c r="BWS92" t="s">
        <v>104</v>
      </c>
      <c r="BWT92" t="s">
        <v>103</v>
      </c>
      <c r="BWU92" t="s">
        <v>398</v>
      </c>
      <c r="BWV92">
        <v>1</v>
      </c>
      <c r="BWW92" t="s">
        <v>438</v>
      </c>
      <c r="BWX92" t="s">
        <v>439</v>
      </c>
      <c r="BWY92" t="s">
        <v>428</v>
      </c>
      <c r="BXA92" t="s">
        <v>104</v>
      </c>
      <c r="BXB92" t="s">
        <v>103</v>
      </c>
      <c r="BXC92" t="s">
        <v>398</v>
      </c>
      <c r="BXD92">
        <v>1</v>
      </c>
      <c r="BXE92" t="s">
        <v>438</v>
      </c>
      <c r="BXF92" t="s">
        <v>439</v>
      </c>
      <c r="BXG92" t="s">
        <v>428</v>
      </c>
      <c r="BXI92" t="s">
        <v>104</v>
      </c>
      <c r="BXJ92" t="s">
        <v>103</v>
      </c>
      <c r="BXK92" t="s">
        <v>398</v>
      </c>
      <c r="BXL92">
        <v>1</v>
      </c>
      <c r="BXM92" t="s">
        <v>438</v>
      </c>
      <c r="BXN92" t="s">
        <v>439</v>
      </c>
      <c r="BXO92" t="s">
        <v>428</v>
      </c>
      <c r="BXQ92" t="s">
        <v>104</v>
      </c>
      <c r="BXR92" t="s">
        <v>103</v>
      </c>
      <c r="BXS92" t="s">
        <v>398</v>
      </c>
      <c r="BXT92">
        <v>1</v>
      </c>
      <c r="BXU92" t="s">
        <v>438</v>
      </c>
      <c r="BXV92" t="s">
        <v>439</v>
      </c>
      <c r="BXW92" t="s">
        <v>428</v>
      </c>
      <c r="BXY92" t="s">
        <v>104</v>
      </c>
      <c r="BXZ92" t="s">
        <v>103</v>
      </c>
      <c r="BYA92" t="s">
        <v>398</v>
      </c>
      <c r="BYB92">
        <v>1</v>
      </c>
      <c r="BYC92" t="s">
        <v>438</v>
      </c>
      <c r="BYD92" t="s">
        <v>439</v>
      </c>
      <c r="BYE92" t="s">
        <v>428</v>
      </c>
      <c r="BYG92" t="s">
        <v>104</v>
      </c>
      <c r="BYH92" t="s">
        <v>103</v>
      </c>
      <c r="BYI92" t="s">
        <v>398</v>
      </c>
      <c r="BYJ92">
        <v>1</v>
      </c>
      <c r="BYK92" t="s">
        <v>438</v>
      </c>
      <c r="BYL92" t="s">
        <v>439</v>
      </c>
      <c r="BYM92" t="s">
        <v>428</v>
      </c>
      <c r="BYO92" t="s">
        <v>104</v>
      </c>
      <c r="BYP92" t="s">
        <v>103</v>
      </c>
      <c r="BYQ92" t="s">
        <v>398</v>
      </c>
      <c r="BYR92">
        <v>1</v>
      </c>
      <c r="BYS92" t="s">
        <v>438</v>
      </c>
      <c r="BYT92" t="s">
        <v>439</v>
      </c>
      <c r="BYU92" t="s">
        <v>428</v>
      </c>
      <c r="BYW92" t="s">
        <v>104</v>
      </c>
      <c r="BYX92" t="s">
        <v>103</v>
      </c>
      <c r="BYY92" t="s">
        <v>398</v>
      </c>
      <c r="BYZ92">
        <v>1</v>
      </c>
      <c r="BZA92" t="s">
        <v>438</v>
      </c>
      <c r="BZB92" t="s">
        <v>439</v>
      </c>
      <c r="BZC92" t="s">
        <v>428</v>
      </c>
      <c r="BZE92" t="s">
        <v>104</v>
      </c>
      <c r="BZF92" t="s">
        <v>103</v>
      </c>
      <c r="BZG92" t="s">
        <v>398</v>
      </c>
      <c r="BZH92">
        <v>1</v>
      </c>
      <c r="BZI92" t="s">
        <v>438</v>
      </c>
      <c r="BZJ92" t="s">
        <v>439</v>
      </c>
      <c r="BZK92" t="s">
        <v>428</v>
      </c>
      <c r="BZM92" t="s">
        <v>104</v>
      </c>
      <c r="BZN92" t="s">
        <v>103</v>
      </c>
      <c r="BZO92" t="s">
        <v>398</v>
      </c>
      <c r="BZP92">
        <v>1</v>
      </c>
      <c r="BZQ92" t="s">
        <v>438</v>
      </c>
      <c r="BZR92" t="s">
        <v>439</v>
      </c>
      <c r="BZS92" t="s">
        <v>428</v>
      </c>
      <c r="BZU92" t="s">
        <v>104</v>
      </c>
      <c r="BZV92" t="s">
        <v>103</v>
      </c>
      <c r="BZW92" t="s">
        <v>398</v>
      </c>
      <c r="BZX92">
        <v>1</v>
      </c>
      <c r="BZY92" t="s">
        <v>438</v>
      </c>
      <c r="BZZ92" t="s">
        <v>439</v>
      </c>
      <c r="CAA92" t="s">
        <v>428</v>
      </c>
      <c r="CAC92" t="s">
        <v>104</v>
      </c>
      <c r="CAD92" t="s">
        <v>103</v>
      </c>
      <c r="CAE92" t="s">
        <v>398</v>
      </c>
      <c r="CAF92">
        <v>1</v>
      </c>
      <c r="CAG92" t="s">
        <v>438</v>
      </c>
      <c r="CAH92" t="s">
        <v>439</v>
      </c>
      <c r="CAI92" t="s">
        <v>428</v>
      </c>
      <c r="CAK92" t="s">
        <v>104</v>
      </c>
      <c r="CAL92" t="s">
        <v>103</v>
      </c>
      <c r="CAM92" t="s">
        <v>398</v>
      </c>
      <c r="CAN92">
        <v>1</v>
      </c>
      <c r="CAO92" t="s">
        <v>438</v>
      </c>
      <c r="CAP92" t="s">
        <v>439</v>
      </c>
      <c r="CAQ92" t="s">
        <v>428</v>
      </c>
      <c r="CAS92" t="s">
        <v>104</v>
      </c>
      <c r="CAT92" t="s">
        <v>103</v>
      </c>
      <c r="CAU92" t="s">
        <v>398</v>
      </c>
      <c r="CAV92">
        <v>1</v>
      </c>
      <c r="CAW92" t="s">
        <v>438</v>
      </c>
      <c r="CAX92" t="s">
        <v>439</v>
      </c>
      <c r="CAY92" t="s">
        <v>428</v>
      </c>
      <c r="CBA92" t="s">
        <v>104</v>
      </c>
      <c r="CBB92" t="s">
        <v>103</v>
      </c>
      <c r="CBC92" t="s">
        <v>398</v>
      </c>
      <c r="CBD92">
        <v>1</v>
      </c>
      <c r="CBE92" t="s">
        <v>438</v>
      </c>
      <c r="CBF92" t="s">
        <v>439</v>
      </c>
      <c r="CBG92" t="s">
        <v>428</v>
      </c>
      <c r="CBI92" t="s">
        <v>104</v>
      </c>
      <c r="CBJ92" t="s">
        <v>103</v>
      </c>
      <c r="CBK92" t="s">
        <v>398</v>
      </c>
      <c r="CBL92">
        <v>1</v>
      </c>
      <c r="CBM92" t="s">
        <v>438</v>
      </c>
      <c r="CBN92" t="s">
        <v>439</v>
      </c>
      <c r="CBO92" t="s">
        <v>428</v>
      </c>
      <c r="CBQ92" t="s">
        <v>104</v>
      </c>
      <c r="CBR92" t="s">
        <v>103</v>
      </c>
      <c r="CBS92" t="s">
        <v>398</v>
      </c>
      <c r="CBT92">
        <v>1</v>
      </c>
      <c r="CBU92" t="s">
        <v>438</v>
      </c>
      <c r="CBV92" t="s">
        <v>439</v>
      </c>
      <c r="CBW92" t="s">
        <v>428</v>
      </c>
      <c r="CBY92" t="s">
        <v>104</v>
      </c>
      <c r="CBZ92" t="s">
        <v>103</v>
      </c>
      <c r="CCA92" t="s">
        <v>398</v>
      </c>
      <c r="CCB92">
        <v>1</v>
      </c>
      <c r="CCC92" t="s">
        <v>438</v>
      </c>
      <c r="CCD92" t="s">
        <v>439</v>
      </c>
      <c r="CCE92" t="s">
        <v>428</v>
      </c>
      <c r="CCG92" t="s">
        <v>104</v>
      </c>
      <c r="CCH92" t="s">
        <v>103</v>
      </c>
      <c r="CCI92" t="s">
        <v>398</v>
      </c>
      <c r="CCJ92">
        <v>1</v>
      </c>
      <c r="CCK92" t="s">
        <v>438</v>
      </c>
      <c r="CCL92" t="s">
        <v>439</v>
      </c>
      <c r="CCM92" t="s">
        <v>428</v>
      </c>
      <c r="CCO92" t="s">
        <v>104</v>
      </c>
      <c r="CCP92" t="s">
        <v>103</v>
      </c>
      <c r="CCQ92" t="s">
        <v>398</v>
      </c>
      <c r="CCR92">
        <v>1</v>
      </c>
      <c r="CCS92" t="s">
        <v>438</v>
      </c>
      <c r="CCT92" t="s">
        <v>439</v>
      </c>
      <c r="CCU92" t="s">
        <v>428</v>
      </c>
      <c r="CCW92" t="s">
        <v>104</v>
      </c>
      <c r="CCX92" t="s">
        <v>103</v>
      </c>
      <c r="CCY92" t="s">
        <v>398</v>
      </c>
      <c r="CCZ92">
        <v>1</v>
      </c>
      <c r="CDA92" t="s">
        <v>438</v>
      </c>
      <c r="CDB92" t="s">
        <v>439</v>
      </c>
      <c r="CDC92" t="s">
        <v>428</v>
      </c>
      <c r="CDE92" t="s">
        <v>104</v>
      </c>
      <c r="CDF92" t="s">
        <v>103</v>
      </c>
      <c r="CDG92" t="s">
        <v>398</v>
      </c>
      <c r="CDH92">
        <v>1</v>
      </c>
      <c r="CDI92" t="s">
        <v>438</v>
      </c>
      <c r="CDJ92" t="s">
        <v>439</v>
      </c>
      <c r="CDK92" t="s">
        <v>428</v>
      </c>
      <c r="CDM92" t="s">
        <v>104</v>
      </c>
      <c r="CDN92" t="s">
        <v>103</v>
      </c>
      <c r="CDO92" t="s">
        <v>398</v>
      </c>
      <c r="CDP92">
        <v>1</v>
      </c>
      <c r="CDQ92" t="s">
        <v>438</v>
      </c>
      <c r="CDR92" t="s">
        <v>439</v>
      </c>
      <c r="CDS92" t="s">
        <v>428</v>
      </c>
      <c r="CDU92" t="s">
        <v>104</v>
      </c>
      <c r="CDV92" t="s">
        <v>103</v>
      </c>
      <c r="CDW92" t="s">
        <v>398</v>
      </c>
      <c r="CDX92">
        <v>1</v>
      </c>
      <c r="CDY92" t="s">
        <v>438</v>
      </c>
      <c r="CDZ92" t="s">
        <v>439</v>
      </c>
      <c r="CEA92" t="s">
        <v>428</v>
      </c>
      <c r="CEC92" t="s">
        <v>104</v>
      </c>
      <c r="CED92" t="s">
        <v>103</v>
      </c>
      <c r="CEE92" t="s">
        <v>398</v>
      </c>
      <c r="CEF92">
        <v>1</v>
      </c>
      <c r="CEG92" t="s">
        <v>438</v>
      </c>
      <c r="CEH92" t="s">
        <v>439</v>
      </c>
      <c r="CEI92" t="s">
        <v>428</v>
      </c>
      <c r="CEK92" t="s">
        <v>104</v>
      </c>
      <c r="CEL92" t="s">
        <v>103</v>
      </c>
      <c r="CEM92" t="s">
        <v>398</v>
      </c>
      <c r="CEN92">
        <v>1</v>
      </c>
      <c r="CEO92" t="s">
        <v>438</v>
      </c>
      <c r="CEP92" t="s">
        <v>439</v>
      </c>
      <c r="CEQ92" t="s">
        <v>428</v>
      </c>
      <c r="CES92" t="s">
        <v>104</v>
      </c>
      <c r="CET92" t="s">
        <v>103</v>
      </c>
      <c r="CEU92" t="s">
        <v>398</v>
      </c>
      <c r="CEV92">
        <v>1</v>
      </c>
      <c r="CEW92" t="s">
        <v>438</v>
      </c>
      <c r="CEX92" t="s">
        <v>439</v>
      </c>
      <c r="CEY92" t="s">
        <v>428</v>
      </c>
      <c r="CFA92" t="s">
        <v>104</v>
      </c>
      <c r="CFB92" t="s">
        <v>103</v>
      </c>
      <c r="CFC92" t="s">
        <v>398</v>
      </c>
      <c r="CFD92">
        <v>1</v>
      </c>
      <c r="CFE92" t="s">
        <v>438</v>
      </c>
      <c r="CFF92" t="s">
        <v>439</v>
      </c>
      <c r="CFG92" t="s">
        <v>428</v>
      </c>
      <c r="CFI92" t="s">
        <v>104</v>
      </c>
      <c r="CFJ92" t="s">
        <v>103</v>
      </c>
      <c r="CFK92" t="s">
        <v>398</v>
      </c>
      <c r="CFL92">
        <v>1</v>
      </c>
      <c r="CFM92" t="s">
        <v>438</v>
      </c>
      <c r="CFN92" t="s">
        <v>439</v>
      </c>
      <c r="CFO92" t="s">
        <v>428</v>
      </c>
      <c r="CFQ92" t="s">
        <v>104</v>
      </c>
      <c r="CFR92" t="s">
        <v>103</v>
      </c>
      <c r="CFS92" t="s">
        <v>398</v>
      </c>
      <c r="CFT92">
        <v>1</v>
      </c>
      <c r="CFU92" t="s">
        <v>438</v>
      </c>
      <c r="CFV92" t="s">
        <v>439</v>
      </c>
      <c r="CFW92" t="s">
        <v>428</v>
      </c>
      <c r="CFY92" t="s">
        <v>104</v>
      </c>
      <c r="CFZ92" t="s">
        <v>103</v>
      </c>
      <c r="CGA92" t="s">
        <v>398</v>
      </c>
      <c r="CGB92">
        <v>1</v>
      </c>
      <c r="CGC92" t="s">
        <v>438</v>
      </c>
      <c r="CGD92" t="s">
        <v>439</v>
      </c>
      <c r="CGE92" t="s">
        <v>428</v>
      </c>
      <c r="CGG92" t="s">
        <v>104</v>
      </c>
      <c r="CGH92" t="s">
        <v>103</v>
      </c>
      <c r="CGI92" t="s">
        <v>398</v>
      </c>
      <c r="CGJ92">
        <v>1</v>
      </c>
      <c r="CGK92" t="s">
        <v>438</v>
      </c>
      <c r="CGL92" t="s">
        <v>439</v>
      </c>
      <c r="CGM92" t="s">
        <v>428</v>
      </c>
      <c r="CGO92" t="s">
        <v>104</v>
      </c>
      <c r="CGP92" t="s">
        <v>103</v>
      </c>
      <c r="CGQ92" t="s">
        <v>398</v>
      </c>
      <c r="CGR92">
        <v>1</v>
      </c>
      <c r="CGS92" t="s">
        <v>438</v>
      </c>
      <c r="CGT92" t="s">
        <v>439</v>
      </c>
      <c r="CGU92" t="s">
        <v>428</v>
      </c>
      <c r="CGW92" t="s">
        <v>104</v>
      </c>
      <c r="CGX92" t="s">
        <v>103</v>
      </c>
      <c r="CGY92" t="s">
        <v>398</v>
      </c>
      <c r="CGZ92">
        <v>1</v>
      </c>
      <c r="CHA92" t="s">
        <v>438</v>
      </c>
      <c r="CHB92" t="s">
        <v>439</v>
      </c>
      <c r="CHC92" t="s">
        <v>428</v>
      </c>
      <c r="CHE92" t="s">
        <v>104</v>
      </c>
      <c r="CHF92" t="s">
        <v>103</v>
      </c>
      <c r="CHG92" t="s">
        <v>398</v>
      </c>
      <c r="CHH92">
        <v>1</v>
      </c>
      <c r="CHI92" t="s">
        <v>438</v>
      </c>
      <c r="CHJ92" t="s">
        <v>439</v>
      </c>
      <c r="CHK92" t="s">
        <v>428</v>
      </c>
      <c r="CHM92" t="s">
        <v>104</v>
      </c>
      <c r="CHN92" t="s">
        <v>103</v>
      </c>
      <c r="CHO92" t="s">
        <v>398</v>
      </c>
      <c r="CHP92">
        <v>1</v>
      </c>
      <c r="CHQ92" t="s">
        <v>438</v>
      </c>
      <c r="CHR92" t="s">
        <v>439</v>
      </c>
      <c r="CHS92" t="s">
        <v>428</v>
      </c>
      <c r="CHU92" t="s">
        <v>104</v>
      </c>
      <c r="CHV92" t="s">
        <v>103</v>
      </c>
      <c r="CHW92" t="s">
        <v>398</v>
      </c>
      <c r="CHX92">
        <v>1</v>
      </c>
      <c r="CHY92" t="s">
        <v>438</v>
      </c>
      <c r="CHZ92" t="s">
        <v>439</v>
      </c>
      <c r="CIA92" t="s">
        <v>428</v>
      </c>
      <c r="CIC92" t="s">
        <v>104</v>
      </c>
      <c r="CID92" t="s">
        <v>103</v>
      </c>
      <c r="CIE92" t="s">
        <v>398</v>
      </c>
      <c r="CIF92">
        <v>1</v>
      </c>
      <c r="CIG92" t="s">
        <v>438</v>
      </c>
      <c r="CIH92" t="s">
        <v>439</v>
      </c>
      <c r="CII92" t="s">
        <v>428</v>
      </c>
      <c r="CIK92" t="s">
        <v>104</v>
      </c>
      <c r="CIL92" t="s">
        <v>103</v>
      </c>
      <c r="CIM92" t="s">
        <v>398</v>
      </c>
      <c r="CIN92">
        <v>1</v>
      </c>
      <c r="CIO92" t="s">
        <v>438</v>
      </c>
      <c r="CIP92" t="s">
        <v>439</v>
      </c>
      <c r="CIQ92" t="s">
        <v>428</v>
      </c>
      <c r="CIS92" t="s">
        <v>104</v>
      </c>
      <c r="CIT92" t="s">
        <v>103</v>
      </c>
      <c r="CIU92" t="s">
        <v>398</v>
      </c>
      <c r="CIV92">
        <v>1</v>
      </c>
      <c r="CIW92" t="s">
        <v>438</v>
      </c>
      <c r="CIX92" t="s">
        <v>439</v>
      </c>
      <c r="CIY92" t="s">
        <v>428</v>
      </c>
      <c r="CJA92" t="s">
        <v>104</v>
      </c>
      <c r="CJB92" t="s">
        <v>103</v>
      </c>
      <c r="CJC92" t="s">
        <v>398</v>
      </c>
      <c r="CJD92">
        <v>1</v>
      </c>
      <c r="CJE92" t="s">
        <v>438</v>
      </c>
      <c r="CJF92" t="s">
        <v>439</v>
      </c>
      <c r="CJG92" t="s">
        <v>428</v>
      </c>
      <c r="CJI92" t="s">
        <v>104</v>
      </c>
      <c r="CJJ92" t="s">
        <v>103</v>
      </c>
      <c r="CJK92" t="s">
        <v>398</v>
      </c>
      <c r="CJL92">
        <v>1</v>
      </c>
      <c r="CJM92" t="s">
        <v>438</v>
      </c>
      <c r="CJN92" t="s">
        <v>439</v>
      </c>
      <c r="CJO92" t="s">
        <v>428</v>
      </c>
      <c r="CJQ92" t="s">
        <v>104</v>
      </c>
      <c r="CJR92" t="s">
        <v>103</v>
      </c>
      <c r="CJS92" t="s">
        <v>398</v>
      </c>
      <c r="CJT92">
        <v>1</v>
      </c>
      <c r="CJU92" t="s">
        <v>438</v>
      </c>
      <c r="CJV92" t="s">
        <v>439</v>
      </c>
      <c r="CJW92" t="s">
        <v>428</v>
      </c>
      <c r="CJY92" t="s">
        <v>104</v>
      </c>
      <c r="CJZ92" t="s">
        <v>103</v>
      </c>
      <c r="CKA92" t="s">
        <v>398</v>
      </c>
      <c r="CKB92">
        <v>1</v>
      </c>
      <c r="CKC92" t="s">
        <v>438</v>
      </c>
      <c r="CKD92" t="s">
        <v>439</v>
      </c>
      <c r="CKE92" t="s">
        <v>428</v>
      </c>
      <c r="CKG92" t="s">
        <v>104</v>
      </c>
      <c r="CKH92" t="s">
        <v>103</v>
      </c>
      <c r="CKI92" t="s">
        <v>398</v>
      </c>
      <c r="CKJ92">
        <v>1</v>
      </c>
      <c r="CKK92" t="s">
        <v>438</v>
      </c>
      <c r="CKL92" t="s">
        <v>439</v>
      </c>
      <c r="CKM92" t="s">
        <v>428</v>
      </c>
      <c r="CKO92" t="s">
        <v>104</v>
      </c>
      <c r="CKP92" t="s">
        <v>103</v>
      </c>
      <c r="CKQ92" t="s">
        <v>398</v>
      </c>
      <c r="CKR92">
        <v>1</v>
      </c>
      <c r="CKS92" t="s">
        <v>438</v>
      </c>
      <c r="CKT92" t="s">
        <v>439</v>
      </c>
      <c r="CKU92" t="s">
        <v>428</v>
      </c>
      <c r="CKW92" t="s">
        <v>104</v>
      </c>
      <c r="CKX92" t="s">
        <v>103</v>
      </c>
      <c r="CKY92" t="s">
        <v>398</v>
      </c>
      <c r="CKZ92">
        <v>1</v>
      </c>
      <c r="CLA92" t="s">
        <v>438</v>
      </c>
      <c r="CLB92" t="s">
        <v>439</v>
      </c>
      <c r="CLC92" t="s">
        <v>428</v>
      </c>
      <c r="CLE92" t="s">
        <v>104</v>
      </c>
      <c r="CLF92" t="s">
        <v>103</v>
      </c>
      <c r="CLG92" t="s">
        <v>398</v>
      </c>
      <c r="CLH92">
        <v>1</v>
      </c>
      <c r="CLI92" t="s">
        <v>438</v>
      </c>
      <c r="CLJ92" t="s">
        <v>439</v>
      </c>
      <c r="CLK92" t="s">
        <v>428</v>
      </c>
      <c r="CLM92" t="s">
        <v>104</v>
      </c>
      <c r="CLN92" t="s">
        <v>103</v>
      </c>
      <c r="CLO92" t="s">
        <v>398</v>
      </c>
      <c r="CLP92">
        <v>1</v>
      </c>
      <c r="CLQ92" t="s">
        <v>438</v>
      </c>
      <c r="CLR92" t="s">
        <v>439</v>
      </c>
      <c r="CLS92" t="s">
        <v>428</v>
      </c>
      <c r="CLU92" t="s">
        <v>104</v>
      </c>
      <c r="CLV92" t="s">
        <v>103</v>
      </c>
      <c r="CLW92" t="s">
        <v>398</v>
      </c>
      <c r="CLX92">
        <v>1</v>
      </c>
      <c r="CLY92" t="s">
        <v>438</v>
      </c>
      <c r="CLZ92" t="s">
        <v>439</v>
      </c>
      <c r="CMA92" t="s">
        <v>428</v>
      </c>
      <c r="CMC92" t="s">
        <v>104</v>
      </c>
      <c r="CMD92" t="s">
        <v>103</v>
      </c>
      <c r="CME92" t="s">
        <v>398</v>
      </c>
      <c r="CMF92">
        <v>1</v>
      </c>
      <c r="CMG92" t="s">
        <v>438</v>
      </c>
      <c r="CMH92" t="s">
        <v>439</v>
      </c>
      <c r="CMI92" t="s">
        <v>428</v>
      </c>
      <c r="CMK92" t="s">
        <v>104</v>
      </c>
      <c r="CML92" t="s">
        <v>103</v>
      </c>
      <c r="CMM92" t="s">
        <v>398</v>
      </c>
      <c r="CMN92">
        <v>1</v>
      </c>
      <c r="CMO92" t="s">
        <v>438</v>
      </c>
      <c r="CMP92" t="s">
        <v>439</v>
      </c>
      <c r="CMQ92" t="s">
        <v>428</v>
      </c>
      <c r="CMS92" t="s">
        <v>104</v>
      </c>
      <c r="CMT92" t="s">
        <v>103</v>
      </c>
      <c r="CMU92" t="s">
        <v>398</v>
      </c>
      <c r="CMV92">
        <v>1</v>
      </c>
      <c r="CMW92" t="s">
        <v>438</v>
      </c>
      <c r="CMX92" t="s">
        <v>439</v>
      </c>
      <c r="CMY92" t="s">
        <v>428</v>
      </c>
      <c r="CNA92" t="s">
        <v>104</v>
      </c>
      <c r="CNB92" t="s">
        <v>103</v>
      </c>
      <c r="CNC92" t="s">
        <v>398</v>
      </c>
      <c r="CND92">
        <v>1</v>
      </c>
      <c r="CNE92" t="s">
        <v>438</v>
      </c>
      <c r="CNF92" t="s">
        <v>439</v>
      </c>
      <c r="CNG92" t="s">
        <v>428</v>
      </c>
      <c r="CNI92" t="s">
        <v>104</v>
      </c>
      <c r="CNJ92" t="s">
        <v>103</v>
      </c>
      <c r="CNK92" t="s">
        <v>398</v>
      </c>
      <c r="CNL92">
        <v>1</v>
      </c>
      <c r="CNM92" t="s">
        <v>438</v>
      </c>
      <c r="CNN92" t="s">
        <v>439</v>
      </c>
      <c r="CNO92" t="s">
        <v>428</v>
      </c>
      <c r="CNQ92" t="s">
        <v>104</v>
      </c>
      <c r="CNR92" t="s">
        <v>103</v>
      </c>
      <c r="CNS92" t="s">
        <v>398</v>
      </c>
      <c r="CNT92">
        <v>1</v>
      </c>
      <c r="CNU92" t="s">
        <v>438</v>
      </c>
      <c r="CNV92" t="s">
        <v>439</v>
      </c>
      <c r="CNW92" t="s">
        <v>428</v>
      </c>
      <c r="CNY92" t="s">
        <v>104</v>
      </c>
      <c r="CNZ92" t="s">
        <v>103</v>
      </c>
      <c r="COA92" t="s">
        <v>398</v>
      </c>
      <c r="COB92">
        <v>1</v>
      </c>
      <c r="COC92" t="s">
        <v>438</v>
      </c>
      <c r="COD92" t="s">
        <v>439</v>
      </c>
      <c r="COE92" t="s">
        <v>428</v>
      </c>
      <c r="COG92" t="s">
        <v>104</v>
      </c>
      <c r="COH92" t="s">
        <v>103</v>
      </c>
      <c r="COI92" t="s">
        <v>398</v>
      </c>
      <c r="COJ92">
        <v>1</v>
      </c>
      <c r="COK92" t="s">
        <v>438</v>
      </c>
      <c r="COL92" t="s">
        <v>439</v>
      </c>
      <c r="COM92" t="s">
        <v>428</v>
      </c>
      <c r="COO92" t="s">
        <v>104</v>
      </c>
      <c r="COP92" t="s">
        <v>103</v>
      </c>
      <c r="COQ92" t="s">
        <v>398</v>
      </c>
      <c r="COR92">
        <v>1</v>
      </c>
      <c r="COS92" t="s">
        <v>438</v>
      </c>
      <c r="COT92" t="s">
        <v>439</v>
      </c>
      <c r="COU92" t="s">
        <v>428</v>
      </c>
      <c r="COW92" t="s">
        <v>104</v>
      </c>
      <c r="COX92" t="s">
        <v>103</v>
      </c>
      <c r="COY92" t="s">
        <v>398</v>
      </c>
      <c r="COZ92">
        <v>1</v>
      </c>
      <c r="CPA92" t="s">
        <v>438</v>
      </c>
      <c r="CPB92" t="s">
        <v>439</v>
      </c>
      <c r="CPC92" t="s">
        <v>428</v>
      </c>
      <c r="CPE92" t="s">
        <v>104</v>
      </c>
      <c r="CPF92" t="s">
        <v>103</v>
      </c>
      <c r="CPG92" t="s">
        <v>398</v>
      </c>
      <c r="CPH92">
        <v>1</v>
      </c>
      <c r="CPI92" t="s">
        <v>438</v>
      </c>
      <c r="CPJ92" t="s">
        <v>439</v>
      </c>
      <c r="CPK92" t="s">
        <v>428</v>
      </c>
      <c r="CPM92" t="s">
        <v>104</v>
      </c>
      <c r="CPN92" t="s">
        <v>103</v>
      </c>
      <c r="CPO92" t="s">
        <v>398</v>
      </c>
      <c r="CPP92">
        <v>1</v>
      </c>
      <c r="CPQ92" t="s">
        <v>438</v>
      </c>
      <c r="CPR92" t="s">
        <v>439</v>
      </c>
      <c r="CPS92" t="s">
        <v>428</v>
      </c>
      <c r="CPU92" t="s">
        <v>104</v>
      </c>
      <c r="CPV92" t="s">
        <v>103</v>
      </c>
      <c r="CPW92" t="s">
        <v>398</v>
      </c>
      <c r="CPX92">
        <v>1</v>
      </c>
      <c r="CPY92" t="s">
        <v>438</v>
      </c>
      <c r="CPZ92" t="s">
        <v>439</v>
      </c>
      <c r="CQA92" t="s">
        <v>428</v>
      </c>
      <c r="CQC92" t="s">
        <v>104</v>
      </c>
      <c r="CQD92" t="s">
        <v>103</v>
      </c>
      <c r="CQE92" t="s">
        <v>398</v>
      </c>
      <c r="CQF92">
        <v>1</v>
      </c>
      <c r="CQG92" t="s">
        <v>438</v>
      </c>
      <c r="CQH92" t="s">
        <v>439</v>
      </c>
      <c r="CQI92" t="s">
        <v>428</v>
      </c>
      <c r="CQK92" t="s">
        <v>104</v>
      </c>
      <c r="CQL92" t="s">
        <v>103</v>
      </c>
      <c r="CQM92" t="s">
        <v>398</v>
      </c>
      <c r="CQN92">
        <v>1</v>
      </c>
      <c r="CQO92" t="s">
        <v>438</v>
      </c>
      <c r="CQP92" t="s">
        <v>439</v>
      </c>
      <c r="CQQ92" t="s">
        <v>428</v>
      </c>
      <c r="CQS92" t="s">
        <v>104</v>
      </c>
      <c r="CQT92" t="s">
        <v>103</v>
      </c>
      <c r="CQU92" t="s">
        <v>398</v>
      </c>
      <c r="CQV92">
        <v>1</v>
      </c>
      <c r="CQW92" t="s">
        <v>438</v>
      </c>
      <c r="CQX92" t="s">
        <v>439</v>
      </c>
      <c r="CQY92" t="s">
        <v>428</v>
      </c>
      <c r="CRA92" t="s">
        <v>104</v>
      </c>
      <c r="CRB92" t="s">
        <v>103</v>
      </c>
      <c r="CRC92" t="s">
        <v>398</v>
      </c>
      <c r="CRD92">
        <v>1</v>
      </c>
      <c r="CRE92" t="s">
        <v>438</v>
      </c>
      <c r="CRF92" t="s">
        <v>439</v>
      </c>
      <c r="CRG92" t="s">
        <v>428</v>
      </c>
      <c r="CRI92" t="s">
        <v>104</v>
      </c>
      <c r="CRJ92" t="s">
        <v>103</v>
      </c>
      <c r="CRK92" t="s">
        <v>398</v>
      </c>
      <c r="CRL92">
        <v>1</v>
      </c>
      <c r="CRM92" t="s">
        <v>438</v>
      </c>
      <c r="CRN92" t="s">
        <v>439</v>
      </c>
      <c r="CRO92" t="s">
        <v>428</v>
      </c>
      <c r="CRQ92" t="s">
        <v>104</v>
      </c>
      <c r="CRR92" t="s">
        <v>103</v>
      </c>
      <c r="CRS92" t="s">
        <v>398</v>
      </c>
      <c r="CRT92">
        <v>1</v>
      </c>
      <c r="CRU92" t="s">
        <v>438</v>
      </c>
      <c r="CRV92" t="s">
        <v>439</v>
      </c>
      <c r="CRW92" t="s">
        <v>428</v>
      </c>
      <c r="CRY92" t="s">
        <v>104</v>
      </c>
      <c r="CRZ92" t="s">
        <v>103</v>
      </c>
      <c r="CSA92" t="s">
        <v>398</v>
      </c>
      <c r="CSB92">
        <v>1</v>
      </c>
      <c r="CSC92" t="s">
        <v>438</v>
      </c>
      <c r="CSD92" t="s">
        <v>439</v>
      </c>
      <c r="CSE92" t="s">
        <v>428</v>
      </c>
      <c r="CSG92" t="s">
        <v>104</v>
      </c>
      <c r="CSH92" t="s">
        <v>103</v>
      </c>
      <c r="CSI92" t="s">
        <v>398</v>
      </c>
      <c r="CSJ92">
        <v>1</v>
      </c>
      <c r="CSK92" t="s">
        <v>438</v>
      </c>
      <c r="CSL92" t="s">
        <v>439</v>
      </c>
      <c r="CSM92" t="s">
        <v>428</v>
      </c>
      <c r="CSO92" t="s">
        <v>104</v>
      </c>
      <c r="CSP92" t="s">
        <v>103</v>
      </c>
      <c r="CSQ92" t="s">
        <v>398</v>
      </c>
      <c r="CSR92">
        <v>1</v>
      </c>
      <c r="CSS92" t="s">
        <v>438</v>
      </c>
      <c r="CST92" t="s">
        <v>439</v>
      </c>
      <c r="CSU92" t="s">
        <v>428</v>
      </c>
      <c r="CSW92" t="s">
        <v>104</v>
      </c>
      <c r="CSX92" t="s">
        <v>103</v>
      </c>
      <c r="CSY92" t="s">
        <v>398</v>
      </c>
      <c r="CSZ92">
        <v>1</v>
      </c>
      <c r="CTA92" t="s">
        <v>438</v>
      </c>
      <c r="CTB92" t="s">
        <v>439</v>
      </c>
      <c r="CTC92" t="s">
        <v>428</v>
      </c>
      <c r="CTE92" t="s">
        <v>104</v>
      </c>
      <c r="CTF92" t="s">
        <v>103</v>
      </c>
      <c r="CTG92" t="s">
        <v>398</v>
      </c>
      <c r="CTH92">
        <v>1</v>
      </c>
      <c r="CTI92" t="s">
        <v>438</v>
      </c>
      <c r="CTJ92" t="s">
        <v>439</v>
      </c>
      <c r="CTK92" t="s">
        <v>428</v>
      </c>
      <c r="CTM92" t="s">
        <v>104</v>
      </c>
      <c r="CTN92" t="s">
        <v>103</v>
      </c>
      <c r="CTO92" t="s">
        <v>398</v>
      </c>
      <c r="CTP92">
        <v>1</v>
      </c>
      <c r="CTQ92" t="s">
        <v>438</v>
      </c>
      <c r="CTR92" t="s">
        <v>439</v>
      </c>
      <c r="CTS92" t="s">
        <v>428</v>
      </c>
      <c r="CTU92" t="s">
        <v>104</v>
      </c>
      <c r="CTV92" t="s">
        <v>103</v>
      </c>
      <c r="CTW92" t="s">
        <v>398</v>
      </c>
      <c r="CTX92">
        <v>1</v>
      </c>
      <c r="CTY92" t="s">
        <v>438</v>
      </c>
      <c r="CTZ92" t="s">
        <v>439</v>
      </c>
      <c r="CUA92" t="s">
        <v>428</v>
      </c>
      <c r="CUC92" t="s">
        <v>104</v>
      </c>
      <c r="CUD92" t="s">
        <v>103</v>
      </c>
      <c r="CUE92" t="s">
        <v>398</v>
      </c>
      <c r="CUF92">
        <v>1</v>
      </c>
      <c r="CUG92" t="s">
        <v>438</v>
      </c>
      <c r="CUH92" t="s">
        <v>439</v>
      </c>
      <c r="CUI92" t="s">
        <v>428</v>
      </c>
      <c r="CUK92" t="s">
        <v>104</v>
      </c>
      <c r="CUL92" t="s">
        <v>103</v>
      </c>
      <c r="CUM92" t="s">
        <v>398</v>
      </c>
      <c r="CUN92">
        <v>1</v>
      </c>
      <c r="CUO92" t="s">
        <v>438</v>
      </c>
      <c r="CUP92" t="s">
        <v>439</v>
      </c>
      <c r="CUQ92" t="s">
        <v>428</v>
      </c>
      <c r="CUS92" t="s">
        <v>104</v>
      </c>
      <c r="CUT92" t="s">
        <v>103</v>
      </c>
      <c r="CUU92" t="s">
        <v>398</v>
      </c>
      <c r="CUV92">
        <v>1</v>
      </c>
      <c r="CUW92" t="s">
        <v>438</v>
      </c>
      <c r="CUX92" t="s">
        <v>439</v>
      </c>
      <c r="CUY92" t="s">
        <v>428</v>
      </c>
      <c r="CVA92" t="s">
        <v>104</v>
      </c>
      <c r="CVB92" t="s">
        <v>103</v>
      </c>
      <c r="CVC92" t="s">
        <v>398</v>
      </c>
      <c r="CVD92">
        <v>1</v>
      </c>
      <c r="CVE92" t="s">
        <v>438</v>
      </c>
      <c r="CVF92" t="s">
        <v>439</v>
      </c>
      <c r="CVG92" t="s">
        <v>428</v>
      </c>
      <c r="CVI92" t="s">
        <v>104</v>
      </c>
      <c r="CVJ92" t="s">
        <v>103</v>
      </c>
      <c r="CVK92" t="s">
        <v>398</v>
      </c>
      <c r="CVL92">
        <v>1</v>
      </c>
      <c r="CVM92" t="s">
        <v>438</v>
      </c>
      <c r="CVN92" t="s">
        <v>439</v>
      </c>
      <c r="CVO92" t="s">
        <v>428</v>
      </c>
      <c r="CVQ92" t="s">
        <v>104</v>
      </c>
      <c r="CVR92" t="s">
        <v>103</v>
      </c>
      <c r="CVS92" t="s">
        <v>398</v>
      </c>
      <c r="CVT92">
        <v>1</v>
      </c>
      <c r="CVU92" t="s">
        <v>438</v>
      </c>
      <c r="CVV92" t="s">
        <v>439</v>
      </c>
      <c r="CVW92" t="s">
        <v>428</v>
      </c>
      <c r="CVY92" t="s">
        <v>104</v>
      </c>
      <c r="CVZ92" t="s">
        <v>103</v>
      </c>
      <c r="CWA92" t="s">
        <v>398</v>
      </c>
      <c r="CWB92">
        <v>1</v>
      </c>
      <c r="CWC92" t="s">
        <v>438</v>
      </c>
      <c r="CWD92" t="s">
        <v>439</v>
      </c>
      <c r="CWE92" t="s">
        <v>428</v>
      </c>
      <c r="CWG92" t="s">
        <v>104</v>
      </c>
      <c r="CWH92" t="s">
        <v>103</v>
      </c>
      <c r="CWI92" t="s">
        <v>398</v>
      </c>
      <c r="CWJ92">
        <v>1</v>
      </c>
      <c r="CWK92" t="s">
        <v>438</v>
      </c>
      <c r="CWL92" t="s">
        <v>439</v>
      </c>
      <c r="CWM92" t="s">
        <v>428</v>
      </c>
      <c r="CWO92" t="s">
        <v>104</v>
      </c>
      <c r="CWP92" t="s">
        <v>103</v>
      </c>
      <c r="CWQ92" t="s">
        <v>398</v>
      </c>
      <c r="CWR92">
        <v>1</v>
      </c>
      <c r="CWS92" t="s">
        <v>438</v>
      </c>
      <c r="CWT92" t="s">
        <v>439</v>
      </c>
      <c r="CWU92" t="s">
        <v>428</v>
      </c>
      <c r="CWW92" t="s">
        <v>104</v>
      </c>
      <c r="CWX92" t="s">
        <v>103</v>
      </c>
      <c r="CWY92" t="s">
        <v>398</v>
      </c>
      <c r="CWZ92">
        <v>1</v>
      </c>
      <c r="CXA92" t="s">
        <v>438</v>
      </c>
      <c r="CXB92" t="s">
        <v>439</v>
      </c>
      <c r="CXC92" t="s">
        <v>428</v>
      </c>
      <c r="CXE92" t="s">
        <v>104</v>
      </c>
      <c r="CXF92" t="s">
        <v>103</v>
      </c>
      <c r="CXG92" t="s">
        <v>398</v>
      </c>
      <c r="CXH92">
        <v>1</v>
      </c>
      <c r="CXI92" t="s">
        <v>438</v>
      </c>
      <c r="CXJ92" t="s">
        <v>439</v>
      </c>
      <c r="CXK92" t="s">
        <v>428</v>
      </c>
      <c r="CXM92" t="s">
        <v>104</v>
      </c>
      <c r="CXN92" t="s">
        <v>103</v>
      </c>
      <c r="CXO92" t="s">
        <v>398</v>
      </c>
      <c r="CXP92">
        <v>1</v>
      </c>
      <c r="CXQ92" t="s">
        <v>438</v>
      </c>
      <c r="CXR92" t="s">
        <v>439</v>
      </c>
      <c r="CXS92" t="s">
        <v>428</v>
      </c>
      <c r="CXU92" t="s">
        <v>104</v>
      </c>
      <c r="CXV92" t="s">
        <v>103</v>
      </c>
      <c r="CXW92" t="s">
        <v>398</v>
      </c>
      <c r="CXX92">
        <v>1</v>
      </c>
      <c r="CXY92" t="s">
        <v>438</v>
      </c>
      <c r="CXZ92" t="s">
        <v>439</v>
      </c>
      <c r="CYA92" t="s">
        <v>428</v>
      </c>
      <c r="CYC92" t="s">
        <v>104</v>
      </c>
      <c r="CYD92" t="s">
        <v>103</v>
      </c>
      <c r="CYE92" t="s">
        <v>398</v>
      </c>
      <c r="CYF92">
        <v>1</v>
      </c>
      <c r="CYG92" t="s">
        <v>438</v>
      </c>
      <c r="CYH92" t="s">
        <v>439</v>
      </c>
      <c r="CYI92" t="s">
        <v>428</v>
      </c>
      <c r="CYK92" t="s">
        <v>104</v>
      </c>
      <c r="CYL92" t="s">
        <v>103</v>
      </c>
      <c r="CYM92" t="s">
        <v>398</v>
      </c>
      <c r="CYN92">
        <v>1</v>
      </c>
      <c r="CYO92" t="s">
        <v>438</v>
      </c>
      <c r="CYP92" t="s">
        <v>439</v>
      </c>
      <c r="CYQ92" t="s">
        <v>428</v>
      </c>
      <c r="CYS92" t="s">
        <v>104</v>
      </c>
      <c r="CYT92" t="s">
        <v>103</v>
      </c>
      <c r="CYU92" t="s">
        <v>398</v>
      </c>
      <c r="CYV92">
        <v>1</v>
      </c>
      <c r="CYW92" t="s">
        <v>438</v>
      </c>
      <c r="CYX92" t="s">
        <v>439</v>
      </c>
      <c r="CYY92" t="s">
        <v>428</v>
      </c>
      <c r="CZA92" t="s">
        <v>104</v>
      </c>
      <c r="CZB92" t="s">
        <v>103</v>
      </c>
      <c r="CZC92" t="s">
        <v>398</v>
      </c>
      <c r="CZD92">
        <v>1</v>
      </c>
      <c r="CZE92" t="s">
        <v>438</v>
      </c>
      <c r="CZF92" t="s">
        <v>439</v>
      </c>
      <c r="CZG92" t="s">
        <v>428</v>
      </c>
      <c r="CZI92" t="s">
        <v>104</v>
      </c>
      <c r="CZJ92" t="s">
        <v>103</v>
      </c>
      <c r="CZK92" t="s">
        <v>398</v>
      </c>
      <c r="CZL92">
        <v>1</v>
      </c>
      <c r="CZM92" t="s">
        <v>438</v>
      </c>
      <c r="CZN92" t="s">
        <v>439</v>
      </c>
      <c r="CZO92" t="s">
        <v>428</v>
      </c>
      <c r="CZQ92" t="s">
        <v>104</v>
      </c>
      <c r="CZR92" t="s">
        <v>103</v>
      </c>
      <c r="CZS92" t="s">
        <v>398</v>
      </c>
      <c r="CZT92">
        <v>1</v>
      </c>
      <c r="CZU92" t="s">
        <v>438</v>
      </c>
      <c r="CZV92" t="s">
        <v>439</v>
      </c>
      <c r="CZW92" t="s">
        <v>428</v>
      </c>
      <c r="CZY92" t="s">
        <v>104</v>
      </c>
      <c r="CZZ92" t="s">
        <v>103</v>
      </c>
      <c r="DAA92" t="s">
        <v>398</v>
      </c>
      <c r="DAB92">
        <v>1</v>
      </c>
      <c r="DAC92" t="s">
        <v>438</v>
      </c>
      <c r="DAD92" t="s">
        <v>439</v>
      </c>
      <c r="DAE92" t="s">
        <v>428</v>
      </c>
      <c r="DAG92" t="s">
        <v>104</v>
      </c>
      <c r="DAH92" t="s">
        <v>103</v>
      </c>
      <c r="DAI92" t="s">
        <v>398</v>
      </c>
      <c r="DAJ92">
        <v>1</v>
      </c>
      <c r="DAK92" t="s">
        <v>438</v>
      </c>
      <c r="DAL92" t="s">
        <v>439</v>
      </c>
      <c r="DAM92" t="s">
        <v>428</v>
      </c>
      <c r="DAO92" t="s">
        <v>104</v>
      </c>
      <c r="DAP92" t="s">
        <v>103</v>
      </c>
      <c r="DAQ92" t="s">
        <v>398</v>
      </c>
      <c r="DAR92">
        <v>1</v>
      </c>
      <c r="DAS92" t="s">
        <v>438</v>
      </c>
      <c r="DAT92" t="s">
        <v>439</v>
      </c>
      <c r="DAU92" t="s">
        <v>428</v>
      </c>
      <c r="DAW92" t="s">
        <v>104</v>
      </c>
      <c r="DAX92" t="s">
        <v>103</v>
      </c>
      <c r="DAY92" t="s">
        <v>398</v>
      </c>
      <c r="DAZ92">
        <v>1</v>
      </c>
      <c r="DBA92" t="s">
        <v>438</v>
      </c>
      <c r="DBB92" t="s">
        <v>439</v>
      </c>
      <c r="DBC92" t="s">
        <v>428</v>
      </c>
      <c r="DBE92" t="s">
        <v>104</v>
      </c>
      <c r="DBF92" t="s">
        <v>103</v>
      </c>
      <c r="DBG92" t="s">
        <v>398</v>
      </c>
      <c r="DBH92">
        <v>1</v>
      </c>
      <c r="DBI92" t="s">
        <v>438</v>
      </c>
      <c r="DBJ92" t="s">
        <v>439</v>
      </c>
      <c r="DBK92" t="s">
        <v>428</v>
      </c>
      <c r="DBM92" t="s">
        <v>104</v>
      </c>
      <c r="DBN92" t="s">
        <v>103</v>
      </c>
      <c r="DBO92" t="s">
        <v>398</v>
      </c>
      <c r="DBP92">
        <v>1</v>
      </c>
      <c r="DBQ92" t="s">
        <v>438</v>
      </c>
      <c r="DBR92" t="s">
        <v>439</v>
      </c>
      <c r="DBS92" t="s">
        <v>428</v>
      </c>
      <c r="DBU92" t="s">
        <v>104</v>
      </c>
      <c r="DBV92" t="s">
        <v>103</v>
      </c>
      <c r="DBW92" t="s">
        <v>398</v>
      </c>
      <c r="DBX92">
        <v>1</v>
      </c>
      <c r="DBY92" t="s">
        <v>438</v>
      </c>
      <c r="DBZ92" t="s">
        <v>439</v>
      </c>
      <c r="DCA92" t="s">
        <v>428</v>
      </c>
      <c r="DCC92" t="s">
        <v>104</v>
      </c>
      <c r="DCD92" t="s">
        <v>103</v>
      </c>
      <c r="DCE92" t="s">
        <v>398</v>
      </c>
      <c r="DCF92">
        <v>1</v>
      </c>
      <c r="DCG92" t="s">
        <v>438</v>
      </c>
      <c r="DCH92" t="s">
        <v>439</v>
      </c>
      <c r="DCI92" t="s">
        <v>428</v>
      </c>
      <c r="DCK92" t="s">
        <v>104</v>
      </c>
      <c r="DCL92" t="s">
        <v>103</v>
      </c>
      <c r="DCM92" t="s">
        <v>398</v>
      </c>
      <c r="DCN92">
        <v>1</v>
      </c>
      <c r="DCO92" t="s">
        <v>438</v>
      </c>
      <c r="DCP92" t="s">
        <v>439</v>
      </c>
      <c r="DCQ92" t="s">
        <v>428</v>
      </c>
      <c r="DCS92" t="s">
        <v>104</v>
      </c>
      <c r="DCT92" t="s">
        <v>103</v>
      </c>
      <c r="DCU92" t="s">
        <v>398</v>
      </c>
      <c r="DCV92">
        <v>1</v>
      </c>
      <c r="DCW92" t="s">
        <v>438</v>
      </c>
      <c r="DCX92" t="s">
        <v>439</v>
      </c>
      <c r="DCY92" t="s">
        <v>428</v>
      </c>
      <c r="DDA92" t="s">
        <v>104</v>
      </c>
      <c r="DDB92" t="s">
        <v>103</v>
      </c>
      <c r="DDC92" t="s">
        <v>398</v>
      </c>
      <c r="DDD92">
        <v>1</v>
      </c>
      <c r="DDE92" t="s">
        <v>438</v>
      </c>
      <c r="DDF92" t="s">
        <v>439</v>
      </c>
      <c r="DDG92" t="s">
        <v>428</v>
      </c>
      <c r="DDI92" t="s">
        <v>104</v>
      </c>
      <c r="DDJ92" t="s">
        <v>103</v>
      </c>
      <c r="DDK92" t="s">
        <v>398</v>
      </c>
      <c r="DDL92">
        <v>1</v>
      </c>
      <c r="DDM92" t="s">
        <v>438</v>
      </c>
      <c r="DDN92" t="s">
        <v>439</v>
      </c>
      <c r="DDO92" t="s">
        <v>428</v>
      </c>
      <c r="DDQ92" t="s">
        <v>104</v>
      </c>
      <c r="DDR92" t="s">
        <v>103</v>
      </c>
      <c r="DDS92" t="s">
        <v>398</v>
      </c>
      <c r="DDT92">
        <v>1</v>
      </c>
      <c r="DDU92" t="s">
        <v>438</v>
      </c>
      <c r="DDV92" t="s">
        <v>439</v>
      </c>
      <c r="DDW92" t="s">
        <v>428</v>
      </c>
      <c r="DDY92" t="s">
        <v>104</v>
      </c>
      <c r="DDZ92" t="s">
        <v>103</v>
      </c>
      <c r="DEA92" t="s">
        <v>398</v>
      </c>
      <c r="DEB92">
        <v>1</v>
      </c>
      <c r="DEC92" t="s">
        <v>438</v>
      </c>
      <c r="DED92" t="s">
        <v>439</v>
      </c>
      <c r="DEE92" t="s">
        <v>428</v>
      </c>
      <c r="DEG92" t="s">
        <v>104</v>
      </c>
      <c r="DEH92" t="s">
        <v>103</v>
      </c>
      <c r="DEI92" t="s">
        <v>398</v>
      </c>
      <c r="DEJ92">
        <v>1</v>
      </c>
      <c r="DEK92" t="s">
        <v>438</v>
      </c>
      <c r="DEL92" t="s">
        <v>439</v>
      </c>
      <c r="DEM92" t="s">
        <v>428</v>
      </c>
      <c r="DEO92" t="s">
        <v>104</v>
      </c>
      <c r="DEP92" t="s">
        <v>103</v>
      </c>
      <c r="DEQ92" t="s">
        <v>398</v>
      </c>
      <c r="DER92">
        <v>1</v>
      </c>
      <c r="DES92" t="s">
        <v>438</v>
      </c>
      <c r="DET92" t="s">
        <v>439</v>
      </c>
      <c r="DEU92" t="s">
        <v>428</v>
      </c>
      <c r="DEW92" t="s">
        <v>104</v>
      </c>
      <c r="DEX92" t="s">
        <v>103</v>
      </c>
      <c r="DEY92" t="s">
        <v>398</v>
      </c>
      <c r="DEZ92">
        <v>1</v>
      </c>
      <c r="DFA92" t="s">
        <v>438</v>
      </c>
      <c r="DFB92" t="s">
        <v>439</v>
      </c>
      <c r="DFC92" t="s">
        <v>428</v>
      </c>
      <c r="DFE92" t="s">
        <v>104</v>
      </c>
      <c r="DFF92" t="s">
        <v>103</v>
      </c>
      <c r="DFG92" t="s">
        <v>398</v>
      </c>
      <c r="DFH92">
        <v>1</v>
      </c>
      <c r="DFI92" t="s">
        <v>438</v>
      </c>
      <c r="DFJ92" t="s">
        <v>439</v>
      </c>
      <c r="DFK92" t="s">
        <v>428</v>
      </c>
      <c r="DFM92" t="s">
        <v>104</v>
      </c>
      <c r="DFN92" t="s">
        <v>103</v>
      </c>
      <c r="DFO92" t="s">
        <v>398</v>
      </c>
      <c r="DFP92">
        <v>1</v>
      </c>
      <c r="DFQ92" t="s">
        <v>438</v>
      </c>
      <c r="DFR92" t="s">
        <v>439</v>
      </c>
      <c r="DFS92" t="s">
        <v>428</v>
      </c>
      <c r="DFU92" t="s">
        <v>104</v>
      </c>
      <c r="DFV92" t="s">
        <v>103</v>
      </c>
      <c r="DFW92" t="s">
        <v>398</v>
      </c>
      <c r="DFX92">
        <v>1</v>
      </c>
      <c r="DFY92" t="s">
        <v>438</v>
      </c>
      <c r="DFZ92" t="s">
        <v>439</v>
      </c>
      <c r="DGA92" t="s">
        <v>428</v>
      </c>
      <c r="DGC92" t="s">
        <v>104</v>
      </c>
      <c r="DGD92" t="s">
        <v>103</v>
      </c>
      <c r="DGE92" t="s">
        <v>398</v>
      </c>
      <c r="DGF92">
        <v>1</v>
      </c>
      <c r="DGG92" t="s">
        <v>438</v>
      </c>
      <c r="DGH92" t="s">
        <v>439</v>
      </c>
      <c r="DGI92" t="s">
        <v>428</v>
      </c>
      <c r="DGK92" t="s">
        <v>104</v>
      </c>
      <c r="DGL92" t="s">
        <v>103</v>
      </c>
      <c r="DGM92" t="s">
        <v>398</v>
      </c>
      <c r="DGN92">
        <v>1</v>
      </c>
      <c r="DGO92" t="s">
        <v>438</v>
      </c>
      <c r="DGP92" t="s">
        <v>439</v>
      </c>
      <c r="DGQ92" t="s">
        <v>428</v>
      </c>
      <c r="DGS92" t="s">
        <v>104</v>
      </c>
      <c r="DGT92" t="s">
        <v>103</v>
      </c>
      <c r="DGU92" t="s">
        <v>398</v>
      </c>
      <c r="DGV92">
        <v>1</v>
      </c>
      <c r="DGW92" t="s">
        <v>438</v>
      </c>
      <c r="DGX92" t="s">
        <v>439</v>
      </c>
      <c r="DGY92" t="s">
        <v>428</v>
      </c>
      <c r="DHA92" t="s">
        <v>104</v>
      </c>
      <c r="DHB92" t="s">
        <v>103</v>
      </c>
      <c r="DHC92" t="s">
        <v>398</v>
      </c>
      <c r="DHD92">
        <v>1</v>
      </c>
      <c r="DHE92" t="s">
        <v>438</v>
      </c>
      <c r="DHF92" t="s">
        <v>439</v>
      </c>
      <c r="DHG92" t="s">
        <v>428</v>
      </c>
      <c r="DHI92" t="s">
        <v>104</v>
      </c>
      <c r="DHJ92" t="s">
        <v>103</v>
      </c>
      <c r="DHK92" t="s">
        <v>398</v>
      </c>
      <c r="DHL92">
        <v>1</v>
      </c>
      <c r="DHM92" t="s">
        <v>438</v>
      </c>
      <c r="DHN92" t="s">
        <v>439</v>
      </c>
      <c r="DHO92" t="s">
        <v>428</v>
      </c>
      <c r="DHQ92" t="s">
        <v>104</v>
      </c>
      <c r="DHR92" t="s">
        <v>103</v>
      </c>
      <c r="DHS92" t="s">
        <v>398</v>
      </c>
      <c r="DHT92">
        <v>1</v>
      </c>
      <c r="DHU92" t="s">
        <v>438</v>
      </c>
      <c r="DHV92" t="s">
        <v>439</v>
      </c>
      <c r="DHW92" t="s">
        <v>428</v>
      </c>
      <c r="DHY92" t="s">
        <v>104</v>
      </c>
      <c r="DHZ92" t="s">
        <v>103</v>
      </c>
      <c r="DIA92" t="s">
        <v>398</v>
      </c>
      <c r="DIB92">
        <v>1</v>
      </c>
      <c r="DIC92" t="s">
        <v>438</v>
      </c>
      <c r="DID92" t="s">
        <v>439</v>
      </c>
      <c r="DIE92" t="s">
        <v>428</v>
      </c>
      <c r="DIG92" t="s">
        <v>104</v>
      </c>
      <c r="DIH92" t="s">
        <v>103</v>
      </c>
      <c r="DII92" t="s">
        <v>398</v>
      </c>
      <c r="DIJ92">
        <v>1</v>
      </c>
      <c r="DIK92" t="s">
        <v>438</v>
      </c>
      <c r="DIL92" t="s">
        <v>439</v>
      </c>
      <c r="DIM92" t="s">
        <v>428</v>
      </c>
      <c r="DIO92" t="s">
        <v>104</v>
      </c>
      <c r="DIP92" t="s">
        <v>103</v>
      </c>
      <c r="DIQ92" t="s">
        <v>398</v>
      </c>
      <c r="DIR92">
        <v>1</v>
      </c>
      <c r="DIS92" t="s">
        <v>438</v>
      </c>
      <c r="DIT92" t="s">
        <v>439</v>
      </c>
      <c r="DIU92" t="s">
        <v>428</v>
      </c>
      <c r="DIW92" t="s">
        <v>104</v>
      </c>
      <c r="DIX92" t="s">
        <v>103</v>
      </c>
      <c r="DIY92" t="s">
        <v>398</v>
      </c>
      <c r="DIZ92">
        <v>1</v>
      </c>
      <c r="DJA92" t="s">
        <v>438</v>
      </c>
      <c r="DJB92" t="s">
        <v>439</v>
      </c>
      <c r="DJC92" t="s">
        <v>428</v>
      </c>
      <c r="DJE92" t="s">
        <v>104</v>
      </c>
      <c r="DJF92" t="s">
        <v>103</v>
      </c>
      <c r="DJG92" t="s">
        <v>398</v>
      </c>
      <c r="DJH92">
        <v>1</v>
      </c>
      <c r="DJI92" t="s">
        <v>438</v>
      </c>
      <c r="DJJ92" t="s">
        <v>439</v>
      </c>
      <c r="DJK92" t="s">
        <v>428</v>
      </c>
      <c r="DJM92" t="s">
        <v>104</v>
      </c>
      <c r="DJN92" t="s">
        <v>103</v>
      </c>
      <c r="DJO92" t="s">
        <v>398</v>
      </c>
      <c r="DJP92">
        <v>1</v>
      </c>
      <c r="DJQ92" t="s">
        <v>438</v>
      </c>
      <c r="DJR92" t="s">
        <v>439</v>
      </c>
      <c r="DJS92" t="s">
        <v>428</v>
      </c>
      <c r="DJU92" t="s">
        <v>104</v>
      </c>
      <c r="DJV92" t="s">
        <v>103</v>
      </c>
      <c r="DJW92" t="s">
        <v>398</v>
      </c>
      <c r="DJX92">
        <v>1</v>
      </c>
      <c r="DJY92" t="s">
        <v>438</v>
      </c>
      <c r="DJZ92" t="s">
        <v>439</v>
      </c>
      <c r="DKA92" t="s">
        <v>428</v>
      </c>
      <c r="DKC92" t="s">
        <v>104</v>
      </c>
      <c r="DKD92" t="s">
        <v>103</v>
      </c>
      <c r="DKE92" t="s">
        <v>398</v>
      </c>
      <c r="DKF92">
        <v>1</v>
      </c>
      <c r="DKG92" t="s">
        <v>438</v>
      </c>
      <c r="DKH92" t="s">
        <v>439</v>
      </c>
      <c r="DKI92" t="s">
        <v>428</v>
      </c>
      <c r="DKK92" t="s">
        <v>104</v>
      </c>
      <c r="DKL92" t="s">
        <v>103</v>
      </c>
      <c r="DKM92" t="s">
        <v>398</v>
      </c>
      <c r="DKN92">
        <v>1</v>
      </c>
      <c r="DKO92" t="s">
        <v>438</v>
      </c>
      <c r="DKP92" t="s">
        <v>439</v>
      </c>
      <c r="DKQ92" t="s">
        <v>428</v>
      </c>
      <c r="DKS92" t="s">
        <v>104</v>
      </c>
      <c r="DKT92" t="s">
        <v>103</v>
      </c>
      <c r="DKU92" t="s">
        <v>398</v>
      </c>
      <c r="DKV92">
        <v>1</v>
      </c>
      <c r="DKW92" t="s">
        <v>438</v>
      </c>
      <c r="DKX92" t="s">
        <v>439</v>
      </c>
      <c r="DKY92" t="s">
        <v>428</v>
      </c>
      <c r="DLA92" t="s">
        <v>104</v>
      </c>
      <c r="DLB92" t="s">
        <v>103</v>
      </c>
      <c r="DLC92" t="s">
        <v>398</v>
      </c>
      <c r="DLD92">
        <v>1</v>
      </c>
      <c r="DLE92" t="s">
        <v>438</v>
      </c>
      <c r="DLF92" t="s">
        <v>439</v>
      </c>
      <c r="DLG92" t="s">
        <v>428</v>
      </c>
      <c r="DLI92" t="s">
        <v>104</v>
      </c>
      <c r="DLJ92" t="s">
        <v>103</v>
      </c>
      <c r="DLK92" t="s">
        <v>398</v>
      </c>
      <c r="DLL92">
        <v>1</v>
      </c>
      <c r="DLM92" t="s">
        <v>438</v>
      </c>
      <c r="DLN92" t="s">
        <v>439</v>
      </c>
      <c r="DLO92" t="s">
        <v>428</v>
      </c>
      <c r="DLQ92" t="s">
        <v>104</v>
      </c>
      <c r="DLR92" t="s">
        <v>103</v>
      </c>
      <c r="DLS92" t="s">
        <v>398</v>
      </c>
      <c r="DLT92">
        <v>1</v>
      </c>
      <c r="DLU92" t="s">
        <v>438</v>
      </c>
      <c r="DLV92" t="s">
        <v>439</v>
      </c>
      <c r="DLW92" t="s">
        <v>428</v>
      </c>
      <c r="DLY92" t="s">
        <v>104</v>
      </c>
      <c r="DLZ92" t="s">
        <v>103</v>
      </c>
      <c r="DMA92" t="s">
        <v>398</v>
      </c>
      <c r="DMB92">
        <v>1</v>
      </c>
      <c r="DMC92" t="s">
        <v>438</v>
      </c>
      <c r="DMD92" t="s">
        <v>439</v>
      </c>
      <c r="DME92" t="s">
        <v>428</v>
      </c>
      <c r="DMG92" t="s">
        <v>104</v>
      </c>
      <c r="DMH92" t="s">
        <v>103</v>
      </c>
      <c r="DMI92" t="s">
        <v>398</v>
      </c>
      <c r="DMJ92">
        <v>1</v>
      </c>
      <c r="DMK92" t="s">
        <v>438</v>
      </c>
      <c r="DML92" t="s">
        <v>439</v>
      </c>
      <c r="DMM92" t="s">
        <v>428</v>
      </c>
      <c r="DMO92" t="s">
        <v>104</v>
      </c>
      <c r="DMP92" t="s">
        <v>103</v>
      </c>
      <c r="DMQ92" t="s">
        <v>398</v>
      </c>
      <c r="DMR92">
        <v>1</v>
      </c>
      <c r="DMS92" t="s">
        <v>438</v>
      </c>
      <c r="DMT92" t="s">
        <v>439</v>
      </c>
      <c r="DMU92" t="s">
        <v>428</v>
      </c>
      <c r="DMW92" t="s">
        <v>104</v>
      </c>
      <c r="DMX92" t="s">
        <v>103</v>
      </c>
      <c r="DMY92" t="s">
        <v>398</v>
      </c>
      <c r="DMZ92">
        <v>1</v>
      </c>
      <c r="DNA92" t="s">
        <v>438</v>
      </c>
      <c r="DNB92" t="s">
        <v>439</v>
      </c>
      <c r="DNC92" t="s">
        <v>428</v>
      </c>
      <c r="DNE92" t="s">
        <v>104</v>
      </c>
      <c r="DNF92" t="s">
        <v>103</v>
      </c>
      <c r="DNG92" t="s">
        <v>398</v>
      </c>
      <c r="DNH92">
        <v>1</v>
      </c>
      <c r="DNI92" t="s">
        <v>438</v>
      </c>
      <c r="DNJ92" t="s">
        <v>439</v>
      </c>
      <c r="DNK92" t="s">
        <v>428</v>
      </c>
      <c r="DNM92" t="s">
        <v>104</v>
      </c>
      <c r="DNN92" t="s">
        <v>103</v>
      </c>
      <c r="DNO92" t="s">
        <v>398</v>
      </c>
      <c r="DNP92">
        <v>1</v>
      </c>
      <c r="DNQ92" t="s">
        <v>438</v>
      </c>
      <c r="DNR92" t="s">
        <v>439</v>
      </c>
      <c r="DNS92" t="s">
        <v>428</v>
      </c>
      <c r="DNU92" t="s">
        <v>104</v>
      </c>
      <c r="DNV92" t="s">
        <v>103</v>
      </c>
      <c r="DNW92" t="s">
        <v>398</v>
      </c>
      <c r="DNX92">
        <v>1</v>
      </c>
      <c r="DNY92" t="s">
        <v>438</v>
      </c>
      <c r="DNZ92" t="s">
        <v>439</v>
      </c>
      <c r="DOA92" t="s">
        <v>428</v>
      </c>
      <c r="DOC92" t="s">
        <v>104</v>
      </c>
      <c r="DOD92" t="s">
        <v>103</v>
      </c>
      <c r="DOE92" t="s">
        <v>398</v>
      </c>
      <c r="DOF92">
        <v>1</v>
      </c>
      <c r="DOG92" t="s">
        <v>438</v>
      </c>
      <c r="DOH92" t="s">
        <v>439</v>
      </c>
      <c r="DOI92" t="s">
        <v>428</v>
      </c>
      <c r="DOK92" t="s">
        <v>104</v>
      </c>
      <c r="DOL92" t="s">
        <v>103</v>
      </c>
      <c r="DOM92" t="s">
        <v>398</v>
      </c>
      <c r="DON92">
        <v>1</v>
      </c>
      <c r="DOO92" t="s">
        <v>438</v>
      </c>
      <c r="DOP92" t="s">
        <v>439</v>
      </c>
      <c r="DOQ92" t="s">
        <v>428</v>
      </c>
      <c r="DOS92" t="s">
        <v>104</v>
      </c>
      <c r="DOT92" t="s">
        <v>103</v>
      </c>
      <c r="DOU92" t="s">
        <v>398</v>
      </c>
      <c r="DOV92">
        <v>1</v>
      </c>
      <c r="DOW92" t="s">
        <v>438</v>
      </c>
      <c r="DOX92" t="s">
        <v>439</v>
      </c>
      <c r="DOY92" t="s">
        <v>428</v>
      </c>
      <c r="DPA92" t="s">
        <v>104</v>
      </c>
      <c r="DPB92" t="s">
        <v>103</v>
      </c>
      <c r="DPC92" t="s">
        <v>398</v>
      </c>
      <c r="DPD92">
        <v>1</v>
      </c>
      <c r="DPE92" t="s">
        <v>438</v>
      </c>
      <c r="DPF92" t="s">
        <v>439</v>
      </c>
      <c r="DPG92" t="s">
        <v>428</v>
      </c>
      <c r="DPI92" t="s">
        <v>104</v>
      </c>
      <c r="DPJ92" t="s">
        <v>103</v>
      </c>
      <c r="DPK92" t="s">
        <v>398</v>
      </c>
      <c r="DPL92">
        <v>1</v>
      </c>
      <c r="DPM92" t="s">
        <v>438</v>
      </c>
      <c r="DPN92" t="s">
        <v>439</v>
      </c>
      <c r="DPO92" t="s">
        <v>428</v>
      </c>
      <c r="DPQ92" t="s">
        <v>104</v>
      </c>
      <c r="DPR92" t="s">
        <v>103</v>
      </c>
      <c r="DPS92" t="s">
        <v>398</v>
      </c>
      <c r="DPT92">
        <v>1</v>
      </c>
      <c r="DPU92" t="s">
        <v>438</v>
      </c>
      <c r="DPV92" t="s">
        <v>439</v>
      </c>
      <c r="DPW92" t="s">
        <v>428</v>
      </c>
      <c r="DPY92" t="s">
        <v>104</v>
      </c>
      <c r="DPZ92" t="s">
        <v>103</v>
      </c>
      <c r="DQA92" t="s">
        <v>398</v>
      </c>
      <c r="DQB92">
        <v>1</v>
      </c>
      <c r="DQC92" t="s">
        <v>438</v>
      </c>
      <c r="DQD92" t="s">
        <v>439</v>
      </c>
      <c r="DQE92" t="s">
        <v>428</v>
      </c>
      <c r="DQG92" t="s">
        <v>104</v>
      </c>
      <c r="DQH92" t="s">
        <v>103</v>
      </c>
      <c r="DQI92" t="s">
        <v>398</v>
      </c>
      <c r="DQJ92">
        <v>1</v>
      </c>
      <c r="DQK92" t="s">
        <v>438</v>
      </c>
      <c r="DQL92" t="s">
        <v>439</v>
      </c>
      <c r="DQM92" t="s">
        <v>428</v>
      </c>
      <c r="DQO92" t="s">
        <v>104</v>
      </c>
      <c r="DQP92" t="s">
        <v>103</v>
      </c>
      <c r="DQQ92" t="s">
        <v>398</v>
      </c>
      <c r="DQR92">
        <v>1</v>
      </c>
      <c r="DQS92" t="s">
        <v>438</v>
      </c>
      <c r="DQT92" t="s">
        <v>439</v>
      </c>
      <c r="DQU92" t="s">
        <v>428</v>
      </c>
      <c r="DQW92" t="s">
        <v>104</v>
      </c>
      <c r="DQX92" t="s">
        <v>103</v>
      </c>
      <c r="DQY92" t="s">
        <v>398</v>
      </c>
      <c r="DQZ92">
        <v>1</v>
      </c>
      <c r="DRA92" t="s">
        <v>438</v>
      </c>
      <c r="DRB92" t="s">
        <v>439</v>
      </c>
      <c r="DRC92" t="s">
        <v>428</v>
      </c>
      <c r="DRE92" t="s">
        <v>104</v>
      </c>
      <c r="DRF92" t="s">
        <v>103</v>
      </c>
      <c r="DRG92" t="s">
        <v>398</v>
      </c>
      <c r="DRH92">
        <v>1</v>
      </c>
      <c r="DRI92" t="s">
        <v>438</v>
      </c>
      <c r="DRJ92" t="s">
        <v>439</v>
      </c>
      <c r="DRK92" t="s">
        <v>428</v>
      </c>
      <c r="DRM92" t="s">
        <v>104</v>
      </c>
      <c r="DRN92" t="s">
        <v>103</v>
      </c>
      <c r="DRO92" t="s">
        <v>398</v>
      </c>
      <c r="DRP92">
        <v>1</v>
      </c>
      <c r="DRQ92" t="s">
        <v>438</v>
      </c>
      <c r="DRR92" t="s">
        <v>439</v>
      </c>
      <c r="DRS92" t="s">
        <v>428</v>
      </c>
      <c r="DRU92" t="s">
        <v>104</v>
      </c>
      <c r="DRV92" t="s">
        <v>103</v>
      </c>
      <c r="DRW92" t="s">
        <v>398</v>
      </c>
      <c r="DRX92">
        <v>1</v>
      </c>
      <c r="DRY92" t="s">
        <v>438</v>
      </c>
      <c r="DRZ92" t="s">
        <v>439</v>
      </c>
      <c r="DSA92" t="s">
        <v>428</v>
      </c>
      <c r="DSC92" t="s">
        <v>104</v>
      </c>
      <c r="DSD92" t="s">
        <v>103</v>
      </c>
      <c r="DSE92" t="s">
        <v>398</v>
      </c>
      <c r="DSF92">
        <v>1</v>
      </c>
      <c r="DSG92" t="s">
        <v>438</v>
      </c>
      <c r="DSH92" t="s">
        <v>439</v>
      </c>
      <c r="DSI92" t="s">
        <v>428</v>
      </c>
      <c r="DSK92" t="s">
        <v>104</v>
      </c>
      <c r="DSL92" t="s">
        <v>103</v>
      </c>
      <c r="DSM92" t="s">
        <v>398</v>
      </c>
      <c r="DSN92">
        <v>1</v>
      </c>
      <c r="DSO92" t="s">
        <v>438</v>
      </c>
      <c r="DSP92" t="s">
        <v>439</v>
      </c>
      <c r="DSQ92" t="s">
        <v>428</v>
      </c>
      <c r="DSS92" t="s">
        <v>104</v>
      </c>
      <c r="DST92" t="s">
        <v>103</v>
      </c>
      <c r="DSU92" t="s">
        <v>398</v>
      </c>
      <c r="DSV92">
        <v>1</v>
      </c>
      <c r="DSW92" t="s">
        <v>438</v>
      </c>
      <c r="DSX92" t="s">
        <v>439</v>
      </c>
      <c r="DSY92" t="s">
        <v>428</v>
      </c>
      <c r="DTA92" t="s">
        <v>104</v>
      </c>
      <c r="DTB92" t="s">
        <v>103</v>
      </c>
      <c r="DTC92" t="s">
        <v>398</v>
      </c>
      <c r="DTD92">
        <v>1</v>
      </c>
      <c r="DTE92" t="s">
        <v>438</v>
      </c>
      <c r="DTF92" t="s">
        <v>439</v>
      </c>
      <c r="DTG92" t="s">
        <v>428</v>
      </c>
      <c r="DTI92" t="s">
        <v>104</v>
      </c>
      <c r="DTJ92" t="s">
        <v>103</v>
      </c>
      <c r="DTK92" t="s">
        <v>398</v>
      </c>
      <c r="DTL92">
        <v>1</v>
      </c>
      <c r="DTM92" t="s">
        <v>438</v>
      </c>
      <c r="DTN92" t="s">
        <v>439</v>
      </c>
      <c r="DTO92" t="s">
        <v>428</v>
      </c>
      <c r="DTQ92" t="s">
        <v>104</v>
      </c>
      <c r="DTR92" t="s">
        <v>103</v>
      </c>
      <c r="DTS92" t="s">
        <v>398</v>
      </c>
      <c r="DTT92">
        <v>1</v>
      </c>
      <c r="DTU92" t="s">
        <v>438</v>
      </c>
      <c r="DTV92" t="s">
        <v>439</v>
      </c>
      <c r="DTW92" t="s">
        <v>428</v>
      </c>
      <c r="DTY92" t="s">
        <v>104</v>
      </c>
      <c r="DTZ92" t="s">
        <v>103</v>
      </c>
      <c r="DUA92" t="s">
        <v>398</v>
      </c>
      <c r="DUB92">
        <v>1</v>
      </c>
      <c r="DUC92" t="s">
        <v>438</v>
      </c>
      <c r="DUD92" t="s">
        <v>439</v>
      </c>
      <c r="DUE92" t="s">
        <v>428</v>
      </c>
      <c r="DUG92" t="s">
        <v>104</v>
      </c>
      <c r="DUH92" t="s">
        <v>103</v>
      </c>
      <c r="DUI92" t="s">
        <v>398</v>
      </c>
      <c r="DUJ92">
        <v>1</v>
      </c>
      <c r="DUK92" t="s">
        <v>438</v>
      </c>
      <c r="DUL92" t="s">
        <v>439</v>
      </c>
      <c r="DUM92" t="s">
        <v>428</v>
      </c>
      <c r="DUO92" t="s">
        <v>104</v>
      </c>
      <c r="DUP92" t="s">
        <v>103</v>
      </c>
      <c r="DUQ92" t="s">
        <v>398</v>
      </c>
      <c r="DUR92">
        <v>1</v>
      </c>
      <c r="DUS92" t="s">
        <v>438</v>
      </c>
      <c r="DUT92" t="s">
        <v>439</v>
      </c>
      <c r="DUU92" t="s">
        <v>428</v>
      </c>
      <c r="DUW92" t="s">
        <v>104</v>
      </c>
      <c r="DUX92" t="s">
        <v>103</v>
      </c>
      <c r="DUY92" t="s">
        <v>398</v>
      </c>
      <c r="DUZ92">
        <v>1</v>
      </c>
      <c r="DVA92" t="s">
        <v>438</v>
      </c>
      <c r="DVB92" t="s">
        <v>439</v>
      </c>
      <c r="DVC92" t="s">
        <v>428</v>
      </c>
      <c r="DVE92" t="s">
        <v>104</v>
      </c>
      <c r="DVF92" t="s">
        <v>103</v>
      </c>
      <c r="DVG92" t="s">
        <v>398</v>
      </c>
      <c r="DVH92">
        <v>1</v>
      </c>
      <c r="DVI92" t="s">
        <v>438</v>
      </c>
      <c r="DVJ92" t="s">
        <v>439</v>
      </c>
      <c r="DVK92" t="s">
        <v>428</v>
      </c>
      <c r="DVM92" t="s">
        <v>104</v>
      </c>
      <c r="DVN92" t="s">
        <v>103</v>
      </c>
      <c r="DVO92" t="s">
        <v>398</v>
      </c>
      <c r="DVP92">
        <v>1</v>
      </c>
      <c r="DVQ92" t="s">
        <v>438</v>
      </c>
      <c r="DVR92" t="s">
        <v>439</v>
      </c>
      <c r="DVS92" t="s">
        <v>428</v>
      </c>
      <c r="DVU92" t="s">
        <v>104</v>
      </c>
      <c r="DVV92" t="s">
        <v>103</v>
      </c>
      <c r="DVW92" t="s">
        <v>398</v>
      </c>
      <c r="DVX92">
        <v>1</v>
      </c>
      <c r="DVY92" t="s">
        <v>438</v>
      </c>
      <c r="DVZ92" t="s">
        <v>439</v>
      </c>
      <c r="DWA92" t="s">
        <v>428</v>
      </c>
      <c r="DWC92" t="s">
        <v>104</v>
      </c>
      <c r="DWD92" t="s">
        <v>103</v>
      </c>
      <c r="DWE92" t="s">
        <v>398</v>
      </c>
      <c r="DWF92">
        <v>1</v>
      </c>
      <c r="DWG92" t="s">
        <v>438</v>
      </c>
      <c r="DWH92" t="s">
        <v>439</v>
      </c>
      <c r="DWI92" t="s">
        <v>428</v>
      </c>
      <c r="DWK92" t="s">
        <v>104</v>
      </c>
      <c r="DWL92" t="s">
        <v>103</v>
      </c>
      <c r="DWM92" t="s">
        <v>398</v>
      </c>
      <c r="DWN92">
        <v>1</v>
      </c>
      <c r="DWO92" t="s">
        <v>438</v>
      </c>
      <c r="DWP92" t="s">
        <v>439</v>
      </c>
      <c r="DWQ92" t="s">
        <v>428</v>
      </c>
      <c r="DWS92" t="s">
        <v>104</v>
      </c>
      <c r="DWT92" t="s">
        <v>103</v>
      </c>
      <c r="DWU92" t="s">
        <v>398</v>
      </c>
      <c r="DWV92">
        <v>1</v>
      </c>
      <c r="DWW92" t="s">
        <v>438</v>
      </c>
      <c r="DWX92" t="s">
        <v>439</v>
      </c>
      <c r="DWY92" t="s">
        <v>428</v>
      </c>
      <c r="DXA92" t="s">
        <v>104</v>
      </c>
      <c r="DXB92" t="s">
        <v>103</v>
      </c>
      <c r="DXC92" t="s">
        <v>398</v>
      </c>
      <c r="DXD92">
        <v>1</v>
      </c>
      <c r="DXE92" t="s">
        <v>438</v>
      </c>
      <c r="DXF92" t="s">
        <v>439</v>
      </c>
      <c r="DXG92" t="s">
        <v>428</v>
      </c>
      <c r="DXI92" t="s">
        <v>104</v>
      </c>
      <c r="DXJ92" t="s">
        <v>103</v>
      </c>
      <c r="DXK92" t="s">
        <v>398</v>
      </c>
      <c r="DXL92">
        <v>1</v>
      </c>
      <c r="DXM92" t="s">
        <v>438</v>
      </c>
      <c r="DXN92" t="s">
        <v>439</v>
      </c>
      <c r="DXO92" t="s">
        <v>428</v>
      </c>
      <c r="DXQ92" t="s">
        <v>104</v>
      </c>
      <c r="DXR92" t="s">
        <v>103</v>
      </c>
      <c r="DXS92" t="s">
        <v>398</v>
      </c>
      <c r="DXT92">
        <v>1</v>
      </c>
      <c r="DXU92" t="s">
        <v>438</v>
      </c>
      <c r="DXV92" t="s">
        <v>439</v>
      </c>
      <c r="DXW92" t="s">
        <v>428</v>
      </c>
      <c r="DXY92" t="s">
        <v>104</v>
      </c>
      <c r="DXZ92" t="s">
        <v>103</v>
      </c>
      <c r="DYA92" t="s">
        <v>398</v>
      </c>
      <c r="DYB92">
        <v>1</v>
      </c>
      <c r="DYC92" t="s">
        <v>438</v>
      </c>
      <c r="DYD92" t="s">
        <v>439</v>
      </c>
      <c r="DYE92" t="s">
        <v>428</v>
      </c>
      <c r="DYG92" t="s">
        <v>104</v>
      </c>
      <c r="DYH92" t="s">
        <v>103</v>
      </c>
      <c r="DYI92" t="s">
        <v>398</v>
      </c>
      <c r="DYJ92">
        <v>1</v>
      </c>
      <c r="DYK92" t="s">
        <v>438</v>
      </c>
      <c r="DYL92" t="s">
        <v>439</v>
      </c>
      <c r="DYM92" t="s">
        <v>428</v>
      </c>
      <c r="DYO92" t="s">
        <v>104</v>
      </c>
      <c r="DYP92" t="s">
        <v>103</v>
      </c>
      <c r="DYQ92" t="s">
        <v>398</v>
      </c>
      <c r="DYR92">
        <v>1</v>
      </c>
      <c r="DYS92" t="s">
        <v>438</v>
      </c>
      <c r="DYT92" t="s">
        <v>439</v>
      </c>
      <c r="DYU92" t="s">
        <v>428</v>
      </c>
      <c r="DYW92" t="s">
        <v>104</v>
      </c>
      <c r="DYX92" t="s">
        <v>103</v>
      </c>
      <c r="DYY92" t="s">
        <v>398</v>
      </c>
      <c r="DYZ92">
        <v>1</v>
      </c>
      <c r="DZA92" t="s">
        <v>438</v>
      </c>
      <c r="DZB92" t="s">
        <v>439</v>
      </c>
      <c r="DZC92" t="s">
        <v>428</v>
      </c>
      <c r="DZE92" t="s">
        <v>104</v>
      </c>
      <c r="DZF92" t="s">
        <v>103</v>
      </c>
      <c r="DZG92" t="s">
        <v>398</v>
      </c>
      <c r="DZH92">
        <v>1</v>
      </c>
      <c r="DZI92" t="s">
        <v>438</v>
      </c>
      <c r="DZJ92" t="s">
        <v>439</v>
      </c>
      <c r="DZK92" t="s">
        <v>428</v>
      </c>
      <c r="DZM92" t="s">
        <v>104</v>
      </c>
      <c r="DZN92" t="s">
        <v>103</v>
      </c>
      <c r="DZO92" t="s">
        <v>398</v>
      </c>
      <c r="DZP92">
        <v>1</v>
      </c>
      <c r="DZQ92" t="s">
        <v>438</v>
      </c>
      <c r="DZR92" t="s">
        <v>439</v>
      </c>
      <c r="DZS92" t="s">
        <v>428</v>
      </c>
      <c r="DZU92" t="s">
        <v>104</v>
      </c>
      <c r="DZV92" t="s">
        <v>103</v>
      </c>
      <c r="DZW92" t="s">
        <v>398</v>
      </c>
      <c r="DZX92">
        <v>1</v>
      </c>
      <c r="DZY92" t="s">
        <v>438</v>
      </c>
      <c r="DZZ92" t="s">
        <v>439</v>
      </c>
      <c r="EAA92" t="s">
        <v>428</v>
      </c>
      <c r="EAC92" t="s">
        <v>104</v>
      </c>
      <c r="EAD92" t="s">
        <v>103</v>
      </c>
      <c r="EAE92" t="s">
        <v>398</v>
      </c>
      <c r="EAF92">
        <v>1</v>
      </c>
      <c r="EAG92" t="s">
        <v>438</v>
      </c>
      <c r="EAH92" t="s">
        <v>439</v>
      </c>
      <c r="EAI92" t="s">
        <v>428</v>
      </c>
      <c r="EAK92" t="s">
        <v>104</v>
      </c>
      <c r="EAL92" t="s">
        <v>103</v>
      </c>
      <c r="EAM92" t="s">
        <v>398</v>
      </c>
      <c r="EAN92">
        <v>1</v>
      </c>
      <c r="EAO92" t="s">
        <v>438</v>
      </c>
      <c r="EAP92" t="s">
        <v>439</v>
      </c>
      <c r="EAQ92" t="s">
        <v>428</v>
      </c>
      <c r="EAS92" t="s">
        <v>104</v>
      </c>
      <c r="EAT92" t="s">
        <v>103</v>
      </c>
      <c r="EAU92" t="s">
        <v>398</v>
      </c>
      <c r="EAV92">
        <v>1</v>
      </c>
      <c r="EAW92" t="s">
        <v>438</v>
      </c>
      <c r="EAX92" t="s">
        <v>439</v>
      </c>
      <c r="EAY92" t="s">
        <v>428</v>
      </c>
      <c r="EBA92" t="s">
        <v>104</v>
      </c>
      <c r="EBB92" t="s">
        <v>103</v>
      </c>
      <c r="EBC92" t="s">
        <v>398</v>
      </c>
      <c r="EBD92">
        <v>1</v>
      </c>
      <c r="EBE92" t="s">
        <v>438</v>
      </c>
      <c r="EBF92" t="s">
        <v>439</v>
      </c>
      <c r="EBG92" t="s">
        <v>428</v>
      </c>
      <c r="EBI92" t="s">
        <v>104</v>
      </c>
      <c r="EBJ92" t="s">
        <v>103</v>
      </c>
      <c r="EBK92" t="s">
        <v>398</v>
      </c>
      <c r="EBL92">
        <v>1</v>
      </c>
      <c r="EBM92" t="s">
        <v>438</v>
      </c>
      <c r="EBN92" t="s">
        <v>439</v>
      </c>
      <c r="EBO92" t="s">
        <v>428</v>
      </c>
      <c r="EBQ92" t="s">
        <v>104</v>
      </c>
      <c r="EBR92" t="s">
        <v>103</v>
      </c>
      <c r="EBS92" t="s">
        <v>398</v>
      </c>
      <c r="EBT92">
        <v>1</v>
      </c>
      <c r="EBU92" t="s">
        <v>438</v>
      </c>
      <c r="EBV92" t="s">
        <v>439</v>
      </c>
      <c r="EBW92" t="s">
        <v>428</v>
      </c>
      <c r="EBY92" t="s">
        <v>104</v>
      </c>
      <c r="EBZ92" t="s">
        <v>103</v>
      </c>
      <c r="ECA92" t="s">
        <v>398</v>
      </c>
      <c r="ECB92">
        <v>1</v>
      </c>
      <c r="ECC92" t="s">
        <v>438</v>
      </c>
      <c r="ECD92" t="s">
        <v>439</v>
      </c>
      <c r="ECE92" t="s">
        <v>428</v>
      </c>
      <c r="ECG92" t="s">
        <v>104</v>
      </c>
      <c r="ECH92" t="s">
        <v>103</v>
      </c>
      <c r="ECI92" t="s">
        <v>398</v>
      </c>
      <c r="ECJ92">
        <v>1</v>
      </c>
      <c r="ECK92" t="s">
        <v>438</v>
      </c>
      <c r="ECL92" t="s">
        <v>439</v>
      </c>
      <c r="ECM92" t="s">
        <v>428</v>
      </c>
      <c r="ECO92" t="s">
        <v>104</v>
      </c>
      <c r="ECP92" t="s">
        <v>103</v>
      </c>
      <c r="ECQ92" t="s">
        <v>398</v>
      </c>
      <c r="ECR92">
        <v>1</v>
      </c>
      <c r="ECS92" t="s">
        <v>438</v>
      </c>
      <c r="ECT92" t="s">
        <v>439</v>
      </c>
      <c r="ECU92" t="s">
        <v>428</v>
      </c>
      <c r="ECW92" t="s">
        <v>104</v>
      </c>
      <c r="ECX92" t="s">
        <v>103</v>
      </c>
      <c r="ECY92" t="s">
        <v>398</v>
      </c>
      <c r="ECZ92">
        <v>1</v>
      </c>
      <c r="EDA92" t="s">
        <v>438</v>
      </c>
      <c r="EDB92" t="s">
        <v>439</v>
      </c>
      <c r="EDC92" t="s">
        <v>428</v>
      </c>
      <c r="EDE92" t="s">
        <v>104</v>
      </c>
      <c r="EDF92" t="s">
        <v>103</v>
      </c>
      <c r="EDG92" t="s">
        <v>398</v>
      </c>
      <c r="EDH92">
        <v>1</v>
      </c>
      <c r="EDI92" t="s">
        <v>438</v>
      </c>
      <c r="EDJ92" t="s">
        <v>439</v>
      </c>
      <c r="EDK92" t="s">
        <v>428</v>
      </c>
      <c r="EDM92" t="s">
        <v>104</v>
      </c>
      <c r="EDN92" t="s">
        <v>103</v>
      </c>
      <c r="EDO92" t="s">
        <v>398</v>
      </c>
      <c r="EDP92">
        <v>1</v>
      </c>
      <c r="EDQ92" t="s">
        <v>438</v>
      </c>
      <c r="EDR92" t="s">
        <v>439</v>
      </c>
      <c r="EDS92" t="s">
        <v>428</v>
      </c>
      <c r="EDU92" t="s">
        <v>104</v>
      </c>
      <c r="EDV92" t="s">
        <v>103</v>
      </c>
      <c r="EDW92" t="s">
        <v>398</v>
      </c>
      <c r="EDX92">
        <v>1</v>
      </c>
      <c r="EDY92" t="s">
        <v>438</v>
      </c>
      <c r="EDZ92" t="s">
        <v>439</v>
      </c>
      <c r="EEA92" t="s">
        <v>428</v>
      </c>
      <c r="EEC92" t="s">
        <v>104</v>
      </c>
      <c r="EED92" t="s">
        <v>103</v>
      </c>
      <c r="EEE92" t="s">
        <v>398</v>
      </c>
      <c r="EEF92">
        <v>1</v>
      </c>
      <c r="EEG92" t="s">
        <v>438</v>
      </c>
      <c r="EEH92" t="s">
        <v>439</v>
      </c>
      <c r="EEI92" t="s">
        <v>428</v>
      </c>
      <c r="EEK92" t="s">
        <v>104</v>
      </c>
      <c r="EEL92" t="s">
        <v>103</v>
      </c>
      <c r="EEM92" t="s">
        <v>398</v>
      </c>
      <c r="EEN92">
        <v>1</v>
      </c>
      <c r="EEO92" t="s">
        <v>438</v>
      </c>
      <c r="EEP92" t="s">
        <v>439</v>
      </c>
      <c r="EEQ92" t="s">
        <v>428</v>
      </c>
      <c r="EES92" t="s">
        <v>104</v>
      </c>
      <c r="EET92" t="s">
        <v>103</v>
      </c>
      <c r="EEU92" t="s">
        <v>398</v>
      </c>
      <c r="EEV92">
        <v>1</v>
      </c>
      <c r="EEW92" t="s">
        <v>438</v>
      </c>
      <c r="EEX92" t="s">
        <v>439</v>
      </c>
      <c r="EEY92" t="s">
        <v>428</v>
      </c>
      <c r="EFA92" t="s">
        <v>104</v>
      </c>
      <c r="EFB92" t="s">
        <v>103</v>
      </c>
      <c r="EFC92" t="s">
        <v>398</v>
      </c>
      <c r="EFD92">
        <v>1</v>
      </c>
      <c r="EFE92" t="s">
        <v>438</v>
      </c>
      <c r="EFF92" t="s">
        <v>439</v>
      </c>
      <c r="EFG92" t="s">
        <v>428</v>
      </c>
      <c r="EFI92" t="s">
        <v>104</v>
      </c>
      <c r="EFJ92" t="s">
        <v>103</v>
      </c>
      <c r="EFK92" t="s">
        <v>398</v>
      </c>
      <c r="EFL92">
        <v>1</v>
      </c>
      <c r="EFM92" t="s">
        <v>438</v>
      </c>
      <c r="EFN92" t="s">
        <v>439</v>
      </c>
      <c r="EFO92" t="s">
        <v>428</v>
      </c>
      <c r="EFQ92" t="s">
        <v>104</v>
      </c>
      <c r="EFR92" t="s">
        <v>103</v>
      </c>
      <c r="EFS92" t="s">
        <v>398</v>
      </c>
      <c r="EFT92">
        <v>1</v>
      </c>
      <c r="EFU92" t="s">
        <v>438</v>
      </c>
      <c r="EFV92" t="s">
        <v>439</v>
      </c>
      <c r="EFW92" t="s">
        <v>428</v>
      </c>
      <c r="EFY92" t="s">
        <v>104</v>
      </c>
      <c r="EFZ92" t="s">
        <v>103</v>
      </c>
      <c r="EGA92" t="s">
        <v>398</v>
      </c>
      <c r="EGB92">
        <v>1</v>
      </c>
      <c r="EGC92" t="s">
        <v>438</v>
      </c>
      <c r="EGD92" t="s">
        <v>439</v>
      </c>
      <c r="EGE92" t="s">
        <v>428</v>
      </c>
      <c r="EGG92" t="s">
        <v>104</v>
      </c>
      <c r="EGH92" t="s">
        <v>103</v>
      </c>
      <c r="EGI92" t="s">
        <v>398</v>
      </c>
      <c r="EGJ92">
        <v>1</v>
      </c>
      <c r="EGK92" t="s">
        <v>438</v>
      </c>
      <c r="EGL92" t="s">
        <v>439</v>
      </c>
      <c r="EGM92" t="s">
        <v>428</v>
      </c>
      <c r="EGO92" t="s">
        <v>104</v>
      </c>
      <c r="EGP92" t="s">
        <v>103</v>
      </c>
      <c r="EGQ92" t="s">
        <v>398</v>
      </c>
      <c r="EGR92">
        <v>1</v>
      </c>
      <c r="EGS92" t="s">
        <v>438</v>
      </c>
      <c r="EGT92" t="s">
        <v>439</v>
      </c>
      <c r="EGU92" t="s">
        <v>428</v>
      </c>
      <c r="EGW92" t="s">
        <v>104</v>
      </c>
      <c r="EGX92" t="s">
        <v>103</v>
      </c>
      <c r="EGY92" t="s">
        <v>398</v>
      </c>
      <c r="EGZ92">
        <v>1</v>
      </c>
      <c r="EHA92" t="s">
        <v>438</v>
      </c>
      <c r="EHB92" t="s">
        <v>439</v>
      </c>
      <c r="EHC92" t="s">
        <v>428</v>
      </c>
      <c r="EHE92" t="s">
        <v>104</v>
      </c>
      <c r="EHF92" t="s">
        <v>103</v>
      </c>
      <c r="EHG92" t="s">
        <v>398</v>
      </c>
      <c r="EHH92">
        <v>1</v>
      </c>
      <c r="EHI92" t="s">
        <v>438</v>
      </c>
      <c r="EHJ92" t="s">
        <v>439</v>
      </c>
      <c r="EHK92" t="s">
        <v>428</v>
      </c>
      <c r="EHM92" t="s">
        <v>104</v>
      </c>
      <c r="EHN92" t="s">
        <v>103</v>
      </c>
      <c r="EHO92" t="s">
        <v>398</v>
      </c>
      <c r="EHP92">
        <v>1</v>
      </c>
      <c r="EHQ92" t="s">
        <v>438</v>
      </c>
      <c r="EHR92" t="s">
        <v>439</v>
      </c>
      <c r="EHS92" t="s">
        <v>428</v>
      </c>
      <c r="EHU92" t="s">
        <v>104</v>
      </c>
      <c r="EHV92" t="s">
        <v>103</v>
      </c>
      <c r="EHW92" t="s">
        <v>398</v>
      </c>
      <c r="EHX92">
        <v>1</v>
      </c>
      <c r="EHY92" t="s">
        <v>438</v>
      </c>
      <c r="EHZ92" t="s">
        <v>439</v>
      </c>
      <c r="EIA92" t="s">
        <v>428</v>
      </c>
      <c r="EIC92" t="s">
        <v>104</v>
      </c>
      <c r="EID92" t="s">
        <v>103</v>
      </c>
      <c r="EIE92" t="s">
        <v>398</v>
      </c>
      <c r="EIF92">
        <v>1</v>
      </c>
      <c r="EIG92" t="s">
        <v>438</v>
      </c>
      <c r="EIH92" t="s">
        <v>439</v>
      </c>
      <c r="EII92" t="s">
        <v>428</v>
      </c>
      <c r="EIK92" t="s">
        <v>104</v>
      </c>
      <c r="EIL92" t="s">
        <v>103</v>
      </c>
      <c r="EIM92" t="s">
        <v>398</v>
      </c>
      <c r="EIN92">
        <v>1</v>
      </c>
      <c r="EIO92" t="s">
        <v>438</v>
      </c>
      <c r="EIP92" t="s">
        <v>439</v>
      </c>
      <c r="EIQ92" t="s">
        <v>428</v>
      </c>
      <c r="EIS92" t="s">
        <v>104</v>
      </c>
      <c r="EIT92" t="s">
        <v>103</v>
      </c>
      <c r="EIU92" t="s">
        <v>398</v>
      </c>
      <c r="EIV92">
        <v>1</v>
      </c>
      <c r="EIW92" t="s">
        <v>438</v>
      </c>
      <c r="EIX92" t="s">
        <v>439</v>
      </c>
      <c r="EIY92" t="s">
        <v>428</v>
      </c>
      <c r="EJA92" t="s">
        <v>104</v>
      </c>
      <c r="EJB92" t="s">
        <v>103</v>
      </c>
      <c r="EJC92" t="s">
        <v>398</v>
      </c>
      <c r="EJD92">
        <v>1</v>
      </c>
      <c r="EJE92" t="s">
        <v>438</v>
      </c>
      <c r="EJF92" t="s">
        <v>439</v>
      </c>
      <c r="EJG92" t="s">
        <v>428</v>
      </c>
      <c r="EJI92" t="s">
        <v>104</v>
      </c>
      <c r="EJJ92" t="s">
        <v>103</v>
      </c>
      <c r="EJK92" t="s">
        <v>398</v>
      </c>
      <c r="EJL92">
        <v>1</v>
      </c>
      <c r="EJM92" t="s">
        <v>438</v>
      </c>
      <c r="EJN92" t="s">
        <v>439</v>
      </c>
      <c r="EJO92" t="s">
        <v>428</v>
      </c>
      <c r="EJQ92" t="s">
        <v>104</v>
      </c>
      <c r="EJR92" t="s">
        <v>103</v>
      </c>
      <c r="EJS92" t="s">
        <v>398</v>
      </c>
      <c r="EJT92">
        <v>1</v>
      </c>
      <c r="EJU92" t="s">
        <v>438</v>
      </c>
      <c r="EJV92" t="s">
        <v>439</v>
      </c>
      <c r="EJW92" t="s">
        <v>428</v>
      </c>
      <c r="EJY92" t="s">
        <v>104</v>
      </c>
      <c r="EJZ92" t="s">
        <v>103</v>
      </c>
      <c r="EKA92" t="s">
        <v>398</v>
      </c>
      <c r="EKB92">
        <v>1</v>
      </c>
      <c r="EKC92" t="s">
        <v>438</v>
      </c>
      <c r="EKD92" t="s">
        <v>439</v>
      </c>
      <c r="EKE92" t="s">
        <v>428</v>
      </c>
      <c r="EKG92" t="s">
        <v>104</v>
      </c>
      <c r="EKH92" t="s">
        <v>103</v>
      </c>
      <c r="EKI92" t="s">
        <v>398</v>
      </c>
      <c r="EKJ92">
        <v>1</v>
      </c>
      <c r="EKK92" t="s">
        <v>438</v>
      </c>
      <c r="EKL92" t="s">
        <v>439</v>
      </c>
      <c r="EKM92" t="s">
        <v>428</v>
      </c>
      <c r="EKO92" t="s">
        <v>104</v>
      </c>
      <c r="EKP92" t="s">
        <v>103</v>
      </c>
      <c r="EKQ92" t="s">
        <v>398</v>
      </c>
      <c r="EKR92">
        <v>1</v>
      </c>
      <c r="EKS92" t="s">
        <v>438</v>
      </c>
      <c r="EKT92" t="s">
        <v>439</v>
      </c>
      <c r="EKU92" t="s">
        <v>428</v>
      </c>
      <c r="EKW92" t="s">
        <v>104</v>
      </c>
      <c r="EKX92" t="s">
        <v>103</v>
      </c>
      <c r="EKY92" t="s">
        <v>398</v>
      </c>
      <c r="EKZ92">
        <v>1</v>
      </c>
      <c r="ELA92" t="s">
        <v>438</v>
      </c>
      <c r="ELB92" t="s">
        <v>439</v>
      </c>
      <c r="ELC92" t="s">
        <v>428</v>
      </c>
      <c r="ELE92" t="s">
        <v>104</v>
      </c>
      <c r="ELF92" t="s">
        <v>103</v>
      </c>
      <c r="ELG92" t="s">
        <v>398</v>
      </c>
      <c r="ELH92">
        <v>1</v>
      </c>
      <c r="ELI92" t="s">
        <v>438</v>
      </c>
      <c r="ELJ92" t="s">
        <v>439</v>
      </c>
      <c r="ELK92" t="s">
        <v>428</v>
      </c>
      <c r="ELM92" t="s">
        <v>104</v>
      </c>
      <c r="ELN92" t="s">
        <v>103</v>
      </c>
      <c r="ELO92" t="s">
        <v>398</v>
      </c>
      <c r="ELP92">
        <v>1</v>
      </c>
      <c r="ELQ92" t="s">
        <v>438</v>
      </c>
      <c r="ELR92" t="s">
        <v>439</v>
      </c>
      <c r="ELS92" t="s">
        <v>428</v>
      </c>
      <c r="ELU92" t="s">
        <v>104</v>
      </c>
      <c r="ELV92" t="s">
        <v>103</v>
      </c>
      <c r="ELW92" t="s">
        <v>398</v>
      </c>
      <c r="ELX92">
        <v>1</v>
      </c>
      <c r="ELY92" t="s">
        <v>438</v>
      </c>
      <c r="ELZ92" t="s">
        <v>439</v>
      </c>
      <c r="EMA92" t="s">
        <v>428</v>
      </c>
      <c r="EMC92" t="s">
        <v>104</v>
      </c>
      <c r="EMD92" t="s">
        <v>103</v>
      </c>
      <c r="EME92" t="s">
        <v>398</v>
      </c>
      <c r="EMF92">
        <v>1</v>
      </c>
      <c r="EMG92" t="s">
        <v>438</v>
      </c>
      <c r="EMH92" t="s">
        <v>439</v>
      </c>
      <c r="EMI92" t="s">
        <v>428</v>
      </c>
      <c r="EMK92" t="s">
        <v>104</v>
      </c>
      <c r="EML92" t="s">
        <v>103</v>
      </c>
      <c r="EMM92" t="s">
        <v>398</v>
      </c>
      <c r="EMN92">
        <v>1</v>
      </c>
      <c r="EMO92" t="s">
        <v>438</v>
      </c>
      <c r="EMP92" t="s">
        <v>439</v>
      </c>
      <c r="EMQ92" t="s">
        <v>428</v>
      </c>
      <c r="EMS92" t="s">
        <v>104</v>
      </c>
      <c r="EMT92" t="s">
        <v>103</v>
      </c>
      <c r="EMU92" t="s">
        <v>398</v>
      </c>
      <c r="EMV92">
        <v>1</v>
      </c>
      <c r="EMW92" t="s">
        <v>438</v>
      </c>
      <c r="EMX92" t="s">
        <v>439</v>
      </c>
      <c r="EMY92" t="s">
        <v>428</v>
      </c>
      <c r="ENA92" t="s">
        <v>104</v>
      </c>
      <c r="ENB92" t="s">
        <v>103</v>
      </c>
      <c r="ENC92" t="s">
        <v>398</v>
      </c>
      <c r="END92">
        <v>1</v>
      </c>
      <c r="ENE92" t="s">
        <v>438</v>
      </c>
      <c r="ENF92" t="s">
        <v>439</v>
      </c>
      <c r="ENG92" t="s">
        <v>428</v>
      </c>
      <c r="ENI92" t="s">
        <v>104</v>
      </c>
      <c r="ENJ92" t="s">
        <v>103</v>
      </c>
      <c r="ENK92" t="s">
        <v>398</v>
      </c>
      <c r="ENL92">
        <v>1</v>
      </c>
      <c r="ENM92" t="s">
        <v>438</v>
      </c>
      <c r="ENN92" t="s">
        <v>439</v>
      </c>
      <c r="ENO92" t="s">
        <v>428</v>
      </c>
      <c r="ENQ92" t="s">
        <v>104</v>
      </c>
      <c r="ENR92" t="s">
        <v>103</v>
      </c>
      <c r="ENS92" t="s">
        <v>398</v>
      </c>
      <c r="ENT92">
        <v>1</v>
      </c>
      <c r="ENU92" t="s">
        <v>438</v>
      </c>
      <c r="ENV92" t="s">
        <v>439</v>
      </c>
      <c r="ENW92" t="s">
        <v>428</v>
      </c>
      <c r="ENY92" t="s">
        <v>104</v>
      </c>
      <c r="ENZ92" t="s">
        <v>103</v>
      </c>
      <c r="EOA92" t="s">
        <v>398</v>
      </c>
      <c r="EOB92">
        <v>1</v>
      </c>
      <c r="EOC92" t="s">
        <v>438</v>
      </c>
      <c r="EOD92" t="s">
        <v>439</v>
      </c>
      <c r="EOE92" t="s">
        <v>428</v>
      </c>
      <c r="EOG92" t="s">
        <v>104</v>
      </c>
      <c r="EOH92" t="s">
        <v>103</v>
      </c>
      <c r="EOI92" t="s">
        <v>398</v>
      </c>
      <c r="EOJ92">
        <v>1</v>
      </c>
      <c r="EOK92" t="s">
        <v>438</v>
      </c>
      <c r="EOL92" t="s">
        <v>439</v>
      </c>
      <c r="EOM92" t="s">
        <v>428</v>
      </c>
      <c r="EOO92" t="s">
        <v>104</v>
      </c>
      <c r="EOP92" t="s">
        <v>103</v>
      </c>
      <c r="EOQ92" t="s">
        <v>398</v>
      </c>
      <c r="EOR92">
        <v>1</v>
      </c>
      <c r="EOS92" t="s">
        <v>438</v>
      </c>
      <c r="EOT92" t="s">
        <v>439</v>
      </c>
      <c r="EOU92" t="s">
        <v>428</v>
      </c>
      <c r="EOW92" t="s">
        <v>104</v>
      </c>
      <c r="EOX92" t="s">
        <v>103</v>
      </c>
      <c r="EOY92" t="s">
        <v>398</v>
      </c>
      <c r="EOZ92">
        <v>1</v>
      </c>
      <c r="EPA92" t="s">
        <v>438</v>
      </c>
      <c r="EPB92" t="s">
        <v>439</v>
      </c>
      <c r="EPC92" t="s">
        <v>428</v>
      </c>
      <c r="EPE92" t="s">
        <v>104</v>
      </c>
      <c r="EPF92" t="s">
        <v>103</v>
      </c>
      <c r="EPG92" t="s">
        <v>398</v>
      </c>
      <c r="EPH92">
        <v>1</v>
      </c>
      <c r="EPI92" t="s">
        <v>438</v>
      </c>
      <c r="EPJ92" t="s">
        <v>439</v>
      </c>
      <c r="EPK92" t="s">
        <v>428</v>
      </c>
      <c r="EPM92" t="s">
        <v>104</v>
      </c>
      <c r="EPN92" t="s">
        <v>103</v>
      </c>
      <c r="EPO92" t="s">
        <v>398</v>
      </c>
      <c r="EPP92">
        <v>1</v>
      </c>
      <c r="EPQ92" t="s">
        <v>438</v>
      </c>
      <c r="EPR92" t="s">
        <v>439</v>
      </c>
      <c r="EPS92" t="s">
        <v>428</v>
      </c>
      <c r="EPU92" t="s">
        <v>104</v>
      </c>
      <c r="EPV92" t="s">
        <v>103</v>
      </c>
      <c r="EPW92" t="s">
        <v>398</v>
      </c>
      <c r="EPX92">
        <v>1</v>
      </c>
      <c r="EPY92" t="s">
        <v>438</v>
      </c>
      <c r="EPZ92" t="s">
        <v>439</v>
      </c>
      <c r="EQA92" t="s">
        <v>428</v>
      </c>
      <c r="EQC92" t="s">
        <v>104</v>
      </c>
      <c r="EQD92" t="s">
        <v>103</v>
      </c>
      <c r="EQE92" t="s">
        <v>398</v>
      </c>
      <c r="EQF92">
        <v>1</v>
      </c>
      <c r="EQG92" t="s">
        <v>438</v>
      </c>
      <c r="EQH92" t="s">
        <v>439</v>
      </c>
      <c r="EQI92" t="s">
        <v>428</v>
      </c>
      <c r="EQK92" t="s">
        <v>104</v>
      </c>
      <c r="EQL92" t="s">
        <v>103</v>
      </c>
      <c r="EQM92" t="s">
        <v>398</v>
      </c>
      <c r="EQN92">
        <v>1</v>
      </c>
      <c r="EQO92" t="s">
        <v>438</v>
      </c>
      <c r="EQP92" t="s">
        <v>439</v>
      </c>
      <c r="EQQ92" t="s">
        <v>428</v>
      </c>
      <c r="EQS92" t="s">
        <v>104</v>
      </c>
      <c r="EQT92" t="s">
        <v>103</v>
      </c>
      <c r="EQU92" t="s">
        <v>398</v>
      </c>
      <c r="EQV92">
        <v>1</v>
      </c>
      <c r="EQW92" t="s">
        <v>438</v>
      </c>
      <c r="EQX92" t="s">
        <v>439</v>
      </c>
      <c r="EQY92" t="s">
        <v>428</v>
      </c>
      <c r="ERA92" t="s">
        <v>104</v>
      </c>
      <c r="ERB92" t="s">
        <v>103</v>
      </c>
      <c r="ERC92" t="s">
        <v>398</v>
      </c>
      <c r="ERD92">
        <v>1</v>
      </c>
      <c r="ERE92" t="s">
        <v>438</v>
      </c>
      <c r="ERF92" t="s">
        <v>439</v>
      </c>
      <c r="ERG92" t="s">
        <v>428</v>
      </c>
      <c r="ERI92" t="s">
        <v>104</v>
      </c>
      <c r="ERJ92" t="s">
        <v>103</v>
      </c>
      <c r="ERK92" t="s">
        <v>398</v>
      </c>
      <c r="ERL92">
        <v>1</v>
      </c>
      <c r="ERM92" t="s">
        <v>438</v>
      </c>
      <c r="ERN92" t="s">
        <v>439</v>
      </c>
      <c r="ERO92" t="s">
        <v>428</v>
      </c>
      <c r="ERQ92" t="s">
        <v>104</v>
      </c>
      <c r="ERR92" t="s">
        <v>103</v>
      </c>
      <c r="ERS92" t="s">
        <v>398</v>
      </c>
      <c r="ERT92">
        <v>1</v>
      </c>
      <c r="ERU92" t="s">
        <v>438</v>
      </c>
      <c r="ERV92" t="s">
        <v>439</v>
      </c>
      <c r="ERW92" t="s">
        <v>428</v>
      </c>
      <c r="ERY92" t="s">
        <v>104</v>
      </c>
      <c r="ERZ92" t="s">
        <v>103</v>
      </c>
      <c r="ESA92" t="s">
        <v>398</v>
      </c>
      <c r="ESB92">
        <v>1</v>
      </c>
      <c r="ESC92" t="s">
        <v>438</v>
      </c>
      <c r="ESD92" t="s">
        <v>439</v>
      </c>
      <c r="ESE92" t="s">
        <v>428</v>
      </c>
      <c r="ESG92" t="s">
        <v>104</v>
      </c>
      <c r="ESH92" t="s">
        <v>103</v>
      </c>
      <c r="ESI92" t="s">
        <v>398</v>
      </c>
      <c r="ESJ92">
        <v>1</v>
      </c>
      <c r="ESK92" t="s">
        <v>438</v>
      </c>
      <c r="ESL92" t="s">
        <v>439</v>
      </c>
      <c r="ESM92" t="s">
        <v>428</v>
      </c>
      <c r="ESO92" t="s">
        <v>104</v>
      </c>
      <c r="ESP92" t="s">
        <v>103</v>
      </c>
      <c r="ESQ92" t="s">
        <v>398</v>
      </c>
      <c r="ESR92">
        <v>1</v>
      </c>
      <c r="ESS92" t="s">
        <v>438</v>
      </c>
      <c r="EST92" t="s">
        <v>439</v>
      </c>
      <c r="ESU92" t="s">
        <v>428</v>
      </c>
      <c r="ESW92" t="s">
        <v>104</v>
      </c>
      <c r="ESX92" t="s">
        <v>103</v>
      </c>
      <c r="ESY92" t="s">
        <v>398</v>
      </c>
      <c r="ESZ92">
        <v>1</v>
      </c>
      <c r="ETA92" t="s">
        <v>438</v>
      </c>
      <c r="ETB92" t="s">
        <v>439</v>
      </c>
      <c r="ETC92" t="s">
        <v>428</v>
      </c>
      <c r="ETE92" t="s">
        <v>104</v>
      </c>
      <c r="ETF92" t="s">
        <v>103</v>
      </c>
      <c r="ETG92" t="s">
        <v>398</v>
      </c>
      <c r="ETH92">
        <v>1</v>
      </c>
      <c r="ETI92" t="s">
        <v>438</v>
      </c>
      <c r="ETJ92" t="s">
        <v>439</v>
      </c>
      <c r="ETK92" t="s">
        <v>428</v>
      </c>
      <c r="ETM92" t="s">
        <v>104</v>
      </c>
      <c r="ETN92" t="s">
        <v>103</v>
      </c>
      <c r="ETO92" t="s">
        <v>398</v>
      </c>
      <c r="ETP92">
        <v>1</v>
      </c>
      <c r="ETQ92" t="s">
        <v>438</v>
      </c>
      <c r="ETR92" t="s">
        <v>439</v>
      </c>
      <c r="ETS92" t="s">
        <v>428</v>
      </c>
      <c r="ETU92" t="s">
        <v>104</v>
      </c>
      <c r="ETV92" t="s">
        <v>103</v>
      </c>
      <c r="ETW92" t="s">
        <v>398</v>
      </c>
      <c r="ETX92">
        <v>1</v>
      </c>
      <c r="ETY92" t="s">
        <v>438</v>
      </c>
      <c r="ETZ92" t="s">
        <v>439</v>
      </c>
      <c r="EUA92" t="s">
        <v>428</v>
      </c>
      <c r="EUC92" t="s">
        <v>104</v>
      </c>
      <c r="EUD92" t="s">
        <v>103</v>
      </c>
      <c r="EUE92" t="s">
        <v>398</v>
      </c>
      <c r="EUF92">
        <v>1</v>
      </c>
      <c r="EUG92" t="s">
        <v>438</v>
      </c>
      <c r="EUH92" t="s">
        <v>439</v>
      </c>
      <c r="EUI92" t="s">
        <v>428</v>
      </c>
      <c r="EUK92" t="s">
        <v>104</v>
      </c>
      <c r="EUL92" t="s">
        <v>103</v>
      </c>
      <c r="EUM92" t="s">
        <v>398</v>
      </c>
      <c r="EUN92">
        <v>1</v>
      </c>
      <c r="EUO92" t="s">
        <v>438</v>
      </c>
      <c r="EUP92" t="s">
        <v>439</v>
      </c>
      <c r="EUQ92" t="s">
        <v>428</v>
      </c>
      <c r="EUS92" t="s">
        <v>104</v>
      </c>
      <c r="EUT92" t="s">
        <v>103</v>
      </c>
      <c r="EUU92" t="s">
        <v>398</v>
      </c>
      <c r="EUV92">
        <v>1</v>
      </c>
      <c r="EUW92" t="s">
        <v>438</v>
      </c>
      <c r="EUX92" t="s">
        <v>439</v>
      </c>
      <c r="EUY92" t="s">
        <v>428</v>
      </c>
      <c r="EVA92" t="s">
        <v>104</v>
      </c>
      <c r="EVB92" t="s">
        <v>103</v>
      </c>
      <c r="EVC92" t="s">
        <v>398</v>
      </c>
      <c r="EVD92">
        <v>1</v>
      </c>
      <c r="EVE92" t="s">
        <v>438</v>
      </c>
      <c r="EVF92" t="s">
        <v>439</v>
      </c>
      <c r="EVG92" t="s">
        <v>428</v>
      </c>
      <c r="EVI92" t="s">
        <v>104</v>
      </c>
      <c r="EVJ92" t="s">
        <v>103</v>
      </c>
      <c r="EVK92" t="s">
        <v>398</v>
      </c>
      <c r="EVL92">
        <v>1</v>
      </c>
      <c r="EVM92" t="s">
        <v>438</v>
      </c>
      <c r="EVN92" t="s">
        <v>439</v>
      </c>
      <c r="EVO92" t="s">
        <v>428</v>
      </c>
      <c r="EVQ92" t="s">
        <v>104</v>
      </c>
      <c r="EVR92" t="s">
        <v>103</v>
      </c>
      <c r="EVS92" t="s">
        <v>398</v>
      </c>
      <c r="EVT92">
        <v>1</v>
      </c>
      <c r="EVU92" t="s">
        <v>438</v>
      </c>
      <c r="EVV92" t="s">
        <v>439</v>
      </c>
      <c r="EVW92" t="s">
        <v>428</v>
      </c>
      <c r="EVY92" t="s">
        <v>104</v>
      </c>
      <c r="EVZ92" t="s">
        <v>103</v>
      </c>
      <c r="EWA92" t="s">
        <v>398</v>
      </c>
      <c r="EWB92">
        <v>1</v>
      </c>
      <c r="EWC92" t="s">
        <v>438</v>
      </c>
      <c r="EWD92" t="s">
        <v>439</v>
      </c>
      <c r="EWE92" t="s">
        <v>428</v>
      </c>
      <c r="EWG92" t="s">
        <v>104</v>
      </c>
      <c r="EWH92" t="s">
        <v>103</v>
      </c>
      <c r="EWI92" t="s">
        <v>398</v>
      </c>
      <c r="EWJ92">
        <v>1</v>
      </c>
      <c r="EWK92" t="s">
        <v>438</v>
      </c>
      <c r="EWL92" t="s">
        <v>439</v>
      </c>
      <c r="EWM92" t="s">
        <v>428</v>
      </c>
      <c r="EWO92" t="s">
        <v>104</v>
      </c>
      <c r="EWP92" t="s">
        <v>103</v>
      </c>
      <c r="EWQ92" t="s">
        <v>398</v>
      </c>
      <c r="EWR92">
        <v>1</v>
      </c>
      <c r="EWS92" t="s">
        <v>438</v>
      </c>
      <c r="EWT92" t="s">
        <v>439</v>
      </c>
      <c r="EWU92" t="s">
        <v>428</v>
      </c>
      <c r="EWW92" t="s">
        <v>104</v>
      </c>
      <c r="EWX92" t="s">
        <v>103</v>
      </c>
      <c r="EWY92" t="s">
        <v>398</v>
      </c>
      <c r="EWZ92">
        <v>1</v>
      </c>
      <c r="EXA92" t="s">
        <v>438</v>
      </c>
      <c r="EXB92" t="s">
        <v>439</v>
      </c>
      <c r="EXC92" t="s">
        <v>428</v>
      </c>
      <c r="EXE92" t="s">
        <v>104</v>
      </c>
      <c r="EXF92" t="s">
        <v>103</v>
      </c>
      <c r="EXG92" t="s">
        <v>398</v>
      </c>
      <c r="EXH92">
        <v>1</v>
      </c>
      <c r="EXI92" t="s">
        <v>438</v>
      </c>
      <c r="EXJ92" t="s">
        <v>439</v>
      </c>
      <c r="EXK92" t="s">
        <v>428</v>
      </c>
      <c r="EXM92" t="s">
        <v>104</v>
      </c>
      <c r="EXN92" t="s">
        <v>103</v>
      </c>
      <c r="EXO92" t="s">
        <v>398</v>
      </c>
      <c r="EXP92">
        <v>1</v>
      </c>
      <c r="EXQ92" t="s">
        <v>438</v>
      </c>
      <c r="EXR92" t="s">
        <v>439</v>
      </c>
      <c r="EXS92" t="s">
        <v>428</v>
      </c>
      <c r="EXU92" t="s">
        <v>104</v>
      </c>
      <c r="EXV92" t="s">
        <v>103</v>
      </c>
      <c r="EXW92" t="s">
        <v>398</v>
      </c>
      <c r="EXX92">
        <v>1</v>
      </c>
      <c r="EXY92" t="s">
        <v>438</v>
      </c>
      <c r="EXZ92" t="s">
        <v>439</v>
      </c>
      <c r="EYA92" t="s">
        <v>428</v>
      </c>
      <c r="EYC92" t="s">
        <v>104</v>
      </c>
      <c r="EYD92" t="s">
        <v>103</v>
      </c>
      <c r="EYE92" t="s">
        <v>398</v>
      </c>
      <c r="EYF92">
        <v>1</v>
      </c>
      <c r="EYG92" t="s">
        <v>438</v>
      </c>
      <c r="EYH92" t="s">
        <v>439</v>
      </c>
      <c r="EYI92" t="s">
        <v>428</v>
      </c>
      <c r="EYK92" t="s">
        <v>104</v>
      </c>
      <c r="EYL92" t="s">
        <v>103</v>
      </c>
      <c r="EYM92" t="s">
        <v>398</v>
      </c>
      <c r="EYN92">
        <v>1</v>
      </c>
      <c r="EYO92" t="s">
        <v>438</v>
      </c>
      <c r="EYP92" t="s">
        <v>439</v>
      </c>
      <c r="EYQ92" t="s">
        <v>428</v>
      </c>
      <c r="EYS92" t="s">
        <v>104</v>
      </c>
      <c r="EYT92" t="s">
        <v>103</v>
      </c>
      <c r="EYU92" t="s">
        <v>398</v>
      </c>
      <c r="EYV92">
        <v>1</v>
      </c>
      <c r="EYW92" t="s">
        <v>438</v>
      </c>
      <c r="EYX92" t="s">
        <v>439</v>
      </c>
      <c r="EYY92" t="s">
        <v>428</v>
      </c>
      <c r="EZA92" t="s">
        <v>104</v>
      </c>
      <c r="EZB92" t="s">
        <v>103</v>
      </c>
      <c r="EZC92" t="s">
        <v>398</v>
      </c>
      <c r="EZD92">
        <v>1</v>
      </c>
      <c r="EZE92" t="s">
        <v>438</v>
      </c>
      <c r="EZF92" t="s">
        <v>439</v>
      </c>
      <c r="EZG92" t="s">
        <v>428</v>
      </c>
      <c r="EZI92" t="s">
        <v>104</v>
      </c>
      <c r="EZJ92" t="s">
        <v>103</v>
      </c>
      <c r="EZK92" t="s">
        <v>398</v>
      </c>
      <c r="EZL92">
        <v>1</v>
      </c>
      <c r="EZM92" t="s">
        <v>438</v>
      </c>
      <c r="EZN92" t="s">
        <v>439</v>
      </c>
      <c r="EZO92" t="s">
        <v>428</v>
      </c>
      <c r="EZQ92" t="s">
        <v>104</v>
      </c>
      <c r="EZR92" t="s">
        <v>103</v>
      </c>
      <c r="EZS92" t="s">
        <v>398</v>
      </c>
      <c r="EZT92">
        <v>1</v>
      </c>
      <c r="EZU92" t="s">
        <v>438</v>
      </c>
      <c r="EZV92" t="s">
        <v>439</v>
      </c>
      <c r="EZW92" t="s">
        <v>428</v>
      </c>
      <c r="EZY92" t="s">
        <v>104</v>
      </c>
      <c r="EZZ92" t="s">
        <v>103</v>
      </c>
      <c r="FAA92" t="s">
        <v>398</v>
      </c>
      <c r="FAB92">
        <v>1</v>
      </c>
      <c r="FAC92" t="s">
        <v>438</v>
      </c>
      <c r="FAD92" t="s">
        <v>439</v>
      </c>
      <c r="FAE92" t="s">
        <v>428</v>
      </c>
      <c r="FAG92" t="s">
        <v>104</v>
      </c>
      <c r="FAH92" t="s">
        <v>103</v>
      </c>
      <c r="FAI92" t="s">
        <v>398</v>
      </c>
      <c r="FAJ92">
        <v>1</v>
      </c>
      <c r="FAK92" t="s">
        <v>438</v>
      </c>
      <c r="FAL92" t="s">
        <v>439</v>
      </c>
      <c r="FAM92" t="s">
        <v>428</v>
      </c>
      <c r="FAO92" t="s">
        <v>104</v>
      </c>
      <c r="FAP92" t="s">
        <v>103</v>
      </c>
      <c r="FAQ92" t="s">
        <v>398</v>
      </c>
      <c r="FAR92">
        <v>1</v>
      </c>
      <c r="FAS92" t="s">
        <v>438</v>
      </c>
      <c r="FAT92" t="s">
        <v>439</v>
      </c>
      <c r="FAU92" t="s">
        <v>428</v>
      </c>
      <c r="FAW92" t="s">
        <v>104</v>
      </c>
      <c r="FAX92" t="s">
        <v>103</v>
      </c>
      <c r="FAY92" t="s">
        <v>398</v>
      </c>
      <c r="FAZ92">
        <v>1</v>
      </c>
      <c r="FBA92" t="s">
        <v>438</v>
      </c>
      <c r="FBB92" t="s">
        <v>439</v>
      </c>
      <c r="FBC92" t="s">
        <v>428</v>
      </c>
      <c r="FBE92" t="s">
        <v>104</v>
      </c>
      <c r="FBF92" t="s">
        <v>103</v>
      </c>
      <c r="FBG92" t="s">
        <v>398</v>
      </c>
      <c r="FBH92">
        <v>1</v>
      </c>
      <c r="FBI92" t="s">
        <v>438</v>
      </c>
      <c r="FBJ92" t="s">
        <v>439</v>
      </c>
      <c r="FBK92" t="s">
        <v>428</v>
      </c>
      <c r="FBM92" t="s">
        <v>104</v>
      </c>
      <c r="FBN92" t="s">
        <v>103</v>
      </c>
      <c r="FBO92" t="s">
        <v>398</v>
      </c>
      <c r="FBP92">
        <v>1</v>
      </c>
      <c r="FBQ92" t="s">
        <v>438</v>
      </c>
      <c r="FBR92" t="s">
        <v>439</v>
      </c>
      <c r="FBS92" t="s">
        <v>428</v>
      </c>
      <c r="FBU92" t="s">
        <v>104</v>
      </c>
      <c r="FBV92" t="s">
        <v>103</v>
      </c>
      <c r="FBW92" t="s">
        <v>398</v>
      </c>
      <c r="FBX92">
        <v>1</v>
      </c>
      <c r="FBY92" t="s">
        <v>438</v>
      </c>
      <c r="FBZ92" t="s">
        <v>439</v>
      </c>
      <c r="FCA92" t="s">
        <v>428</v>
      </c>
      <c r="FCC92" t="s">
        <v>104</v>
      </c>
      <c r="FCD92" t="s">
        <v>103</v>
      </c>
      <c r="FCE92" t="s">
        <v>398</v>
      </c>
      <c r="FCF92">
        <v>1</v>
      </c>
      <c r="FCG92" t="s">
        <v>438</v>
      </c>
      <c r="FCH92" t="s">
        <v>439</v>
      </c>
      <c r="FCI92" t="s">
        <v>428</v>
      </c>
      <c r="FCK92" t="s">
        <v>104</v>
      </c>
      <c r="FCL92" t="s">
        <v>103</v>
      </c>
      <c r="FCM92" t="s">
        <v>398</v>
      </c>
      <c r="FCN92">
        <v>1</v>
      </c>
      <c r="FCO92" t="s">
        <v>438</v>
      </c>
      <c r="FCP92" t="s">
        <v>439</v>
      </c>
      <c r="FCQ92" t="s">
        <v>428</v>
      </c>
      <c r="FCS92" t="s">
        <v>104</v>
      </c>
      <c r="FCT92" t="s">
        <v>103</v>
      </c>
      <c r="FCU92" t="s">
        <v>398</v>
      </c>
      <c r="FCV92">
        <v>1</v>
      </c>
      <c r="FCW92" t="s">
        <v>438</v>
      </c>
      <c r="FCX92" t="s">
        <v>439</v>
      </c>
      <c r="FCY92" t="s">
        <v>428</v>
      </c>
      <c r="FDA92" t="s">
        <v>104</v>
      </c>
      <c r="FDB92" t="s">
        <v>103</v>
      </c>
      <c r="FDC92" t="s">
        <v>398</v>
      </c>
      <c r="FDD92">
        <v>1</v>
      </c>
      <c r="FDE92" t="s">
        <v>438</v>
      </c>
      <c r="FDF92" t="s">
        <v>439</v>
      </c>
      <c r="FDG92" t="s">
        <v>428</v>
      </c>
      <c r="FDI92" t="s">
        <v>104</v>
      </c>
      <c r="FDJ92" t="s">
        <v>103</v>
      </c>
      <c r="FDK92" t="s">
        <v>398</v>
      </c>
      <c r="FDL92">
        <v>1</v>
      </c>
      <c r="FDM92" t="s">
        <v>438</v>
      </c>
      <c r="FDN92" t="s">
        <v>439</v>
      </c>
      <c r="FDO92" t="s">
        <v>428</v>
      </c>
      <c r="FDQ92" t="s">
        <v>104</v>
      </c>
      <c r="FDR92" t="s">
        <v>103</v>
      </c>
      <c r="FDS92" t="s">
        <v>398</v>
      </c>
      <c r="FDT92">
        <v>1</v>
      </c>
      <c r="FDU92" t="s">
        <v>438</v>
      </c>
      <c r="FDV92" t="s">
        <v>439</v>
      </c>
      <c r="FDW92" t="s">
        <v>428</v>
      </c>
      <c r="FDY92" t="s">
        <v>104</v>
      </c>
      <c r="FDZ92" t="s">
        <v>103</v>
      </c>
      <c r="FEA92" t="s">
        <v>398</v>
      </c>
      <c r="FEB92">
        <v>1</v>
      </c>
      <c r="FEC92" t="s">
        <v>438</v>
      </c>
      <c r="FED92" t="s">
        <v>439</v>
      </c>
      <c r="FEE92" t="s">
        <v>428</v>
      </c>
      <c r="FEG92" t="s">
        <v>104</v>
      </c>
      <c r="FEH92" t="s">
        <v>103</v>
      </c>
      <c r="FEI92" t="s">
        <v>398</v>
      </c>
      <c r="FEJ92">
        <v>1</v>
      </c>
      <c r="FEK92" t="s">
        <v>438</v>
      </c>
      <c r="FEL92" t="s">
        <v>439</v>
      </c>
      <c r="FEM92" t="s">
        <v>428</v>
      </c>
      <c r="FEO92" t="s">
        <v>104</v>
      </c>
      <c r="FEP92" t="s">
        <v>103</v>
      </c>
      <c r="FEQ92" t="s">
        <v>398</v>
      </c>
      <c r="FER92">
        <v>1</v>
      </c>
      <c r="FES92" t="s">
        <v>438</v>
      </c>
      <c r="FET92" t="s">
        <v>439</v>
      </c>
      <c r="FEU92" t="s">
        <v>428</v>
      </c>
      <c r="FEW92" t="s">
        <v>104</v>
      </c>
      <c r="FEX92" t="s">
        <v>103</v>
      </c>
      <c r="FEY92" t="s">
        <v>398</v>
      </c>
      <c r="FEZ92">
        <v>1</v>
      </c>
      <c r="FFA92" t="s">
        <v>438</v>
      </c>
      <c r="FFB92" t="s">
        <v>439</v>
      </c>
      <c r="FFC92" t="s">
        <v>428</v>
      </c>
      <c r="FFE92" t="s">
        <v>104</v>
      </c>
      <c r="FFF92" t="s">
        <v>103</v>
      </c>
      <c r="FFG92" t="s">
        <v>398</v>
      </c>
      <c r="FFH92">
        <v>1</v>
      </c>
      <c r="FFI92" t="s">
        <v>438</v>
      </c>
      <c r="FFJ92" t="s">
        <v>439</v>
      </c>
      <c r="FFK92" t="s">
        <v>428</v>
      </c>
      <c r="FFM92" t="s">
        <v>104</v>
      </c>
      <c r="FFN92" t="s">
        <v>103</v>
      </c>
      <c r="FFO92" t="s">
        <v>398</v>
      </c>
      <c r="FFP92">
        <v>1</v>
      </c>
      <c r="FFQ92" t="s">
        <v>438</v>
      </c>
      <c r="FFR92" t="s">
        <v>439</v>
      </c>
      <c r="FFS92" t="s">
        <v>428</v>
      </c>
      <c r="FFU92" t="s">
        <v>104</v>
      </c>
      <c r="FFV92" t="s">
        <v>103</v>
      </c>
      <c r="FFW92" t="s">
        <v>398</v>
      </c>
      <c r="FFX92">
        <v>1</v>
      </c>
      <c r="FFY92" t="s">
        <v>438</v>
      </c>
      <c r="FFZ92" t="s">
        <v>439</v>
      </c>
      <c r="FGA92" t="s">
        <v>428</v>
      </c>
      <c r="FGC92" t="s">
        <v>104</v>
      </c>
      <c r="FGD92" t="s">
        <v>103</v>
      </c>
      <c r="FGE92" t="s">
        <v>398</v>
      </c>
      <c r="FGF92">
        <v>1</v>
      </c>
      <c r="FGG92" t="s">
        <v>438</v>
      </c>
      <c r="FGH92" t="s">
        <v>439</v>
      </c>
      <c r="FGI92" t="s">
        <v>428</v>
      </c>
      <c r="FGK92" t="s">
        <v>104</v>
      </c>
      <c r="FGL92" t="s">
        <v>103</v>
      </c>
      <c r="FGM92" t="s">
        <v>398</v>
      </c>
      <c r="FGN92">
        <v>1</v>
      </c>
      <c r="FGO92" t="s">
        <v>438</v>
      </c>
      <c r="FGP92" t="s">
        <v>439</v>
      </c>
      <c r="FGQ92" t="s">
        <v>428</v>
      </c>
      <c r="FGS92" t="s">
        <v>104</v>
      </c>
      <c r="FGT92" t="s">
        <v>103</v>
      </c>
      <c r="FGU92" t="s">
        <v>398</v>
      </c>
      <c r="FGV92">
        <v>1</v>
      </c>
      <c r="FGW92" t="s">
        <v>438</v>
      </c>
      <c r="FGX92" t="s">
        <v>439</v>
      </c>
      <c r="FGY92" t="s">
        <v>428</v>
      </c>
      <c r="FHA92" t="s">
        <v>104</v>
      </c>
      <c r="FHB92" t="s">
        <v>103</v>
      </c>
      <c r="FHC92" t="s">
        <v>398</v>
      </c>
      <c r="FHD92">
        <v>1</v>
      </c>
      <c r="FHE92" t="s">
        <v>438</v>
      </c>
      <c r="FHF92" t="s">
        <v>439</v>
      </c>
      <c r="FHG92" t="s">
        <v>428</v>
      </c>
      <c r="FHI92" t="s">
        <v>104</v>
      </c>
      <c r="FHJ92" t="s">
        <v>103</v>
      </c>
      <c r="FHK92" t="s">
        <v>398</v>
      </c>
      <c r="FHL92">
        <v>1</v>
      </c>
      <c r="FHM92" t="s">
        <v>438</v>
      </c>
      <c r="FHN92" t="s">
        <v>439</v>
      </c>
      <c r="FHO92" t="s">
        <v>428</v>
      </c>
      <c r="FHQ92" t="s">
        <v>104</v>
      </c>
      <c r="FHR92" t="s">
        <v>103</v>
      </c>
      <c r="FHS92" t="s">
        <v>398</v>
      </c>
      <c r="FHT92">
        <v>1</v>
      </c>
      <c r="FHU92" t="s">
        <v>438</v>
      </c>
      <c r="FHV92" t="s">
        <v>439</v>
      </c>
      <c r="FHW92" t="s">
        <v>428</v>
      </c>
      <c r="FHY92" t="s">
        <v>104</v>
      </c>
      <c r="FHZ92" t="s">
        <v>103</v>
      </c>
      <c r="FIA92" t="s">
        <v>398</v>
      </c>
      <c r="FIB92">
        <v>1</v>
      </c>
      <c r="FIC92" t="s">
        <v>438</v>
      </c>
      <c r="FID92" t="s">
        <v>439</v>
      </c>
      <c r="FIE92" t="s">
        <v>428</v>
      </c>
      <c r="FIG92" t="s">
        <v>104</v>
      </c>
      <c r="FIH92" t="s">
        <v>103</v>
      </c>
      <c r="FII92" t="s">
        <v>398</v>
      </c>
      <c r="FIJ92">
        <v>1</v>
      </c>
      <c r="FIK92" t="s">
        <v>438</v>
      </c>
      <c r="FIL92" t="s">
        <v>439</v>
      </c>
      <c r="FIM92" t="s">
        <v>428</v>
      </c>
      <c r="FIO92" t="s">
        <v>104</v>
      </c>
      <c r="FIP92" t="s">
        <v>103</v>
      </c>
      <c r="FIQ92" t="s">
        <v>398</v>
      </c>
      <c r="FIR92">
        <v>1</v>
      </c>
      <c r="FIS92" t="s">
        <v>438</v>
      </c>
      <c r="FIT92" t="s">
        <v>439</v>
      </c>
      <c r="FIU92" t="s">
        <v>428</v>
      </c>
      <c r="FIW92" t="s">
        <v>104</v>
      </c>
      <c r="FIX92" t="s">
        <v>103</v>
      </c>
      <c r="FIY92" t="s">
        <v>398</v>
      </c>
      <c r="FIZ92">
        <v>1</v>
      </c>
      <c r="FJA92" t="s">
        <v>438</v>
      </c>
      <c r="FJB92" t="s">
        <v>439</v>
      </c>
      <c r="FJC92" t="s">
        <v>428</v>
      </c>
      <c r="FJE92" t="s">
        <v>104</v>
      </c>
      <c r="FJF92" t="s">
        <v>103</v>
      </c>
      <c r="FJG92" t="s">
        <v>398</v>
      </c>
      <c r="FJH92">
        <v>1</v>
      </c>
      <c r="FJI92" t="s">
        <v>438</v>
      </c>
      <c r="FJJ92" t="s">
        <v>439</v>
      </c>
      <c r="FJK92" t="s">
        <v>428</v>
      </c>
      <c r="FJM92" t="s">
        <v>104</v>
      </c>
      <c r="FJN92" t="s">
        <v>103</v>
      </c>
      <c r="FJO92" t="s">
        <v>398</v>
      </c>
      <c r="FJP92">
        <v>1</v>
      </c>
      <c r="FJQ92" t="s">
        <v>438</v>
      </c>
      <c r="FJR92" t="s">
        <v>439</v>
      </c>
      <c r="FJS92" t="s">
        <v>428</v>
      </c>
      <c r="FJU92" t="s">
        <v>104</v>
      </c>
      <c r="FJV92" t="s">
        <v>103</v>
      </c>
      <c r="FJW92" t="s">
        <v>398</v>
      </c>
      <c r="FJX92">
        <v>1</v>
      </c>
      <c r="FJY92" t="s">
        <v>438</v>
      </c>
      <c r="FJZ92" t="s">
        <v>439</v>
      </c>
      <c r="FKA92" t="s">
        <v>428</v>
      </c>
      <c r="FKC92" t="s">
        <v>104</v>
      </c>
      <c r="FKD92" t="s">
        <v>103</v>
      </c>
      <c r="FKE92" t="s">
        <v>398</v>
      </c>
      <c r="FKF92">
        <v>1</v>
      </c>
      <c r="FKG92" t="s">
        <v>438</v>
      </c>
      <c r="FKH92" t="s">
        <v>439</v>
      </c>
      <c r="FKI92" t="s">
        <v>428</v>
      </c>
      <c r="FKK92" t="s">
        <v>104</v>
      </c>
      <c r="FKL92" t="s">
        <v>103</v>
      </c>
      <c r="FKM92" t="s">
        <v>398</v>
      </c>
      <c r="FKN92">
        <v>1</v>
      </c>
      <c r="FKO92" t="s">
        <v>438</v>
      </c>
      <c r="FKP92" t="s">
        <v>439</v>
      </c>
      <c r="FKQ92" t="s">
        <v>428</v>
      </c>
      <c r="FKS92" t="s">
        <v>104</v>
      </c>
      <c r="FKT92" t="s">
        <v>103</v>
      </c>
      <c r="FKU92" t="s">
        <v>398</v>
      </c>
      <c r="FKV92">
        <v>1</v>
      </c>
      <c r="FKW92" t="s">
        <v>438</v>
      </c>
      <c r="FKX92" t="s">
        <v>439</v>
      </c>
      <c r="FKY92" t="s">
        <v>428</v>
      </c>
      <c r="FLA92" t="s">
        <v>104</v>
      </c>
      <c r="FLB92" t="s">
        <v>103</v>
      </c>
      <c r="FLC92" t="s">
        <v>398</v>
      </c>
      <c r="FLD92">
        <v>1</v>
      </c>
      <c r="FLE92" t="s">
        <v>438</v>
      </c>
      <c r="FLF92" t="s">
        <v>439</v>
      </c>
      <c r="FLG92" t="s">
        <v>428</v>
      </c>
      <c r="FLI92" t="s">
        <v>104</v>
      </c>
      <c r="FLJ92" t="s">
        <v>103</v>
      </c>
      <c r="FLK92" t="s">
        <v>398</v>
      </c>
      <c r="FLL92">
        <v>1</v>
      </c>
      <c r="FLM92" t="s">
        <v>438</v>
      </c>
      <c r="FLN92" t="s">
        <v>439</v>
      </c>
      <c r="FLO92" t="s">
        <v>428</v>
      </c>
      <c r="FLQ92" t="s">
        <v>104</v>
      </c>
      <c r="FLR92" t="s">
        <v>103</v>
      </c>
      <c r="FLS92" t="s">
        <v>398</v>
      </c>
      <c r="FLT92">
        <v>1</v>
      </c>
      <c r="FLU92" t="s">
        <v>438</v>
      </c>
      <c r="FLV92" t="s">
        <v>439</v>
      </c>
      <c r="FLW92" t="s">
        <v>428</v>
      </c>
      <c r="FLY92" t="s">
        <v>104</v>
      </c>
      <c r="FLZ92" t="s">
        <v>103</v>
      </c>
      <c r="FMA92" t="s">
        <v>398</v>
      </c>
      <c r="FMB92">
        <v>1</v>
      </c>
      <c r="FMC92" t="s">
        <v>438</v>
      </c>
      <c r="FMD92" t="s">
        <v>439</v>
      </c>
      <c r="FME92" t="s">
        <v>428</v>
      </c>
      <c r="FMG92" t="s">
        <v>104</v>
      </c>
      <c r="FMH92" t="s">
        <v>103</v>
      </c>
      <c r="FMI92" t="s">
        <v>398</v>
      </c>
      <c r="FMJ92">
        <v>1</v>
      </c>
      <c r="FMK92" t="s">
        <v>438</v>
      </c>
      <c r="FML92" t="s">
        <v>439</v>
      </c>
      <c r="FMM92" t="s">
        <v>428</v>
      </c>
      <c r="FMO92" t="s">
        <v>104</v>
      </c>
      <c r="FMP92" t="s">
        <v>103</v>
      </c>
      <c r="FMQ92" t="s">
        <v>398</v>
      </c>
      <c r="FMR92">
        <v>1</v>
      </c>
      <c r="FMS92" t="s">
        <v>438</v>
      </c>
      <c r="FMT92" t="s">
        <v>439</v>
      </c>
      <c r="FMU92" t="s">
        <v>428</v>
      </c>
      <c r="FMW92" t="s">
        <v>104</v>
      </c>
      <c r="FMX92" t="s">
        <v>103</v>
      </c>
      <c r="FMY92" t="s">
        <v>398</v>
      </c>
      <c r="FMZ92">
        <v>1</v>
      </c>
      <c r="FNA92" t="s">
        <v>438</v>
      </c>
      <c r="FNB92" t="s">
        <v>439</v>
      </c>
      <c r="FNC92" t="s">
        <v>428</v>
      </c>
      <c r="FNE92" t="s">
        <v>104</v>
      </c>
      <c r="FNF92" t="s">
        <v>103</v>
      </c>
      <c r="FNG92" t="s">
        <v>398</v>
      </c>
      <c r="FNH92">
        <v>1</v>
      </c>
      <c r="FNI92" t="s">
        <v>438</v>
      </c>
      <c r="FNJ92" t="s">
        <v>439</v>
      </c>
      <c r="FNK92" t="s">
        <v>428</v>
      </c>
      <c r="FNM92" t="s">
        <v>104</v>
      </c>
      <c r="FNN92" t="s">
        <v>103</v>
      </c>
      <c r="FNO92" t="s">
        <v>398</v>
      </c>
      <c r="FNP92">
        <v>1</v>
      </c>
      <c r="FNQ92" t="s">
        <v>438</v>
      </c>
      <c r="FNR92" t="s">
        <v>439</v>
      </c>
      <c r="FNS92" t="s">
        <v>428</v>
      </c>
      <c r="FNU92" t="s">
        <v>104</v>
      </c>
      <c r="FNV92" t="s">
        <v>103</v>
      </c>
      <c r="FNW92" t="s">
        <v>398</v>
      </c>
      <c r="FNX92">
        <v>1</v>
      </c>
      <c r="FNY92" t="s">
        <v>438</v>
      </c>
      <c r="FNZ92" t="s">
        <v>439</v>
      </c>
      <c r="FOA92" t="s">
        <v>428</v>
      </c>
      <c r="FOC92" t="s">
        <v>104</v>
      </c>
      <c r="FOD92" t="s">
        <v>103</v>
      </c>
      <c r="FOE92" t="s">
        <v>398</v>
      </c>
      <c r="FOF92">
        <v>1</v>
      </c>
      <c r="FOG92" t="s">
        <v>438</v>
      </c>
      <c r="FOH92" t="s">
        <v>439</v>
      </c>
      <c r="FOI92" t="s">
        <v>428</v>
      </c>
      <c r="FOK92" t="s">
        <v>104</v>
      </c>
      <c r="FOL92" t="s">
        <v>103</v>
      </c>
      <c r="FOM92" t="s">
        <v>398</v>
      </c>
      <c r="FON92">
        <v>1</v>
      </c>
      <c r="FOO92" t="s">
        <v>438</v>
      </c>
      <c r="FOP92" t="s">
        <v>439</v>
      </c>
      <c r="FOQ92" t="s">
        <v>428</v>
      </c>
      <c r="FOS92" t="s">
        <v>104</v>
      </c>
      <c r="FOT92" t="s">
        <v>103</v>
      </c>
      <c r="FOU92" t="s">
        <v>398</v>
      </c>
      <c r="FOV92">
        <v>1</v>
      </c>
      <c r="FOW92" t="s">
        <v>438</v>
      </c>
      <c r="FOX92" t="s">
        <v>439</v>
      </c>
      <c r="FOY92" t="s">
        <v>428</v>
      </c>
      <c r="FPA92" t="s">
        <v>104</v>
      </c>
      <c r="FPB92" t="s">
        <v>103</v>
      </c>
      <c r="FPC92" t="s">
        <v>398</v>
      </c>
      <c r="FPD92">
        <v>1</v>
      </c>
      <c r="FPE92" t="s">
        <v>438</v>
      </c>
      <c r="FPF92" t="s">
        <v>439</v>
      </c>
      <c r="FPG92" t="s">
        <v>428</v>
      </c>
      <c r="FPI92" t="s">
        <v>104</v>
      </c>
      <c r="FPJ92" t="s">
        <v>103</v>
      </c>
      <c r="FPK92" t="s">
        <v>398</v>
      </c>
      <c r="FPL92">
        <v>1</v>
      </c>
      <c r="FPM92" t="s">
        <v>438</v>
      </c>
      <c r="FPN92" t="s">
        <v>439</v>
      </c>
      <c r="FPO92" t="s">
        <v>428</v>
      </c>
      <c r="FPQ92" t="s">
        <v>104</v>
      </c>
      <c r="FPR92" t="s">
        <v>103</v>
      </c>
      <c r="FPS92" t="s">
        <v>398</v>
      </c>
      <c r="FPT92">
        <v>1</v>
      </c>
      <c r="FPU92" t="s">
        <v>438</v>
      </c>
      <c r="FPV92" t="s">
        <v>439</v>
      </c>
      <c r="FPW92" t="s">
        <v>428</v>
      </c>
      <c r="FPY92" t="s">
        <v>104</v>
      </c>
      <c r="FPZ92" t="s">
        <v>103</v>
      </c>
      <c r="FQA92" t="s">
        <v>398</v>
      </c>
      <c r="FQB92">
        <v>1</v>
      </c>
      <c r="FQC92" t="s">
        <v>438</v>
      </c>
      <c r="FQD92" t="s">
        <v>439</v>
      </c>
      <c r="FQE92" t="s">
        <v>428</v>
      </c>
      <c r="FQG92" t="s">
        <v>104</v>
      </c>
      <c r="FQH92" t="s">
        <v>103</v>
      </c>
      <c r="FQI92" t="s">
        <v>398</v>
      </c>
      <c r="FQJ92">
        <v>1</v>
      </c>
      <c r="FQK92" t="s">
        <v>438</v>
      </c>
      <c r="FQL92" t="s">
        <v>439</v>
      </c>
      <c r="FQM92" t="s">
        <v>428</v>
      </c>
      <c r="FQO92" t="s">
        <v>104</v>
      </c>
      <c r="FQP92" t="s">
        <v>103</v>
      </c>
      <c r="FQQ92" t="s">
        <v>398</v>
      </c>
      <c r="FQR92">
        <v>1</v>
      </c>
      <c r="FQS92" t="s">
        <v>438</v>
      </c>
      <c r="FQT92" t="s">
        <v>439</v>
      </c>
      <c r="FQU92" t="s">
        <v>428</v>
      </c>
      <c r="FQW92" t="s">
        <v>104</v>
      </c>
      <c r="FQX92" t="s">
        <v>103</v>
      </c>
      <c r="FQY92" t="s">
        <v>398</v>
      </c>
      <c r="FQZ92">
        <v>1</v>
      </c>
      <c r="FRA92" t="s">
        <v>438</v>
      </c>
      <c r="FRB92" t="s">
        <v>439</v>
      </c>
      <c r="FRC92" t="s">
        <v>428</v>
      </c>
      <c r="FRE92" t="s">
        <v>104</v>
      </c>
      <c r="FRF92" t="s">
        <v>103</v>
      </c>
      <c r="FRG92" t="s">
        <v>398</v>
      </c>
      <c r="FRH92">
        <v>1</v>
      </c>
      <c r="FRI92" t="s">
        <v>438</v>
      </c>
      <c r="FRJ92" t="s">
        <v>439</v>
      </c>
      <c r="FRK92" t="s">
        <v>428</v>
      </c>
      <c r="FRM92" t="s">
        <v>104</v>
      </c>
      <c r="FRN92" t="s">
        <v>103</v>
      </c>
      <c r="FRO92" t="s">
        <v>398</v>
      </c>
      <c r="FRP92">
        <v>1</v>
      </c>
      <c r="FRQ92" t="s">
        <v>438</v>
      </c>
      <c r="FRR92" t="s">
        <v>439</v>
      </c>
      <c r="FRS92" t="s">
        <v>428</v>
      </c>
      <c r="FRU92" t="s">
        <v>104</v>
      </c>
      <c r="FRV92" t="s">
        <v>103</v>
      </c>
      <c r="FRW92" t="s">
        <v>398</v>
      </c>
      <c r="FRX92">
        <v>1</v>
      </c>
      <c r="FRY92" t="s">
        <v>438</v>
      </c>
      <c r="FRZ92" t="s">
        <v>439</v>
      </c>
      <c r="FSA92" t="s">
        <v>428</v>
      </c>
      <c r="FSC92" t="s">
        <v>104</v>
      </c>
      <c r="FSD92" t="s">
        <v>103</v>
      </c>
      <c r="FSE92" t="s">
        <v>398</v>
      </c>
      <c r="FSF92">
        <v>1</v>
      </c>
      <c r="FSG92" t="s">
        <v>438</v>
      </c>
      <c r="FSH92" t="s">
        <v>439</v>
      </c>
      <c r="FSI92" t="s">
        <v>428</v>
      </c>
      <c r="FSK92" t="s">
        <v>104</v>
      </c>
      <c r="FSL92" t="s">
        <v>103</v>
      </c>
      <c r="FSM92" t="s">
        <v>398</v>
      </c>
      <c r="FSN92">
        <v>1</v>
      </c>
      <c r="FSO92" t="s">
        <v>438</v>
      </c>
      <c r="FSP92" t="s">
        <v>439</v>
      </c>
      <c r="FSQ92" t="s">
        <v>428</v>
      </c>
      <c r="FSS92" t="s">
        <v>104</v>
      </c>
      <c r="FST92" t="s">
        <v>103</v>
      </c>
      <c r="FSU92" t="s">
        <v>398</v>
      </c>
      <c r="FSV92">
        <v>1</v>
      </c>
      <c r="FSW92" t="s">
        <v>438</v>
      </c>
      <c r="FSX92" t="s">
        <v>439</v>
      </c>
      <c r="FSY92" t="s">
        <v>428</v>
      </c>
      <c r="FTA92" t="s">
        <v>104</v>
      </c>
      <c r="FTB92" t="s">
        <v>103</v>
      </c>
      <c r="FTC92" t="s">
        <v>398</v>
      </c>
      <c r="FTD92">
        <v>1</v>
      </c>
      <c r="FTE92" t="s">
        <v>438</v>
      </c>
      <c r="FTF92" t="s">
        <v>439</v>
      </c>
      <c r="FTG92" t="s">
        <v>428</v>
      </c>
      <c r="FTI92" t="s">
        <v>104</v>
      </c>
      <c r="FTJ92" t="s">
        <v>103</v>
      </c>
      <c r="FTK92" t="s">
        <v>398</v>
      </c>
      <c r="FTL92">
        <v>1</v>
      </c>
      <c r="FTM92" t="s">
        <v>438</v>
      </c>
      <c r="FTN92" t="s">
        <v>439</v>
      </c>
      <c r="FTO92" t="s">
        <v>428</v>
      </c>
      <c r="FTQ92" t="s">
        <v>104</v>
      </c>
      <c r="FTR92" t="s">
        <v>103</v>
      </c>
      <c r="FTS92" t="s">
        <v>398</v>
      </c>
      <c r="FTT92">
        <v>1</v>
      </c>
      <c r="FTU92" t="s">
        <v>438</v>
      </c>
      <c r="FTV92" t="s">
        <v>439</v>
      </c>
      <c r="FTW92" t="s">
        <v>428</v>
      </c>
      <c r="FTY92" t="s">
        <v>104</v>
      </c>
      <c r="FTZ92" t="s">
        <v>103</v>
      </c>
      <c r="FUA92" t="s">
        <v>398</v>
      </c>
      <c r="FUB92">
        <v>1</v>
      </c>
      <c r="FUC92" t="s">
        <v>438</v>
      </c>
      <c r="FUD92" t="s">
        <v>439</v>
      </c>
      <c r="FUE92" t="s">
        <v>428</v>
      </c>
      <c r="FUG92" t="s">
        <v>104</v>
      </c>
      <c r="FUH92" t="s">
        <v>103</v>
      </c>
      <c r="FUI92" t="s">
        <v>398</v>
      </c>
      <c r="FUJ92">
        <v>1</v>
      </c>
      <c r="FUK92" t="s">
        <v>438</v>
      </c>
      <c r="FUL92" t="s">
        <v>439</v>
      </c>
      <c r="FUM92" t="s">
        <v>428</v>
      </c>
      <c r="FUO92" t="s">
        <v>104</v>
      </c>
      <c r="FUP92" t="s">
        <v>103</v>
      </c>
      <c r="FUQ92" t="s">
        <v>398</v>
      </c>
      <c r="FUR92">
        <v>1</v>
      </c>
      <c r="FUS92" t="s">
        <v>438</v>
      </c>
      <c r="FUT92" t="s">
        <v>439</v>
      </c>
      <c r="FUU92" t="s">
        <v>428</v>
      </c>
      <c r="FUW92" t="s">
        <v>104</v>
      </c>
      <c r="FUX92" t="s">
        <v>103</v>
      </c>
      <c r="FUY92" t="s">
        <v>398</v>
      </c>
      <c r="FUZ92">
        <v>1</v>
      </c>
      <c r="FVA92" t="s">
        <v>438</v>
      </c>
      <c r="FVB92" t="s">
        <v>439</v>
      </c>
      <c r="FVC92" t="s">
        <v>428</v>
      </c>
      <c r="FVE92" t="s">
        <v>104</v>
      </c>
      <c r="FVF92" t="s">
        <v>103</v>
      </c>
      <c r="FVG92" t="s">
        <v>398</v>
      </c>
      <c r="FVH92">
        <v>1</v>
      </c>
      <c r="FVI92" t="s">
        <v>438</v>
      </c>
      <c r="FVJ92" t="s">
        <v>439</v>
      </c>
      <c r="FVK92" t="s">
        <v>428</v>
      </c>
      <c r="FVM92" t="s">
        <v>104</v>
      </c>
      <c r="FVN92" t="s">
        <v>103</v>
      </c>
      <c r="FVO92" t="s">
        <v>398</v>
      </c>
      <c r="FVP92">
        <v>1</v>
      </c>
      <c r="FVQ92" t="s">
        <v>438</v>
      </c>
      <c r="FVR92" t="s">
        <v>439</v>
      </c>
      <c r="FVS92" t="s">
        <v>428</v>
      </c>
      <c r="FVU92" t="s">
        <v>104</v>
      </c>
      <c r="FVV92" t="s">
        <v>103</v>
      </c>
      <c r="FVW92" t="s">
        <v>398</v>
      </c>
      <c r="FVX92">
        <v>1</v>
      </c>
      <c r="FVY92" t="s">
        <v>438</v>
      </c>
      <c r="FVZ92" t="s">
        <v>439</v>
      </c>
      <c r="FWA92" t="s">
        <v>428</v>
      </c>
      <c r="FWC92" t="s">
        <v>104</v>
      </c>
      <c r="FWD92" t="s">
        <v>103</v>
      </c>
      <c r="FWE92" t="s">
        <v>398</v>
      </c>
      <c r="FWF92">
        <v>1</v>
      </c>
      <c r="FWG92" t="s">
        <v>438</v>
      </c>
      <c r="FWH92" t="s">
        <v>439</v>
      </c>
      <c r="FWI92" t="s">
        <v>428</v>
      </c>
      <c r="FWK92" t="s">
        <v>104</v>
      </c>
      <c r="FWL92" t="s">
        <v>103</v>
      </c>
      <c r="FWM92" t="s">
        <v>398</v>
      </c>
      <c r="FWN92">
        <v>1</v>
      </c>
      <c r="FWO92" t="s">
        <v>438</v>
      </c>
      <c r="FWP92" t="s">
        <v>439</v>
      </c>
      <c r="FWQ92" t="s">
        <v>428</v>
      </c>
      <c r="FWS92" t="s">
        <v>104</v>
      </c>
      <c r="FWT92" t="s">
        <v>103</v>
      </c>
      <c r="FWU92" t="s">
        <v>398</v>
      </c>
      <c r="FWV92">
        <v>1</v>
      </c>
      <c r="FWW92" t="s">
        <v>438</v>
      </c>
      <c r="FWX92" t="s">
        <v>439</v>
      </c>
      <c r="FWY92" t="s">
        <v>428</v>
      </c>
      <c r="FXA92" t="s">
        <v>104</v>
      </c>
      <c r="FXB92" t="s">
        <v>103</v>
      </c>
      <c r="FXC92" t="s">
        <v>398</v>
      </c>
      <c r="FXD92">
        <v>1</v>
      </c>
      <c r="FXE92" t="s">
        <v>438</v>
      </c>
      <c r="FXF92" t="s">
        <v>439</v>
      </c>
      <c r="FXG92" t="s">
        <v>428</v>
      </c>
      <c r="FXI92" t="s">
        <v>104</v>
      </c>
      <c r="FXJ92" t="s">
        <v>103</v>
      </c>
      <c r="FXK92" t="s">
        <v>398</v>
      </c>
      <c r="FXL92">
        <v>1</v>
      </c>
      <c r="FXM92" t="s">
        <v>438</v>
      </c>
      <c r="FXN92" t="s">
        <v>439</v>
      </c>
      <c r="FXO92" t="s">
        <v>428</v>
      </c>
      <c r="FXQ92" t="s">
        <v>104</v>
      </c>
      <c r="FXR92" t="s">
        <v>103</v>
      </c>
      <c r="FXS92" t="s">
        <v>398</v>
      </c>
      <c r="FXT92">
        <v>1</v>
      </c>
      <c r="FXU92" t="s">
        <v>438</v>
      </c>
      <c r="FXV92" t="s">
        <v>439</v>
      </c>
      <c r="FXW92" t="s">
        <v>428</v>
      </c>
      <c r="FXY92" t="s">
        <v>104</v>
      </c>
      <c r="FXZ92" t="s">
        <v>103</v>
      </c>
      <c r="FYA92" t="s">
        <v>398</v>
      </c>
      <c r="FYB92">
        <v>1</v>
      </c>
      <c r="FYC92" t="s">
        <v>438</v>
      </c>
      <c r="FYD92" t="s">
        <v>439</v>
      </c>
      <c r="FYE92" t="s">
        <v>428</v>
      </c>
      <c r="FYG92" t="s">
        <v>104</v>
      </c>
      <c r="FYH92" t="s">
        <v>103</v>
      </c>
      <c r="FYI92" t="s">
        <v>398</v>
      </c>
      <c r="FYJ92">
        <v>1</v>
      </c>
      <c r="FYK92" t="s">
        <v>438</v>
      </c>
      <c r="FYL92" t="s">
        <v>439</v>
      </c>
      <c r="FYM92" t="s">
        <v>428</v>
      </c>
      <c r="FYO92" t="s">
        <v>104</v>
      </c>
      <c r="FYP92" t="s">
        <v>103</v>
      </c>
      <c r="FYQ92" t="s">
        <v>398</v>
      </c>
      <c r="FYR92">
        <v>1</v>
      </c>
      <c r="FYS92" t="s">
        <v>438</v>
      </c>
      <c r="FYT92" t="s">
        <v>439</v>
      </c>
      <c r="FYU92" t="s">
        <v>428</v>
      </c>
      <c r="FYW92" t="s">
        <v>104</v>
      </c>
      <c r="FYX92" t="s">
        <v>103</v>
      </c>
      <c r="FYY92" t="s">
        <v>398</v>
      </c>
      <c r="FYZ92">
        <v>1</v>
      </c>
      <c r="FZA92" t="s">
        <v>438</v>
      </c>
      <c r="FZB92" t="s">
        <v>439</v>
      </c>
      <c r="FZC92" t="s">
        <v>428</v>
      </c>
      <c r="FZE92" t="s">
        <v>104</v>
      </c>
      <c r="FZF92" t="s">
        <v>103</v>
      </c>
      <c r="FZG92" t="s">
        <v>398</v>
      </c>
      <c r="FZH92">
        <v>1</v>
      </c>
      <c r="FZI92" t="s">
        <v>438</v>
      </c>
      <c r="FZJ92" t="s">
        <v>439</v>
      </c>
      <c r="FZK92" t="s">
        <v>428</v>
      </c>
      <c r="FZM92" t="s">
        <v>104</v>
      </c>
      <c r="FZN92" t="s">
        <v>103</v>
      </c>
      <c r="FZO92" t="s">
        <v>398</v>
      </c>
      <c r="FZP92">
        <v>1</v>
      </c>
      <c r="FZQ92" t="s">
        <v>438</v>
      </c>
      <c r="FZR92" t="s">
        <v>439</v>
      </c>
      <c r="FZS92" t="s">
        <v>428</v>
      </c>
      <c r="FZU92" t="s">
        <v>104</v>
      </c>
      <c r="FZV92" t="s">
        <v>103</v>
      </c>
      <c r="FZW92" t="s">
        <v>398</v>
      </c>
      <c r="FZX92">
        <v>1</v>
      </c>
      <c r="FZY92" t="s">
        <v>438</v>
      </c>
      <c r="FZZ92" t="s">
        <v>439</v>
      </c>
      <c r="GAA92" t="s">
        <v>428</v>
      </c>
      <c r="GAC92" t="s">
        <v>104</v>
      </c>
      <c r="GAD92" t="s">
        <v>103</v>
      </c>
      <c r="GAE92" t="s">
        <v>398</v>
      </c>
      <c r="GAF92">
        <v>1</v>
      </c>
      <c r="GAG92" t="s">
        <v>438</v>
      </c>
      <c r="GAH92" t="s">
        <v>439</v>
      </c>
      <c r="GAI92" t="s">
        <v>428</v>
      </c>
      <c r="GAK92" t="s">
        <v>104</v>
      </c>
      <c r="GAL92" t="s">
        <v>103</v>
      </c>
      <c r="GAM92" t="s">
        <v>398</v>
      </c>
      <c r="GAN92">
        <v>1</v>
      </c>
      <c r="GAO92" t="s">
        <v>438</v>
      </c>
      <c r="GAP92" t="s">
        <v>439</v>
      </c>
      <c r="GAQ92" t="s">
        <v>428</v>
      </c>
      <c r="GAS92" t="s">
        <v>104</v>
      </c>
      <c r="GAT92" t="s">
        <v>103</v>
      </c>
      <c r="GAU92" t="s">
        <v>398</v>
      </c>
      <c r="GAV92">
        <v>1</v>
      </c>
      <c r="GAW92" t="s">
        <v>438</v>
      </c>
      <c r="GAX92" t="s">
        <v>439</v>
      </c>
      <c r="GAY92" t="s">
        <v>428</v>
      </c>
      <c r="GBA92" t="s">
        <v>104</v>
      </c>
      <c r="GBB92" t="s">
        <v>103</v>
      </c>
      <c r="GBC92" t="s">
        <v>398</v>
      </c>
      <c r="GBD92">
        <v>1</v>
      </c>
      <c r="GBE92" t="s">
        <v>438</v>
      </c>
      <c r="GBF92" t="s">
        <v>439</v>
      </c>
      <c r="GBG92" t="s">
        <v>428</v>
      </c>
      <c r="GBI92" t="s">
        <v>104</v>
      </c>
      <c r="GBJ92" t="s">
        <v>103</v>
      </c>
      <c r="GBK92" t="s">
        <v>398</v>
      </c>
      <c r="GBL92">
        <v>1</v>
      </c>
      <c r="GBM92" t="s">
        <v>438</v>
      </c>
      <c r="GBN92" t="s">
        <v>439</v>
      </c>
      <c r="GBO92" t="s">
        <v>428</v>
      </c>
      <c r="GBQ92" t="s">
        <v>104</v>
      </c>
      <c r="GBR92" t="s">
        <v>103</v>
      </c>
      <c r="GBS92" t="s">
        <v>398</v>
      </c>
      <c r="GBT92">
        <v>1</v>
      </c>
      <c r="GBU92" t="s">
        <v>438</v>
      </c>
      <c r="GBV92" t="s">
        <v>439</v>
      </c>
      <c r="GBW92" t="s">
        <v>428</v>
      </c>
      <c r="GBY92" t="s">
        <v>104</v>
      </c>
      <c r="GBZ92" t="s">
        <v>103</v>
      </c>
      <c r="GCA92" t="s">
        <v>398</v>
      </c>
      <c r="GCB92">
        <v>1</v>
      </c>
      <c r="GCC92" t="s">
        <v>438</v>
      </c>
      <c r="GCD92" t="s">
        <v>439</v>
      </c>
      <c r="GCE92" t="s">
        <v>428</v>
      </c>
      <c r="GCG92" t="s">
        <v>104</v>
      </c>
      <c r="GCH92" t="s">
        <v>103</v>
      </c>
      <c r="GCI92" t="s">
        <v>398</v>
      </c>
      <c r="GCJ92">
        <v>1</v>
      </c>
      <c r="GCK92" t="s">
        <v>438</v>
      </c>
      <c r="GCL92" t="s">
        <v>439</v>
      </c>
      <c r="GCM92" t="s">
        <v>428</v>
      </c>
      <c r="GCO92" t="s">
        <v>104</v>
      </c>
      <c r="GCP92" t="s">
        <v>103</v>
      </c>
      <c r="GCQ92" t="s">
        <v>398</v>
      </c>
      <c r="GCR92">
        <v>1</v>
      </c>
      <c r="GCS92" t="s">
        <v>438</v>
      </c>
      <c r="GCT92" t="s">
        <v>439</v>
      </c>
      <c r="GCU92" t="s">
        <v>428</v>
      </c>
      <c r="GCW92" t="s">
        <v>104</v>
      </c>
      <c r="GCX92" t="s">
        <v>103</v>
      </c>
      <c r="GCY92" t="s">
        <v>398</v>
      </c>
      <c r="GCZ92">
        <v>1</v>
      </c>
      <c r="GDA92" t="s">
        <v>438</v>
      </c>
      <c r="GDB92" t="s">
        <v>439</v>
      </c>
      <c r="GDC92" t="s">
        <v>428</v>
      </c>
      <c r="GDE92" t="s">
        <v>104</v>
      </c>
      <c r="GDF92" t="s">
        <v>103</v>
      </c>
      <c r="GDG92" t="s">
        <v>398</v>
      </c>
      <c r="GDH92">
        <v>1</v>
      </c>
      <c r="GDI92" t="s">
        <v>438</v>
      </c>
      <c r="GDJ92" t="s">
        <v>439</v>
      </c>
      <c r="GDK92" t="s">
        <v>428</v>
      </c>
      <c r="GDM92" t="s">
        <v>104</v>
      </c>
      <c r="GDN92" t="s">
        <v>103</v>
      </c>
      <c r="GDO92" t="s">
        <v>398</v>
      </c>
      <c r="GDP92">
        <v>1</v>
      </c>
      <c r="GDQ92" t="s">
        <v>438</v>
      </c>
      <c r="GDR92" t="s">
        <v>439</v>
      </c>
      <c r="GDS92" t="s">
        <v>428</v>
      </c>
      <c r="GDU92" t="s">
        <v>104</v>
      </c>
      <c r="GDV92" t="s">
        <v>103</v>
      </c>
      <c r="GDW92" t="s">
        <v>398</v>
      </c>
      <c r="GDX92">
        <v>1</v>
      </c>
      <c r="GDY92" t="s">
        <v>438</v>
      </c>
      <c r="GDZ92" t="s">
        <v>439</v>
      </c>
      <c r="GEA92" t="s">
        <v>428</v>
      </c>
      <c r="GEC92" t="s">
        <v>104</v>
      </c>
      <c r="GED92" t="s">
        <v>103</v>
      </c>
      <c r="GEE92" t="s">
        <v>398</v>
      </c>
      <c r="GEF92">
        <v>1</v>
      </c>
      <c r="GEG92" t="s">
        <v>438</v>
      </c>
      <c r="GEH92" t="s">
        <v>439</v>
      </c>
      <c r="GEI92" t="s">
        <v>428</v>
      </c>
      <c r="GEK92" t="s">
        <v>104</v>
      </c>
      <c r="GEL92" t="s">
        <v>103</v>
      </c>
      <c r="GEM92" t="s">
        <v>398</v>
      </c>
      <c r="GEN92">
        <v>1</v>
      </c>
      <c r="GEO92" t="s">
        <v>438</v>
      </c>
      <c r="GEP92" t="s">
        <v>439</v>
      </c>
      <c r="GEQ92" t="s">
        <v>428</v>
      </c>
      <c r="GES92" t="s">
        <v>104</v>
      </c>
      <c r="GET92" t="s">
        <v>103</v>
      </c>
      <c r="GEU92" t="s">
        <v>398</v>
      </c>
      <c r="GEV92">
        <v>1</v>
      </c>
      <c r="GEW92" t="s">
        <v>438</v>
      </c>
      <c r="GEX92" t="s">
        <v>439</v>
      </c>
      <c r="GEY92" t="s">
        <v>428</v>
      </c>
      <c r="GFA92" t="s">
        <v>104</v>
      </c>
      <c r="GFB92" t="s">
        <v>103</v>
      </c>
      <c r="GFC92" t="s">
        <v>398</v>
      </c>
      <c r="GFD92">
        <v>1</v>
      </c>
      <c r="GFE92" t="s">
        <v>438</v>
      </c>
      <c r="GFF92" t="s">
        <v>439</v>
      </c>
      <c r="GFG92" t="s">
        <v>428</v>
      </c>
      <c r="GFI92" t="s">
        <v>104</v>
      </c>
      <c r="GFJ92" t="s">
        <v>103</v>
      </c>
      <c r="GFK92" t="s">
        <v>398</v>
      </c>
      <c r="GFL92">
        <v>1</v>
      </c>
      <c r="GFM92" t="s">
        <v>438</v>
      </c>
      <c r="GFN92" t="s">
        <v>439</v>
      </c>
      <c r="GFO92" t="s">
        <v>428</v>
      </c>
      <c r="GFQ92" t="s">
        <v>104</v>
      </c>
      <c r="GFR92" t="s">
        <v>103</v>
      </c>
      <c r="GFS92" t="s">
        <v>398</v>
      </c>
      <c r="GFT92">
        <v>1</v>
      </c>
      <c r="GFU92" t="s">
        <v>438</v>
      </c>
      <c r="GFV92" t="s">
        <v>439</v>
      </c>
      <c r="GFW92" t="s">
        <v>428</v>
      </c>
      <c r="GFY92" t="s">
        <v>104</v>
      </c>
      <c r="GFZ92" t="s">
        <v>103</v>
      </c>
      <c r="GGA92" t="s">
        <v>398</v>
      </c>
      <c r="GGB92">
        <v>1</v>
      </c>
      <c r="GGC92" t="s">
        <v>438</v>
      </c>
      <c r="GGD92" t="s">
        <v>439</v>
      </c>
      <c r="GGE92" t="s">
        <v>428</v>
      </c>
      <c r="GGG92" t="s">
        <v>104</v>
      </c>
      <c r="GGH92" t="s">
        <v>103</v>
      </c>
      <c r="GGI92" t="s">
        <v>398</v>
      </c>
      <c r="GGJ92">
        <v>1</v>
      </c>
      <c r="GGK92" t="s">
        <v>438</v>
      </c>
      <c r="GGL92" t="s">
        <v>439</v>
      </c>
      <c r="GGM92" t="s">
        <v>428</v>
      </c>
      <c r="GGO92" t="s">
        <v>104</v>
      </c>
      <c r="GGP92" t="s">
        <v>103</v>
      </c>
      <c r="GGQ92" t="s">
        <v>398</v>
      </c>
      <c r="GGR92">
        <v>1</v>
      </c>
      <c r="GGS92" t="s">
        <v>438</v>
      </c>
      <c r="GGT92" t="s">
        <v>439</v>
      </c>
      <c r="GGU92" t="s">
        <v>428</v>
      </c>
      <c r="GGW92" t="s">
        <v>104</v>
      </c>
      <c r="GGX92" t="s">
        <v>103</v>
      </c>
      <c r="GGY92" t="s">
        <v>398</v>
      </c>
      <c r="GGZ92">
        <v>1</v>
      </c>
      <c r="GHA92" t="s">
        <v>438</v>
      </c>
      <c r="GHB92" t="s">
        <v>439</v>
      </c>
      <c r="GHC92" t="s">
        <v>428</v>
      </c>
      <c r="GHE92" t="s">
        <v>104</v>
      </c>
      <c r="GHF92" t="s">
        <v>103</v>
      </c>
      <c r="GHG92" t="s">
        <v>398</v>
      </c>
      <c r="GHH92">
        <v>1</v>
      </c>
      <c r="GHI92" t="s">
        <v>438</v>
      </c>
      <c r="GHJ92" t="s">
        <v>439</v>
      </c>
      <c r="GHK92" t="s">
        <v>428</v>
      </c>
      <c r="GHM92" t="s">
        <v>104</v>
      </c>
      <c r="GHN92" t="s">
        <v>103</v>
      </c>
      <c r="GHO92" t="s">
        <v>398</v>
      </c>
      <c r="GHP92">
        <v>1</v>
      </c>
      <c r="GHQ92" t="s">
        <v>438</v>
      </c>
      <c r="GHR92" t="s">
        <v>439</v>
      </c>
      <c r="GHS92" t="s">
        <v>428</v>
      </c>
      <c r="GHU92" t="s">
        <v>104</v>
      </c>
      <c r="GHV92" t="s">
        <v>103</v>
      </c>
      <c r="GHW92" t="s">
        <v>398</v>
      </c>
      <c r="GHX92">
        <v>1</v>
      </c>
      <c r="GHY92" t="s">
        <v>438</v>
      </c>
      <c r="GHZ92" t="s">
        <v>439</v>
      </c>
      <c r="GIA92" t="s">
        <v>428</v>
      </c>
      <c r="GIC92" t="s">
        <v>104</v>
      </c>
      <c r="GID92" t="s">
        <v>103</v>
      </c>
      <c r="GIE92" t="s">
        <v>398</v>
      </c>
      <c r="GIF92">
        <v>1</v>
      </c>
      <c r="GIG92" t="s">
        <v>438</v>
      </c>
      <c r="GIH92" t="s">
        <v>439</v>
      </c>
      <c r="GII92" t="s">
        <v>428</v>
      </c>
      <c r="GIK92" t="s">
        <v>104</v>
      </c>
      <c r="GIL92" t="s">
        <v>103</v>
      </c>
      <c r="GIM92" t="s">
        <v>398</v>
      </c>
      <c r="GIN92">
        <v>1</v>
      </c>
      <c r="GIO92" t="s">
        <v>438</v>
      </c>
      <c r="GIP92" t="s">
        <v>439</v>
      </c>
      <c r="GIQ92" t="s">
        <v>428</v>
      </c>
      <c r="GIS92" t="s">
        <v>104</v>
      </c>
      <c r="GIT92" t="s">
        <v>103</v>
      </c>
      <c r="GIU92" t="s">
        <v>398</v>
      </c>
      <c r="GIV92">
        <v>1</v>
      </c>
      <c r="GIW92" t="s">
        <v>438</v>
      </c>
      <c r="GIX92" t="s">
        <v>439</v>
      </c>
      <c r="GIY92" t="s">
        <v>428</v>
      </c>
      <c r="GJA92" t="s">
        <v>104</v>
      </c>
      <c r="GJB92" t="s">
        <v>103</v>
      </c>
      <c r="GJC92" t="s">
        <v>398</v>
      </c>
      <c r="GJD92">
        <v>1</v>
      </c>
      <c r="GJE92" t="s">
        <v>438</v>
      </c>
      <c r="GJF92" t="s">
        <v>439</v>
      </c>
      <c r="GJG92" t="s">
        <v>428</v>
      </c>
      <c r="GJI92" t="s">
        <v>104</v>
      </c>
      <c r="GJJ92" t="s">
        <v>103</v>
      </c>
      <c r="GJK92" t="s">
        <v>398</v>
      </c>
      <c r="GJL92">
        <v>1</v>
      </c>
      <c r="GJM92" t="s">
        <v>438</v>
      </c>
      <c r="GJN92" t="s">
        <v>439</v>
      </c>
      <c r="GJO92" t="s">
        <v>428</v>
      </c>
      <c r="GJQ92" t="s">
        <v>104</v>
      </c>
      <c r="GJR92" t="s">
        <v>103</v>
      </c>
      <c r="GJS92" t="s">
        <v>398</v>
      </c>
      <c r="GJT92">
        <v>1</v>
      </c>
      <c r="GJU92" t="s">
        <v>438</v>
      </c>
      <c r="GJV92" t="s">
        <v>439</v>
      </c>
      <c r="GJW92" t="s">
        <v>428</v>
      </c>
      <c r="GJY92" t="s">
        <v>104</v>
      </c>
      <c r="GJZ92" t="s">
        <v>103</v>
      </c>
      <c r="GKA92" t="s">
        <v>398</v>
      </c>
      <c r="GKB92">
        <v>1</v>
      </c>
      <c r="GKC92" t="s">
        <v>438</v>
      </c>
      <c r="GKD92" t="s">
        <v>439</v>
      </c>
      <c r="GKE92" t="s">
        <v>428</v>
      </c>
      <c r="GKG92" t="s">
        <v>104</v>
      </c>
      <c r="GKH92" t="s">
        <v>103</v>
      </c>
      <c r="GKI92" t="s">
        <v>398</v>
      </c>
      <c r="GKJ92">
        <v>1</v>
      </c>
      <c r="GKK92" t="s">
        <v>438</v>
      </c>
      <c r="GKL92" t="s">
        <v>439</v>
      </c>
      <c r="GKM92" t="s">
        <v>428</v>
      </c>
      <c r="GKO92" t="s">
        <v>104</v>
      </c>
      <c r="GKP92" t="s">
        <v>103</v>
      </c>
      <c r="GKQ92" t="s">
        <v>398</v>
      </c>
      <c r="GKR92">
        <v>1</v>
      </c>
      <c r="GKS92" t="s">
        <v>438</v>
      </c>
      <c r="GKT92" t="s">
        <v>439</v>
      </c>
      <c r="GKU92" t="s">
        <v>428</v>
      </c>
      <c r="GKW92" t="s">
        <v>104</v>
      </c>
      <c r="GKX92" t="s">
        <v>103</v>
      </c>
      <c r="GKY92" t="s">
        <v>398</v>
      </c>
      <c r="GKZ92">
        <v>1</v>
      </c>
      <c r="GLA92" t="s">
        <v>438</v>
      </c>
      <c r="GLB92" t="s">
        <v>439</v>
      </c>
      <c r="GLC92" t="s">
        <v>428</v>
      </c>
      <c r="GLE92" t="s">
        <v>104</v>
      </c>
      <c r="GLF92" t="s">
        <v>103</v>
      </c>
      <c r="GLG92" t="s">
        <v>398</v>
      </c>
      <c r="GLH92">
        <v>1</v>
      </c>
      <c r="GLI92" t="s">
        <v>438</v>
      </c>
      <c r="GLJ92" t="s">
        <v>439</v>
      </c>
      <c r="GLK92" t="s">
        <v>428</v>
      </c>
      <c r="GLM92" t="s">
        <v>104</v>
      </c>
      <c r="GLN92" t="s">
        <v>103</v>
      </c>
      <c r="GLO92" t="s">
        <v>398</v>
      </c>
      <c r="GLP92">
        <v>1</v>
      </c>
      <c r="GLQ92" t="s">
        <v>438</v>
      </c>
      <c r="GLR92" t="s">
        <v>439</v>
      </c>
      <c r="GLS92" t="s">
        <v>428</v>
      </c>
      <c r="GLU92" t="s">
        <v>104</v>
      </c>
      <c r="GLV92" t="s">
        <v>103</v>
      </c>
      <c r="GLW92" t="s">
        <v>398</v>
      </c>
      <c r="GLX92">
        <v>1</v>
      </c>
      <c r="GLY92" t="s">
        <v>438</v>
      </c>
      <c r="GLZ92" t="s">
        <v>439</v>
      </c>
      <c r="GMA92" t="s">
        <v>428</v>
      </c>
      <c r="GMC92" t="s">
        <v>104</v>
      </c>
      <c r="GMD92" t="s">
        <v>103</v>
      </c>
      <c r="GME92" t="s">
        <v>398</v>
      </c>
      <c r="GMF92">
        <v>1</v>
      </c>
      <c r="GMG92" t="s">
        <v>438</v>
      </c>
      <c r="GMH92" t="s">
        <v>439</v>
      </c>
      <c r="GMI92" t="s">
        <v>428</v>
      </c>
      <c r="GMK92" t="s">
        <v>104</v>
      </c>
      <c r="GML92" t="s">
        <v>103</v>
      </c>
      <c r="GMM92" t="s">
        <v>398</v>
      </c>
      <c r="GMN92">
        <v>1</v>
      </c>
      <c r="GMO92" t="s">
        <v>438</v>
      </c>
      <c r="GMP92" t="s">
        <v>439</v>
      </c>
      <c r="GMQ92" t="s">
        <v>428</v>
      </c>
      <c r="GMS92" t="s">
        <v>104</v>
      </c>
      <c r="GMT92" t="s">
        <v>103</v>
      </c>
      <c r="GMU92" t="s">
        <v>398</v>
      </c>
      <c r="GMV92">
        <v>1</v>
      </c>
      <c r="GMW92" t="s">
        <v>438</v>
      </c>
      <c r="GMX92" t="s">
        <v>439</v>
      </c>
      <c r="GMY92" t="s">
        <v>428</v>
      </c>
      <c r="GNA92" t="s">
        <v>104</v>
      </c>
      <c r="GNB92" t="s">
        <v>103</v>
      </c>
      <c r="GNC92" t="s">
        <v>398</v>
      </c>
      <c r="GND92">
        <v>1</v>
      </c>
      <c r="GNE92" t="s">
        <v>438</v>
      </c>
      <c r="GNF92" t="s">
        <v>439</v>
      </c>
      <c r="GNG92" t="s">
        <v>428</v>
      </c>
      <c r="GNI92" t="s">
        <v>104</v>
      </c>
      <c r="GNJ92" t="s">
        <v>103</v>
      </c>
      <c r="GNK92" t="s">
        <v>398</v>
      </c>
      <c r="GNL92">
        <v>1</v>
      </c>
      <c r="GNM92" t="s">
        <v>438</v>
      </c>
      <c r="GNN92" t="s">
        <v>439</v>
      </c>
      <c r="GNO92" t="s">
        <v>428</v>
      </c>
      <c r="GNQ92" t="s">
        <v>104</v>
      </c>
      <c r="GNR92" t="s">
        <v>103</v>
      </c>
      <c r="GNS92" t="s">
        <v>398</v>
      </c>
      <c r="GNT92">
        <v>1</v>
      </c>
      <c r="GNU92" t="s">
        <v>438</v>
      </c>
      <c r="GNV92" t="s">
        <v>439</v>
      </c>
      <c r="GNW92" t="s">
        <v>428</v>
      </c>
      <c r="GNY92" t="s">
        <v>104</v>
      </c>
      <c r="GNZ92" t="s">
        <v>103</v>
      </c>
      <c r="GOA92" t="s">
        <v>398</v>
      </c>
      <c r="GOB92">
        <v>1</v>
      </c>
      <c r="GOC92" t="s">
        <v>438</v>
      </c>
      <c r="GOD92" t="s">
        <v>439</v>
      </c>
      <c r="GOE92" t="s">
        <v>428</v>
      </c>
      <c r="GOG92" t="s">
        <v>104</v>
      </c>
      <c r="GOH92" t="s">
        <v>103</v>
      </c>
      <c r="GOI92" t="s">
        <v>398</v>
      </c>
      <c r="GOJ92">
        <v>1</v>
      </c>
      <c r="GOK92" t="s">
        <v>438</v>
      </c>
      <c r="GOL92" t="s">
        <v>439</v>
      </c>
      <c r="GOM92" t="s">
        <v>428</v>
      </c>
      <c r="GOO92" t="s">
        <v>104</v>
      </c>
      <c r="GOP92" t="s">
        <v>103</v>
      </c>
      <c r="GOQ92" t="s">
        <v>398</v>
      </c>
      <c r="GOR92">
        <v>1</v>
      </c>
      <c r="GOS92" t="s">
        <v>438</v>
      </c>
      <c r="GOT92" t="s">
        <v>439</v>
      </c>
      <c r="GOU92" t="s">
        <v>428</v>
      </c>
      <c r="GOW92" t="s">
        <v>104</v>
      </c>
      <c r="GOX92" t="s">
        <v>103</v>
      </c>
      <c r="GOY92" t="s">
        <v>398</v>
      </c>
      <c r="GOZ92">
        <v>1</v>
      </c>
      <c r="GPA92" t="s">
        <v>438</v>
      </c>
      <c r="GPB92" t="s">
        <v>439</v>
      </c>
      <c r="GPC92" t="s">
        <v>428</v>
      </c>
      <c r="GPE92" t="s">
        <v>104</v>
      </c>
      <c r="GPF92" t="s">
        <v>103</v>
      </c>
      <c r="GPG92" t="s">
        <v>398</v>
      </c>
      <c r="GPH92">
        <v>1</v>
      </c>
      <c r="GPI92" t="s">
        <v>438</v>
      </c>
      <c r="GPJ92" t="s">
        <v>439</v>
      </c>
      <c r="GPK92" t="s">
        <v>428</v>
      </c>
      <c r="GPM92" t="s">
        <v>104</v>
      </c>
      <c r="GPN92" t="s">
        <v>103</v>
      </c>
      <c r="GPO92" t="s">
        <v>398</v>
      </c>
      <c r="GPP92">
        <v>1</v>
      </c>
      <c r="GPQ92" t="s">
        <v>438</v>
      </c>
      <c r="GPR92" t="s">
        <v>439</v>
      </c>
      <c r="GPS92" t="s">
        <v>428</v>
      </c>
      <c r="GPU92" t="s">
        <v>104</v>
      </c>
      <c r="GPV92" t="s">
        <v>103</v>
      </c>
      <c r="GPW92" t="s">
        <v>398</v>
      </c>
      <c r="GPX92">
        <v>1</v>
      </c>
      <c r="GPY92" t="s">
        <v>438</v>
      </c>
      <c r="GPZ92" t="s">
        <v>439</v>
      </c>
      <c r="GQA92" t="s">
        <v>428</v>
      </c>
      <c r="GQC92" t="s">
        <v>104</v>
      </c>
      <c r="GQD92" t="s">
        <v>103</v>
      </c>
      <c r="GQE92" t="s">
        <v>398</v>
      </c>
      <c r="GQF92">
        <v>1</v>
      </c>
      <c r="GQG92" t="s">
        <v>438</v>
      </c>
      <c r="GQH92" t="s">
        <v>439</v>
      </c>
      <c r="GQI92" t="s">
        <v>428</v>
      </c>
      <c r="GQK92" t="s">
        <v>104</v>
      </c>
      <c r="GQL92" t="s">
        <v>103</v>
      </c>
      <c r="GQM92" t="s">
        <v>398</v>
      </c>
      <c r="GQN92">
        <v>1</v>
      </c>
      <c r="GQO92" t="s">
        <v>438</v>
      </c>
      <c r="GQP92" t="s">
        <v>439</v>
      </c>
      <c r="GQQ92" t="s">
        <v>428</v>
      </c>
      <c r="GQS92" t="s">
        <v>104</v>
      </c>
      <c r="GQT92" t="s">
        <v>103</v>
      </c>
      <c r="GQU92" t="s">
        <v>398</v>
      </c>
      <c r="GQV92">
        <v>1</v>
      </c>
      <c r="GQW92" t="s">
        <v>438</v>
      </c>
      <c r="GQX92" t="s">
        <v>439</v>
      </c>
      <c r="GQY92" t="s">
        <v>428</v>
      </c>
      <c r="GRA92" t="s">
        <v>104</v>
      </c>
      <c r="GRB92" t="s">
        <v>103</v>
      </c>
      <c r="GRC92" t="s">
        <v>398</v>
      </c>
      <c r="GRD92">
        <v>1</v>
      </c>
      <c r="GRE92" t="s">
        <v>438</v>
      </c>
      <c r="GRF92" t="s">
        <v>439</v>
      </c>
      <c r="GRG92" t="s">
        <v>428</v>
      </c>
      <c r="GRI92" t="s">
        <v>104</v>
      </c>
      <c r="GRJ92" t="s">
        <v>103</v>
      </c>
      <c r="GRK92" t="s">
        <v>398</v>
      </c>
      <c r="GRL92">
        <v>1</v>
      </c>
      <c r="GRM92" t="s">
        <v>438</v>
      </c>
      <c r="GRN92" t="s">
        <v>439</v>
      </c>
      <c r="GRO92" t="s">
        <v>428</v>
      </c>
      <c r="GRQ92" t="s">
        <v>104</v>
      </c>
      <c r="GRR92" t="s">
        <v>103</v>
      </c>
      <c r="GRS92" t="s">
        <v>398</v>
      </c>
      <c r="GRT92">
        <v>1</v>
      </c>
      <c r="GRU92" t="s">
        <v>438</v>
      </c>
      <c r="GRV92" t="s">
        <v>439</v>
      </c>
      <c r="GRW92" t="s">
        <v>428</v>
      </c>
      <c r="GRY92" t="s">
        <v>104</v>
      </c>
      <c r="GRZ92" t="s">
        <v>103</v>
      </c>
      <c r="GSA92" t="s">
        <v>398</v>
      </c>
      <c r="GSB92">
        <v>1</v>
      </c>
      <c r="GSC92" t="s">
        <v>438</v>
      </c>
      <c r="GSD92" t="s">
        <v>439</v>
      </c>
      <c r="GSE92" t="s">
        <v>428</v>
      </c>
      <c r="GSG92" t="s">
        <v>104</v>
      </c>
      <c r="GSH92" t="s">
        <v>103</v>
      </c>
      <c r="GSI92" t="s">
        <v>398</v>
      </c>
      <c r="GSJ92">
        <v>1</v>
      </c>
      <c r="GSK92" t="s">
        <v>438</v>
      </c>
      <c r="GSL92" t="s">
        <v>439</v>
      </c>
      <c r="GSM92" t="s">
        <v>428</v>
      </c>
      <c r="GSO92" t="s">
        <v>104</v>
      </c>
      <c r="GSP92" t="s">
        <v>103</v>
      </c>
      <c r="GSQ92" t="s">
        <v>398</v>
      </c>
      <c r="GSR92">
        <v>1</v>
      </c>
      <c r="GSS92" t="s">
        <v>438</v>
      </c>
      <c r="GST92" t="s">
        <v>439</v>
      </c>
      <c r="GSU92" t="s">
        <v>428</v>
      </c>
      <c r="GSW92" t="s">
        <v>104</v>
      </c>
      <c r="GSX92" t="s">
        <v>103</v>
      </c>
      <c r="GSY92" t="s">
        <v>398</v>
      </c>
      <c r="GSZ92">
        <v>1</v>
      </c>
      <c r="GTA92" t="s">
        <v>438</v>
      </c>
      <c r="GTB92" t="s">
        <v>439</v>
      </c>
      <c r="GTC92" t="s">
        <v>428</v>
      </c>
      <c r="GTE92" t="s">
        <v>104</v>
      </c>
      <c r="GTF92" t="s">
        <v>103</v>
      </c>
      <c r="GTG92" t="s">
        <v>398</v>
      </c>
      <c r="GTH92">
        <v>1</v>
      </c>
      <c r="GTI92" t="s">
        <v>438</v>
      </c>
      <c r="GTJ92" t="s">
        <v>439</v>
      </c>
      <c r="GTK92" t="s">
        <v>428</v>
      </c>
      <c r="GTM92" t="s">
        <v>104</v>
      </c>
      <c r="GTN92" t="s">
        <v>103</v>
      </c>
      <c r="GTO92" t="s">
        <v>398</v>
      </c>
      <c r="GTP92">
        <v>1</v>
      </c>
      <c r="GTQ92" t="s">
        <v>438</v>
      </c>
      <c r="GTR92" t="s">
        <v>439</v>
      </c>
      <c r="GTS92" t="s">
        <v>428</v>
      </c>
      <c r="GTU92" t="s">
        <v>104</v>
      </c>
      <c r="GTV92" t="s">
        <v>103</v>
      </c>
      <c r="GTW92" t="s">
        <v>398</v>
      </c>
      <c r="GTX92">
        <v>1</v>
      </c>
      <c r="GTY92" t="s">
        <v>438</v>
      </c>
      <c r="GTZ92" t="s">
        <v>439</v>
      </c>
      <c r="GUA92" t="s">
        <v>428</v>
      </c>
      <c r="GUC92" t="s">
        <v>104</v>
      </c>
      <c r="GUD92" t="s">
        <v>103</v>
      </c>
      <c r="GUE92" t="s">
        <v>398</v>
      </c>
      <c r="GUF92">
        <v>1</v>
      </c>
      <c r="GUG92" t="s">
        <v>438</v>
      </c>
      <c r="GUH92" t="s">
        <v>439</v>
      </c>
      <c r="GUI92" t="s">
        <v>428</v>
      </c>
      <c r="GUK92" t="s">
        <v>104</v>
      </c>
      <c r="GUL92" t="s">
        <v>103</v>
      </c>
      <c r="GUM92" t="s">
        <v>398</v>
      </c>
      <c r="GUN92">
        <v>1</v>
      </c>
      <c r="GUO92" t="s">
        <v>438</v>
      </c>
      <c r="GUP92" t="s">
        <v>439</v>
      </c>
      <c r="GUQ92" t="s">
        <v>428</v>
      </c>
      <c r="GUS92" t="s">
        <v>104</v>
      </c>
      <c r="GUT92" t="s">
        <v>103</v>
      </c>
      <c r="GUU92" t="s">
        <v>398</v>
      </c>
      <c r="GUV92">
        <v>1</v>
      </c>
      <c r="GUW92" t="s">
        <v>438</v>
      </c>
      <c r="GUX92" t="s">
        <v>439</v>
      </c>
      <c r="GUY92" t="s">
        <v>428</v>
      </c>
      <c r="GVA92" t="s">
        <v>104</v>
      </c>
      <c r="GVB92" t="s">
        <v>103</v>
      </c>
      <c r="GVC92" t="s">
        <v>398</v>
      </c>
      <c r="GVD92">
        <v>1</v>
      </c>
      <c r="GVE92" t="s">
        <v>438</v>
      </c>
      <c r="GVF92" t="s">
        <v>439</v>
      </c>
      <c r="GVG92" t="s">
        <v>428</v>
      </c>
      <c r="GVI92" t="s">
        <v>104</v>
      </c>
      <c r="GVJ92" t="s">
        <v>103</v>
      </c>
      <c r="GVK92" t="s">
        <v>398</v>
      </c>
      <c r="GVL92">
        <v>1</v>
      </c>
      <c r="GVM92" t="s">
        <v>438</v>
      </c>
      <c r="GVN92" t="s">
        <v>439</v>
      </c>
      <c r="GVO92" t="s">
        <v>428</v>
      </c>
      <c r="GVQ92" t="s">
        <v>104</v>
      </c>
      <c r="GVR92" t="s">
        <v>103</v>
      </c>
      <c r="GVS92" t="s">
        <v>398</v>
      </c>
      <c r="GVT92">
        <v>1</v>
      </c>
      <c r="GVU92" t="s">
        <v>438</v>
      </c>
      <c r="GVV92" t="s">
        <v>439</v>
      </c>
      <c r="GVW92" t="s">
        <v>428</v>
      </c>
      <c r="GVY92" t="s">
        <v>104</v>
      </c>
      <c r="GVZ92" t="s">
        <v>103</v>
      </c>
      <c r="GWA92" t="s">
        <v>398</v>
      </c>
      <c r="GWB92">
        <v>1</v>
      </c>
      <c r="GWC92" t="s">
        <v>438</v>
      </c>
      <c r="GWD92" t="s">
        <v>439</v>
      </c>
      <c r="GWE92" t="s">
        <v>428</v>
      </c>
      <c r="GWG92" t="s">
        <v>104</v>
      </c>
      <c r="GWH92" t="s">
        <v>103</v>
      </c>
      <c r="GWI92" t="s">
        <v>398</v>
      </c>
      <c r="GWJ92">
        <v>1</v>
      </c>
      <c r="GWK92" t="s">
        <v>438</v>
      </c>
      <c r="GWL92" t="s">
        <v>439</v>
      </c>
      <c r="GWM92" t="s">
        <v>428</v>
      </c>
      <c r="GWO92" t="s">
        <v>104</v>
      </c>
      <c r="GWP92" t="s">
        <v>103</v>
      </c>
      <c r="GWQ92" t="s">
        <v>398</v>
      </c>
      <c r="GWR92">
        <v>1</v>
      </c>
      <c r="GWS92" t="s">
        <v>438</v>
      </c>
      <c r="GWT92" t="s">
        <v>439</v>
      </c>
      <c r="GWU92" t="s">
        <v>428</v>
      </c>
      <c r="GWW92" t="s">
        <v>104</v>
      </c>
      <c r="GWX92" t="s">
        <v>103</v>
      </c>
      <c r="GWY92" t="s">
        <v>398</v>
      </c>
      <c r="GWZ92">
        <v>1</v>
      </c>
      <c r="GXA92" t="s">
        <v>438</v>
      </c>
      <c r="GXB92" t="s">
        <v>439</v>
      </c>
      <c r="GXC92" t="s">
        <v>428</v>
      </c>
      <c r="GXE92" t="s">
        <v>104</v>
      </c>
      <c r="GXF92" t="s">
        <v>103</v>
      </c>
      <c r="GXG92" t="s">
        <v>398</v>
      </c>
      <c r="GXH92">
        <v>1</v>
      </c>
      <c r="GXI92" t="s">
        <v>438</v>
      </c>
      <c r="GXJ92" t="s">
        <v>439</v>
      </c>
      <c r="GXK92" t="s">
        <v>428</v>
      </c>
      <c r="GXM92" t="s">
        <v>104</v>
      </c>
      <c r="GXN92" t="s">
        <v>103</v>
      </c>
      <c r="GXO92" t="s">
        <v>398</v>
      </c>
      <c r="GXP92">
        <v>1</v>
      </c>
      <c r="GXQ92" t="s">
        <v>438</v>
      </c>
      <c r="GXR92" t="s">
        <v>439</v>
      </c>
      <c r="GXS92" t="s">
        <v>428</v>
      </c>
      <c r="GXU92" t="s">
        <v>104</v>
      </c>
      <c r="GXV92" t="s">
        <v>103</v>
      </c>
      <c r="GXW92" t="s">
        <v>398</v>
      </c>
      <c r="GXX92">
        <v>1</v>
      </c>
      <c r="GXY92" t="s">
        <v>438</v>
      </c>
      <c r="GXZ92" t="s">
        <v>439</v>
      </c>
      <c r="GYA92" t="s">
        <v>428</v>
      </c>
      <c r="GYC92" t="s">
        <v>104</v>
      </c>
      <c r="GYD92" t="s">
        <v>103</v>
      </c>
      <c r="GYE92" t="s">
        <v>398</v>
      </c>
      <c r="GYF92">
        <v>1</v>
      </c>
      <c r="GYG92" t="s">
        <v>438</v>
      </c>
      <c r="GYH92" t="s">
        <v>439</v>
      </c>
      <c r="GYI92" t="s">
        <v>428</v>
      </c>
      <c r="GYK92" t="s">
        <v>104</v>
      </c>
      <c r="GYL92" t="s">
        <v>103</v>
      </c>
      <c r="GYM92" t="s">
        <v>398</v>
      </c>
      <c r="GYN92">
        <v>1</v>
      </c>
      <c r="GYO92" t="s">
        <v>438</v>
      </c>
      <c r="GYP92" t="s">
        <v>439</v>
      </c>
      <c r="GYQ92" t="s">
        <v>428</v>
      </c>
      <c r="GYS92" t="s">
        <v>104</v>
      </c>
      <c r="GYT92" t="s">
        <v>103</v>
      </c>
      <c r="GYU92" t="s">
        <v>398</v>
      </c>
      <c r="GYV92">
        <v>1</v>
      </c>
      <c r="GYW92" t="s">
        <v>438</v>
      </c>
      <c r="GYX92" t="s">
        <v>439</v>
      </c>
      <c r="GYY92" t="s">
        <v>428</v>
      </c>
      <c r="GZA92" t="s">
        <v>104</v>
      </c>
      <c r="GZB92" t="s">
        <v>103</v>
      </c>
      <c r="GZC92" t="s">
        <v>398</v>
      </c>
      <c r="GZD92">
        <v>1</v>
      </c>
      <c r="GZE92" t="s">
        <v>438</v>
      </c>
      <c r="GZF92" t="s">
        <v>439</v>
      </c>
      <c r="GZG92" t="s">
        <v>428</v>
      </c>
      <c r="GZI92" t="s">
        <v>104</v>
      </c>
      <c r="GZJ92" t="s">
        <v>103</v>
      </c>
      <c r="GZK92" t="s">
        <v>398</v>
      </c>
      <c r="GZL92">
        <v>1</v>
      </c>
      <c r="GZM92" t="s">
        <v>438</v>
      </c>
      <c r="GZN92" t="s">
        <v>439</v>
      </c>
      <c r="GZO92" t="s">
        <v>428</v>
      </c>
      <c r="GZQ92" t="s">
        <v>104</v>
      </c>
      <c r="GZR92" t="s">
        <v>103</v>
      </c>
      <c r="GZS92" t="s">
        <v>398</v>
      </c>
      <c r="GZT92">
        <v>1</v>
      </c>
      <c r="GZU92" t="s">
        <v>438</v>
      </c>
      <c r="GZV92" t="s">
        <v>439</v>
      </c>
      <c r="GZW92" t="s">
        <v>428</v>
      </c>
      <c r="GZY92" t="s">
        <v>104</v>
      </c>
      <c r="GZZ92" t="s">
        <v>103</v>
      </c>
      <c r="HAA92" t="s">
        <v>398</v>
      </c>
      <c r="HAB92">
        <v>1</v>
      </c>
      <c r="HAC92" t="s">
        <v>438</v>
      </c>
      <c r="HAD92" t="s">
        <v>439</v>
      </c>
      <c r="HAE92" t="s">
        <v>428</v>
      </c>
      <c r="HAG92" t="s">
        <v>104</v>
      </c>
      <c r="HAH92" t="s">
        <v>103</v>
      </c>
      <c r="HAI92" t="s">
        <v>398</v>
      </c>
      <c r="HAJ92">
        <v>1</v>
      </c>
      <c r="HAK92" t="s">
        <v>438</v>
      </c>
      <c r="HAL92" t="s">
        <v>439</v>
      </c>
      <c r="HAM92" t="s">
        <v>428</v>
      </c>
      <c r="HAO92" t="s">
        <v>104</v>
      </c>
      <c r="HAP92" t="s">
        <v>103</v>
      </c>
      <c r="HAQ92" t="s">
        <v>398</v>
      </c>
      <c r="HAR92">
        <v>1</v>
      </c>
      <c r="HAS92" t="s">
        <v>438</v>
      </c>
      <c r="HAT92" t="s">
        <v>439</v>
      </c>
      <c r="HAU92" t="s">
        <v>428</v>
      </c>
      <c r="HAW92" t="s">
        <v>104</v>
      </c>
      <c r="HAX92" t="s">
        <v>103</v>
      </c>
      <c r="HAY92" t="s">
        <v>398</v>
      </c>
      <c r="HAZ92">
        <v>1</v>
      </c>
      <c r="HBA92" t="s">
        <v>438</v>
      </c>
      <c r="HBB92" t="s">
        <v>439</v>
      </c>
      <c r="HBC92" t="s">
        <v>428</v>
      </c>
      <c r="HBE92" t="s">
        <v>104</v>
      </c>
      <c r="HBF92" t="s">
        <v>103</v>
      </c>
      <c r="HBG92" t="s">
        <v>398</v>
      </c>
      <c r="HBH92">
        <v>1</v>
      </c>
      <c r="HBI92" t="s">
        <v>438</v>
      </c>
      <c r="HBJ92" t="s">
        <v>439</v>
      </c>
      <c r="HBK92" t="s">
        <v>428</v>
      </c>
      <c r="HBM92" t="s">
        <v>104</v>
      </c>
      <c r="HBN92" t="s">
        <v>103</v>
      </c>
      <c r="HBO92" t="s">
        <v>398</v>
      </c>
      <c r="HBP92">
        <v>1</v>
      </c>
      <c r="HBQ92" t="s">
        <v>438</v>
      </c>
      <c r="HBR92" t="s">
        <v>439</v>
      </c>
      <c r="HBS92" t="s">
        <v>428</v>
      </c>
      <c r="HBU92" t="s">
        <v>104</v>
      </c>
      <c r="HBV92" t="s">
        <v>103</v>
      </c>
      <c r="HBW92" t="s">
        <v>398</v>
      </c>
      <c r="HBX92">
        <v>1</v>
      </c>
      <c r="HBY92" t="s">
        <v>438</v>
      </c>
      <c r="HBZ92" t="s">
        <v>439</v>
      </c>
      <c r="HCA92" t="s">
        <v>428</v>
      </c>
      <c r="HCC92" t="s">
        <v>104</v>
      </c>
      <c r="HCD92" t="s">
        <v>103</v>
      </c>
      <c r="HCE92" t="s">
        <v>398</v>
      </c>
      <c r="HCF92">
        <v>1</v>
      </c>
      <c r="HCG92" t="s">
        <v>438</v>
      </c>
      <c r="HCH92" t="s">
        <v>439</v>
      </c>
      <c r="HCI92" t="s">
        <v>428</v>
      </c>
      <c r="HCK92" t="s">
        <v>104</v>
      </c>
      <c r="HCL92" t="s">
        <v>103</v>
      </c>
      <c r="HCM92" t="s">
        <v>398</v>
      </c>
      <c r="HCN92">
        <v>1</v>
      </c>
      <c r="HCO92" t="s">
        <v>438</v>
      </c>
      <c r="HCP92" t="s">
        <v>439</v>
      </c>
      <c r="HCQ92" t="s">
        <v>428</v>
      </c>
      <c r="HCS92" t="s">
        <v>104</v>
      </c>
      <c r="HCT92" t="s">
        <v>103</v>
      </c>
      <c r="HCU92" t="s">
        <v>398</v>
      </c>
      <c r="HCV92">
        <v>1</v>
      </c>
      <c r="HCW92" t="s">
        <v>438</v>
      </c>
      <c r="HCX92" t="s">
        <v>439</v>
      </c>
      <c r="HCY92" t="s">
        <v>428</v>
      </c>
      <c r="HDA92" t="s">
        <v>104</v>
      </c>
      <c r="HDB92" t="s">
        <v>103</v>
      </c>
      <c r="HDC92" t="s">
        <v>398</v>
      </c>
      <c r="HDD92">
        <v>1</v>
      </c>
      <c r="HDE92" t="s">
        <v>438</v>
      </c>
      <c r="HDF92" t="s">
        <v>439</v>
      </c>
      <c r="HDG92" t="s">
        <v>428</v>
      </c>
      <c r="HDI92" t="s">
        <v>104</v>
      </c>
      <c r="HDJ92" t="s">
        <v>103</v>
      </c>
      <c r="HDK92" t="s">
        <v>398</v>
      </c>
      <c r="HDL92">
        <v>1</v>
      </c>
      <c r="HDM92" t="s">
        <v>438</v>
      </c>
      <c r="HDN92" t="s">
        <v>439</v>
      </c>
      <c r="HDO92" t="s">
        <v>428</v>
      </c>
      <c r="HDQ92" t="s">
        <v>104</v>
      </c>
      <c r="HDR92" t="s">
        <v>103</v>
      </c>
      <c r="HDS92" t="s">
        <v>398</v>
      </c>
      <c r="HDT92">
        <v>1</v>
      </c>
      <c r="HDU92" t="s">
        <v>438</v>
      </c>
      <c r="HDV92" t="s">
        <v>439</v>
      </c>
      <c r="HDW92" t="s">
        <v>428</v>
      </c>
      <c r="HDY92" t="s">
        <v>104</v>
      </c>
      <c r="HDZ92" t="s">
        <v>103</v>
      </c>
      <c r="HEA92" t="s">
        <v>398</v>
      </c>
      <c r="HEB92">
        <v>1</v>
      </c>
      <c r="HEC92" t="s">
        <v>438</v>
      </c>
      <c r="HED92" t="s">
        <v>439</v>
      </c>
      <c r="HEE92" t="s">
        <v>428</v>
      </c>
      <c r="HEG92" t="s">
        <v>104</v>
      </c>
      <c r="HEH92" t="s">
        <v>103</v>
      </c>
      <c r="HEI92" t="s">
        <v>398</v>
      </c>
      <c r="HEJ92">
        <v>1</v>
      </c>
      <c r="HEK92" t="s">
        <v>438</v>
      </c>
      <c r="HEL92" t="s">
        <v>439</v>
      </c>
      <c r="HEM92" t="s">
        <v>428</v>
      </c>
      <c r="HEO92" t="s">
        <v>104</v>
      </c>
      <c r="HEP92" t="s">
        <v>103</v>
      </c>
      <c r="HEQ92" t="s">
        <v>398</v>
      </c>
      <c r="HER92">
        <v>1</v>
      </c>
      <c r="HES92" t="s">
        <v>438</v>
      </c>
      <c r="HET92" t="s">
        <v>439</v>
      </c>
      <c r="HEU92" t="s">
        <v>428</v>
      </c>
      <c r="HEW92" t="s">
        <v>104</v>
      </c>
      <c r="HEX92" t="s">
        <v>103</v>
      </c>
      <c r="HEY92" t="s">
        <v>398</v>
      </c>
      <c r="HEZ92">
        <v>1</v>
      </c>
      <c r="HFA92" t="s">
        <v>438</v>
      </c>
      <c r="HFB92" t="s">
        <v>439</v>
      </c>
      <c r="HFC92" t="s">
        <v>428</v>
      </c>
      <c r="HFE92" t="s">
        <v>104</v>
      </c>
      <c r="HFF92" t="s">
        <v>103</v>
      </c>
      <c r="HFG92" t="s">
        <v>398</v>
      </c>
      <c r="HFH92">
        <v>1</v>
      </c>
      <c r="HFI92" t="s">
        <v>438</v>
      </c>
      <c r="HFJ92" t="s">
        <v>439</v>
      </c>
      <c r="HFK92" t="s">
        <v>428</v>
      </c>
      <c r="HFM92" t="s">
        <v>104</v>
      </c>
      <c r="HFN92" t="s">
        <v>103</v>
      </c>
      <c r="HFO92" t="s">
        <v>398</v>
      </c>
      <c r="HFP92">
        <v>1</v>
      </c>
      <c r="HFQ92" t="s">
        <v>438</v>
      </c>
      <c r="HFR92" t="s">
        <v>439</v>
      </c>
      <c r="HFS92" t="s">
        <v>428</v>
      </c>
      <c r="HFU92" t="s">
        <v>104</v>
      </c>
      <c r="HFV92" t="s">
        <v>103</v>
      </c>
      <c r="HFW92" t="s">
        <v>398</v>
      </c>
      <c r="HFX92">
        <v>1</v>
      </c>
      <c r="HFY92" t="s">
        <v>438</v>
      </c>
      <c r="HFZ92" t="s">
        <v>439</v>
      </c>
      <c r="HGA92" t="s">
        <v>428</v>
      </c>
      <c r="HGC92" t="s">
        <v>104</v>
      </c>
      <c r="HGD92" t="s">
        <v>103</v>
      </c>
      <c r="HGE92" t="s">
        <v>398</v>
      </c>
      <c r="HGF92">
        <v>1</v>
      </c>
      <c r="HGG92" t="s">
        <v>438</v>
      </c>
      <c r="HGH92" t="s">
        <v>439</v>
      </c>
      <c r="HGI92" t="s">
        <v>428</v>
      </c>
      <c r="HGK92" t="s">
        <v>104</v>
      </c>
      <c r="HGL92" t="s">
        <v>103</v>
      </c>
      <c r="HGM92" t="s">
        <v>398</v>
      </c>
      <c r="HGN92">
        <v>1</v>
      </c>
      <c r="HGO92" t="s">
        <v>438</v>
      </c>
      <c r="HGP92" t="s">
        <v>439</v>
      </c>
      <c r="HGQ92" t="s">
        <v>428</v>
      </c>
      <c r="HGS92" t="s">
        <v>104</v>
      </c>
      <c r="HGT92" t="s">
        <v>103</v>
      </c>
      <c r="HGU92" t="s">
        <v>398</v>
      </c>
      <c r="HGV92">
        <v>1</v>
      </c>
      <c r="HGW92" t="s">
        <v>438</v>
      </c>
      <c r="HGX92" t="s">
        <v>439</v>
      </c>
      <c r="HGY92" t="s">
        <v>428</v>
      </c>
      <c r="HHA92" t="s">
        <v>104</v>
      </c>
      <c r="HHB92" t="s">
        <v>103</v>
      </c>
      <c r="HHC92" t="s">
        <v>398</v>
      </c>
      <c r="HHD92">
        <v>1</v>
      </c>
      <c r="HHE92" t="s">
        <v>438</v>
      </c>
      <c r="HHF92" t="s">
        <v>439</v>
      </c>
      <c r="HHG92" t="s">
        <v>428</v>
      </c>
      <c r="HHI92" t="s">
        <v>104</v>
      </c>
      <c r="HHJ92" t="s">
        <v>103</v>
      </c>
      <c r="HHK92" t="s">
        <v>398</v>
      </c>
      <c r="HHL92">
        <v>1</v>
      </c>
      <c r="HHM92" t="s">
        <v>438</v>
      </c>
      <c r="HHN92" t="s">
        <v>439</v>
      </c>
      <c r="HHO92" t="s">
        <v>428</v>
      </c>
      <c r="HHQ92" t="s">
        <v>104</v>
      </c>
      <c r="HHR92" t="s">
        <v>103</v>
      </c>
      <c r="HHS92" t="s">
        <v>398</v>
      </c>
      <c r="HHT92">
        <v>1</v>
      </c>
      <c r="HHU92" t="s">
        <v>438</v>
      </c>
      <c r="HHV92" t="s">
        <v>439</v>
      </c>
      <c r="HHW92" t="s">
        <v>428</v>
      </c>
      <c r="HHY92" t="s">
        <v>104</v>
      </c>
      <c r="HHZ92" t="s">
        <v>103</v>
      </c>
      <c r="HIA92" t="s">
        <v>398</v>
      </c>
      <c r="HIB92">
        <v>1</v>
      </c>
      <c r="HIC92" t="s">
        <v>438</v>
      </c>
      <c r="HID92" t="s">
        <v>439</v>
      </c>
      <c r="HIE92" t="s">
        <v>428</v>
      </c>
      <c r="HIG92" t="s">
        <v>104</v>
      </c>
      <c r="HIH92" t="s">
        <v>103</v>
      </c>
      <c r="HII92" t="s">
        <v>398</v>
      </c>
      <c r="HIJ92">
        <v>1</v>
      </c>
      <c r="HIK92" t="s">
        <v>438</v>
      </c>
      <c r="HIL92" t="s">
        <v>439</v>
      </c>
      <c r="HIM92" t="s">
        <v>428</v>
      </c>
      <c r="HIO92" t="s">
        <v>104</v>
      </c>
      <c r="HIP92" t="s">
        <v>103</v>
      </c>
      <c r="HIQ92" t="s">
        <v>398</v>
      </c>
      <c r="HIR92">
        <v>1</v>
      </c>
      <c r="HIS92" t="s">
        <v>438</v>
      </c>
      <c r="HIT92" t="s">
        <v>439</v>
      </c>
      <c r="HIU92" t="s">
        <v>428</v>
      </c>
      <c r="HIW92" t="s">
        <v>104</v>
      </c>
      <c r="HIX92" t="s">
        <v>103</v>
      </c>
      <c r="HIY92" t="s">
        <v>398</v>
      </c>
      <c r="HIZ92">
        <v>1</v>
      </c>
      <c r="HJA92" t="s">
        <v>438</v>
      </c>
      <c r="HJB92" t="s">
        <v>439</v>
      </c>
      <c r="HJC92" t="s">
        <v>428</v>
      </c>
      <c r="HJE92" t="s">
        <v>104</v>
      </c>
      <c r="HJF92" t="s">
        <v>103</v>
      </c>
      <c r="HJG92" t="s">
        <v>398</v>
      </c>
      <c r="HJH92">
        <v>1</v>
      </c>
      <c r="HJI92" t="s">
        <v>438</v>
      </c>
      <c r="HJJ92" t="s">
        <v>439</v>
      </c>
      <c r="HJK92" t="s">
        <v>428</v>
      </c>
      <c r="HJM92" t="s">
        <v>104</v>
      </c>
      <c r="HJN92" t="s">
        <v>103</v>
      </c>
      <c r="HJO92" t="s">
        <v>398</v>
      </c>
      <c r="HJP92">
        <v>1</v>
      </c>
      <c r="HJQ92" t="s">
        <v>438</v>
      </c>
      <c r="HJR92" t="s">
        <v>439</v>
      </c>
      <c r="HJS92" t="s">
        <v>428</v>
      </c>
      <c r="HJU92" t="s">
        <v>104</v>
      </c>
      <c r="HJV92" t="s">
        <v>103</v>
      </c>
      <c r="HJW92" t="s">
        <v>398</v>
      </c>
      <c r="HJX92">
        <v>1</v>
      </c>
      <c r="HJY92" t="s">
        <v>438</v>
      </c>
      <c r="HJZ92" t="s">
        <v>439</v>
      </c>
      <c r="HKA92" t="s">
        <v>428</v>
      </c>
      <c r="HKC92" t="s">
        <v>104</v>
      </c>
      <c r="HKD92" t="s">
        <v>103</v>
      </c>
      <c r="HKE92" t="s">
        <v>398</v>
      </c>
      <c r="HKF92">
        <v>1</v>
      </c>
      <c r="HKG92" t="s">
        <v>438</v>
      </c>
      <c r="HKH92" t="s">
        <v>439</v>
      </c>
      <c r="HKI92" t="s">
        <v>428</v>
      </c>
      <c r="HKK92" t="s">
        <v>104</v>
      </c>
      <c r="HKL92" t="s">
        <v>103</v>
      </c>
      <c r="HKM92" t="s">
        <v>398</v>
      </c>
      <c r="HKN92">
        <v>1</v>
      </c>
      <c r="HKO92" t="s">
        <v>438</v>
      </c>
      <c r="HKP92" t="s">
        <v>439</v>
      </c>
      <c r="HKQ92" t="s">
        <v>428</v>
      </c>
      <c r="HKS92" t="s">
        <v>104</v>
      </c>
      <c r="HKT92" t="s">
        <v>103</v>
      </c>
      <c r="HKU92" t="s">
        <v>398</v>
      </c>
      <c r="HKV92">
        <v>1</v>
      </c>
      <c r="HKW92" t="s">
        <v>438</v>
      </c>
      <c r="HKX92" t="s">
        <v>439</v>
      </c>
      <c r="HKY92" t="s">
        <v>428</v>
      </c>
      <c r="HLA92" t="s">
        <v>104</v>
      </c>
      <c r="HLB92" t="s">
        <v>103</v>
      </c>
      <c r="HLC92" t="s">
        <v>398</v>
      </c>
      <c r="HLD92">
        <v>1</v>
      </c>
      <c r="HLE92" t="s">
        <v>438</v>
      </c>
      <c r="HLF92" t="s">
        <v>439</v>
      </c>
      <c r="HLG92" t="s">
        <v>428</v>
      </c>
      <c r="HLI92" t="s">
        <v>104</v>
      </c>
      <c r="HLJ92" t="s">
        <v>103</v>
      </c>
      <c r="HLK92" t="s">
        <v>398</v>
      </c>
      <c r="HLL92">
        <v>1</v>
      </c>
      <c r="HLM92" t="s">
        <v>438</v>
      </c>
      <c r="HLN92" t="s">
        <v>439</v>
      </c>
      <c r="HLO92" t="s">
        <v>428</v>
      </c>
      <c r="HLQ92" t="s">
        <v>104</v>
      </c>
      <c r="HLR92" t="s">
        <v>103</v>
      </c>
      <c r="HLS92" t="s">
        <v>398</v>
      </c>
      <c r="HLT92">
        <v>1</v>
      </c>
      <c r="HLU92" t="s">
        <v>438</v>
      </c>
      <c r="HLV92" t="s">
        <v>439</v>
      </c>
      <c r="HLW92" t="s">
        <v>428</v>
      </c>
      <c r="HLY92" t="s">
        <v>104</v>
      </c>
      <c r="HLZ92" t="s">
        <v>103</v>
      </c>
      <c r="HMA92" t="s">
        <v>398</v>
      </c>
      <c r="HMB92">
        <v>1</v>
      </c>
      <c r="HMC92" t="s">
        <v>438</v>
      </c>
      <c r="HMD92" t="s">
        <v>439</v>
      </c>
      <c r="HME92" t="s">
        <v>428</v>
      </c>
      <c r="HMG92" t="s">
        <v>104</v>
      </c>
      <c r="HMH92" t="s">
        <v>103</v>
      </c>
      <c r="HMI92" t="s">
        <v>398</v>
      </c>
      <c r="HMJ92">
        <v>1</v>
      </c>
      <c r="HMK92" t="s">
        <v>438</v>
      </c>
      <c r="HML92" t="s">
        <v>439</v>
      </c>
      <c r="HMM92" t="s">
        <v>428</v>
      </c>
      <c r="HMO92" t="s">
        <v>104</v>
      </c>
      <c r="HMP92" t="s">
        <v>103</v>
      </c>
      <c r="HMQ92" t="s">
        <v>398</v>
      </c>
      <c r="HMR92">
        <v>1</v>
      </c>
      <c r="HMS92" t="s">
        <v>438</v>
      </c>
      <c r="HMT92" t="s">
        <v>439</v>
      </c>
      <c r="HMU92" t="s">
        <v>428</v>
      </c>
      <c r="HMW92" t="s">
        <v>104</v>
      </c>
      <c r="HMX92" t="s">
        <v>103</v>
      </c>
      <c r="HMY92" t="s">
        <v>398</v>
      </c>
      <c r="HMZ92">
        <v>1</v>
      </c>
      <c r="HNA92" t="s">
        <v>438</v>
      </c>
      <c r="HNB92" t="s">
        <v>439</v>
      </c>
      <c r="HNC92" t="s">
        <v>428</v>
      </c>
      <c r="HNE92" t="s">
        <v>104</v>
      </c>
      <c r="HNF92" t="s">
        <v>103</v>
      </c>
      <c r="HNG92" t="s">
        <v>398</v>
      </c>
      <c r="HNH92">
        <v>1</v>
      </c>
      <c r="HNI92" t="s">
        <v>438</v>
      </c>
      <c r="HNJ92" t="s">
        <v>439</v>
      </c>
      <c r="HNK92" t="s">
        <v>428</v>
      </c>
      <c r="HNM92" t="s">
        <v>104</v>
      </c>
      <c r="HNN92" t="s">
        <v>103</v>
      </c>
      <c r="HNO92" t="s">
        <v>398</v>
      </c>
      <c r="HNP92">
        <v>1</v>
      </c>
      <c r="HNQ92" t="s">
        <v>438</v>
      </c>
      <c r="HNR92" t="s">
        <v>439</v>
      </c>
      <c r="HNS92" t="s">
        <v>428</v>
      </c>
      <c r="HNU92" t="s">
        <v>104</v>
      </c>
      <c r="HNV92" t="s">
        <v>103</v>
      </c>
      <c r="HNW92" t="s">
        <v>398</v>
      </c>
      <c r="HNX92">
        <v>1</v>
      </c>
      <c r="HNY92" t="s">
        <v>438</v>
      </c>
      <c r="HNZ92" t="s">
        <v>439</v>
      </c>
      <c r="HOA92" t="s">
        <v>428</v>
      </c>
      <c r="HOC92" t="s">
        <v>104</v>
      </c>
      <c r="HOD92" t="s">
        <v>103</v>
      </c>
      <c r="HOE92" t="s">
        <v>398</v>
      </c>
      <c r="HOF92">
        <v>1</v>
      </c>
      <c r="HOG92" t="s">
        <v>438</v>
      </c>
      <c r="HOH92" t="s">
        <v>439</v>
      </c>
      <c r="HOI92" t="s">
        <v>428</v>
      </c>
      <c r="HOK92" t="s">
        <v>104</v>
      </c>
      <c r="HOL92" t="s">
        <v>103</v>
      </c>
      <c r="HOM92" t="s">
        <v>398</v>
      </c>
      <c r="HON92">
        <v>1</v>
      </c>
      <c r="HOO92" t="s">
        <v>438</v>
      </c>
      <c r="HOP92" t="s">
        <v>439</v>
      </c>
      <c r="HOQ92" t="s">
        <v>428</v>
      </c>
      <c r="HOS92" t="s">
        <v>104</v>
      </c>
      <c r="HOT92" t="s">
        <v>103</v>
      </c>
      <c r="HOU92" t="s">
        <v>398</v>
      </c>
      <c r="HOV92">
        <v>1</v>
      </c>
      <c r="HOW92" t="s">
        <v>438</v>
      </c>
      <c r="HOX92" t="s">
        <v>439</v>
      </c>
      <c r="HOY92" t="s">
        <v>428</v>
      </c>
      <c r="HPA92" t="s">
        <v>104</v>
      </c>
      <c r="HPB92" t="s">
        <v>103</v>
      </c>
      <c r="HPC92" t="s">
        <v>398</v>
      </c>
      <c r="HPD92">
        <v>1</v>
      </c>
      <c r="HPE92" t="s">
        <v>438</v>
      </c>
      <c r="HPF92" t="s">
        <v>439</v>
      </c>
      <c r="HPG92" t="s">
        <v>428</v>
      </c>
      <c r="HPI92" t="s">
        <v>104</v>
      </c>
      <c r="HPJ92" t="s">
        <v>103</v>
      </c>
      <c r="HPK92" t="s">
        <v>398</v>
      </c>
      <c r="HPL92">
        <v>1</v>
      </c>
      <c r="HPM92" t="s">
        <v>438</v>
      </c>
      <c r="HPN92" t="s">
        <v>439</v>
      </c>
      <c r="HPO92" t="s">
        <v>428</v>
      </c>
      <c r="HPQ92" t="s">
        <v>104</v>
      </c>
      <c r="HPR92" t="s">
        <v>103</v>
      </c>
      <c r="HPS92" t="s">
        <v>398</v>
      </c>
      <c r="HPT92">
        <v>1</v>
      </c>
      <c r="HPU92" t="s">
        <v>438</v>
      </c>
      <c r="HPV92" t="s">
        <v>439</v>
      </c>
      <c r="HPW92" t="s">
        <v>428</v>
      </c>
      <c r="HPY92" t="s">
        <v>104</v>
      </c>
      <c r="HPZ92" t="s">
        <v>103</v>
      </c>
      <c r="HQA92" t="s">
        <v>398</v>
      </c>
      <c r="HQB92">
        <v>1</v>
      </c>
      <c r="HQC92" t="s">
        <v>438</v>
      </c>
      <c r="HQD92" t="s">
        <v>439</v>
      </c>
      <c r="HQE92" t="s">
        <v>428</v>
      </c>
      <c r="HQG92" t="s">
        <v>104</v>
      </c>
      <c r="HQH92" t="s">
        <v>103</v>
      </c>
      <c r="HQI92" t="s">
        <v>398</v>
      </c>
      <c r="HQJ92">
        <v>1</v>
      </c>
      <c r="HQK92" t="s">
        <v>438</v>
      </c>
      <c r="HQL92" t="s">
        <v>439</v>
      </c>
      <c r="HQM92" t="s">
        <v>428</v>
      </c>
      <c r="HQO92" t="s">
        <v>104</v>
      </c>
      <c r="HQP92" t="s">
        <v>103</v>
      </c>
      <c r="HQQ92" t="s">
        <v>398</v>
      </c>
      <c r="HQR92">
        <v>1</v>
      </c>
      <c r="HQS92" t="s">
        <v>438</v>
      </c>
      <c r="HQT92" t="s">
        <v>439</v>
      </c>
      <c r="HQU92" t="s">
        <v>428</v>
      </c>
      <c r="HQW92" t="s">
        <v>104</v>
      </c>
      <c r="HQX92" t="s">
        <v>103</v>
      </c>
      <c r="HQY92" t="s">
        <v>398</v>
      </c>
      <c r="HQZ92">
        <v>1</v>
      </c>
      <c r="HRA92" t="s">
        <v>438</v>
      </c>
      <c r="HRB92" t="s">
        <v>439</v>
      </c>
      <c r="HRC92" t="s">
        <v>428</v>
      </c>
      <c r="HRE92" t="s">
        <v>104</v>
      </c>
      <c r="HRF92" t="s">
        <v>103</v>
      </c>
      <c r="HRG92" t="s">
        <v>398</v>
      </c>
      <c r="HRH92">
        <v>1</v>
      </c>
      <c r="HRI92" t="s">
        <v>438</v>
      </c>
      <c r="HRJ92" t="s">
        <v>439</v>
      </c>
      <c r="HRK92" t="s">
        <v>428</v>
      </c>
      <c r="HRM92" t="s">
        <v>104</v>
      </c>
      <c r="HRN92" t="s">
        <v>103</v>
      </c>
      <c r="HRO92" t="s">
        <v>398</v>
      </c>
      <c r="HRP92">
        <v>1</v>
      </c>
      <c r="HRQ92" t="s">
        <v>438</v>
      </c>
      <c r="HRR92" t="s">
        <v>439</v>
      </c>
      <c r="HRS92" t="s">
        <v>428</v>
      </c>
      <c r="HRU92" t="s">
        <v>104</v>
      </c>
      <c r="HRV92" t="s">
        <v>103</v>
      </c>
      <c r="HRW92" t="s">
        <v>398</v>
      </c>
      <c r="HRX92">
        <v>1</v>
      </c>
      <c r="HRY92" t="s">
        <v>438</v>
      </c>
      <c r="HRZ92" t="s">
        <v>439</v>
      </c>
      <c r="HSA92" t="s">
        <v>428</v>
      </c>
      <c r="HSC92" t="s">
        <v>104</v>
      </c>
      <c r="HSD92" t="s">
        <v>103</v>
      </c>
      <c r="HSE92" t="s">
        <v>398</v>
      </c>
      <c r="HSF92">
        <v>1</v>
      </c>
      <c r="HSG92" t="s">
        <v>438</v>
      </c>
      <c r="HSH92" t="s">
        <v>439</v>
      </c>
      <c r="HSI92" t="s">
        <v>428</v>
      </c>
      <c r="HSK92" t="s">
        <v>104</v>
      </c>
      <c r="HSL92" t="s">
        <v>103</v>
      </c>
      <c r="HSM92" t="s">
        <v>398</v>
      </c>
      <c r="HSN92">
        <v>1</v>
      </c>
      <c r="HSO92" t="s">
        <v>438</v>
      </c>
      <c r="HSP92" t="s">
        <v>439</v>
      </c>
      <c r="HSQ92" t="s">
        <v>428</v>
      </c>
      <c r="HSS92" t="s">
        <v>104</v>
      </c>
      <c r="HST92" t="s">
        <v>103</v>
      </c>
      <c r="HSU92" t="s">
        <v>398</v>
      </c>
      <c r="HSV92">
        <v>1</v>
      </c>
      <c r="HSW92" t="s">
        <v>438</v>
      </c>
      <c r="HSX92" t="s">
        <v>439</v>
      </c>
      <c r="HSY92" t="s">
        <v>428</v>
      </c>
      <c r="HTA92" t="s">
        <v>104</v>
      </c>
      <c r="HTB92" t="s">
        <v>103</v>
      </c>
      <c r="HTC92" t="s">
        <v>398</v>
      </c>
      <c r="HTD92">
        <v>1</v>
      </c>
      <c r="HTE92" t="s">
        <v>438</v>
      </c>
      <c r="HTF92" t="s">
        <v>439</v>
      </c>
      <c r="HTG92" t="s">
        <v>428</v>
      </c>
      <c r="HTI92" t="s">
        <v>104</v>
      </c>
      <c r="HTJ92" t="s">
        <v>103</v>
      </c>
      <c r="HTK92" t="s">
        <v>398</v>
      </c>
      <c r="HTL92">
        <v>1</v>
      </c>
      <c r="HTM92" t="s">
        <v>438</v>
      </c>
      <c r="HTN92" t="s">
        <v>439</v>
      </c>
      <c r="HTO92" t="s">
        <v>428</v>
      </c>
      <c r="HTQ92" t="s">
        <v>104</v>
      </c>
      <c r="HTR92" t="s">
        <v>103</v>
      </c>
      <c r="HTS92" t="s">
        <v>398</v>
      </c>
      <c r="HTT92">
        <v>1</v>
      </c>
      <c r="HTU92" t="s">
        <v>438</v>
      </c>
      <c r="HTV92" t="s">
        <v>439</v>
      </c>
      <c r="HTW92" t="s">
        <v>428</v>
      </c>
      <c r="HTY92" t="s">
        <v>104</v>
      </c>
      <c r="HTZ92" t="s">
        <v>103</v>
      </c>
      <c r="HUA92" t="s">
        <v>398</v>
      </c>
      <c r="HUB92">
        <v>1</v>
      </c>
      <c r="HUC92" t="s">
        <v>438</v>
      </c>
      <c r="HUD92" t="s">
        <v>439</v>
      </c>
      <c r="HUE92" t="s">
        <v>428</v>
      </c>
      <c r="HUG92" t="s">
        <v>104</v>
      </c>
      <c r="HUH92" t="s">
        <v>103</v>
      </c>
      <c r="HUI92" t="s">
        <v>398</v>
      </c>
      <c r="HUJ92">
        <v>1</v>
      </c>
      <c r="HUK92" t="s">
        <v>438</v>
      </c>
      <c r="HUL92" t="s">
        <v>439</v>
      </c>
      <c r="HUM92" t="s">
        <v>428</v>
      </c>
      <c r="HUO92" t="s">
        <v>104</v>
      </c>
      <c r="HUP92" t="s">
        <v>103</v>
      </c>
      <c r="HUQ92" t="s">
        <v>398</v>
      </c>
      <c r="HUR92">
        <v>1</v>
      </c>
      <c r="HUS92" t="s">
        <v>438</v>
      </c>
      <c r="HUT92" t="s">
        <v>439</v>
      </c>
      <c r="HUU92" t="s">
        <v>428</v>
      </c>
      <c r="HUW92" t="s">
        <v>104</v>
      </c>
      <c r="HUX92" t="s">
        <v>103</v>
      </c>
      <c r="HUY92" t="s">
        <v>398</v>
      </c>
      <c r="HUZ92">
        <v>1</v>
      </c>
      <c r="HVA92" t="s">
        <v>438</v>
      </c>
      <c r="HVB92" t="s">
        <v>439</v>
      </c>
      <c r="HVC92" t="s">
        <v>428</v>
      </c>
      <c r="HVE92" t="s">
        <v>104</v>
      </c>
      <c r="HVF92" t="s">
        <v>103</v>
      </c>
      <c r="HVG92" t="s">
        <v>398</v>
      </c>
      <c r="HVH92">
        <v>1</v>
      </c>
      <c r="HVI92" t="s">
        <v>438</v>
      </c>
      <c r="HVJ92" t="s">
        <v>439</v>
      </c>
      <c r="HVK92" t="s">
        <v>428</v>
      </c>
      <c r="HVM92" t="s">
        <v>104</v>
      </c>
      <c r="HVN92" t="s">
        <v>103</v>
      </c>
      <c r="HVO92" t="s">
        <v>398</v>
      </c>
      <c r="HVP92">
        <v>1</v>
      </c>
      <c r="HVQ92" t="s">
        <v>438</v>
      </c>
      <c r="HVR92" t="s">
        <v>439</v>
      </c>
      <c r="HVS92" t="s">
        <v>428</v>
      </c>
      <c r="HVU92" t="s">
        <v>104</v>
      </c>
      <c r="HVV92" t="s">
        <v>103</v>
      </c>
      <c r="HVW92" t="s">
        <v>398</v>
      </c>
      <c r="HVX92">
        <v>1</v>
      </c>
      <c r="HVY92" t="s">
        <v>438</v>
      </c>
      <c r="HVZ92" t="s">
        <v>439</v>
      </c>
      <c r="HWA92" t="s">
        <v>428</v>
      </c>
      <c r="HWC92" t="s">
        <v>104</v>
      </c>
      <c r="HWD92" t="s">
        <v>103</v>
      </c>
      <c r="HWE92" t="s">
        <v>398</v>
      </c>
      <c r="HWF92">
        <v>1</v>
      </c>
      <c r="HWG92" t="s">
        <v>438</v>
      </c>
      <c r="HWH92" t="s">
        <v>439</v>
      </c>
      <c r="HWI92" t="s">
        <v>428</v>
      </c>
      <c r="HWK92" t="s">
        <v>104</v>
      </c>
      <c r="HWL92" t="s">
        <v>103</v>
      </c>
      <c r="HWM92" t="s">
        <v>398</v>
      </c>
      <c r="HWN92">
        <v>1</v>
      </c>
      <c r="HWO92" t="s">
        <v>438</v>
      </c>
      <c r="HWP92" t="s">
        <v>439</v>
      </c>
      <c r="HWQ92" t="s">
        <v>428</v>
      </c>
      <c r="HWS92" t="s">
        <v>104</v>
      </c>
      <c r="HWT92" t="s">
        <v>103</v>
      </c>
      <c r="HWU92" t="s">
        <v>398</v>
      </c>
      <c r="HWV92">
        <v>1</v>
      </c>
      <c r="HWW92" t="s">
        <v>438</v>
      </c>
      <c r="HWX92" t="s">
        <v>439</v>
      </c>
      <c r="HWY92" t="s">
        <v>428</v>
      </c>
      <c r="HXA92" t="s">
        <v>104</v>
      </c>
      <c r="HXB92" t="s">
        <v>103</v>
      </c>
      <c r="HXC92" t="s">
        <v>398</v>
      </c>
      <c r="HXD92">
        <v>1</v>
      </c>
      <c r="HXE92" t="s">
        <v>438</v>
      </c>
      <c r="HXF92" t="s">
        <v>439</v>
      </c>
      <c r="HXG92" t="s">
        <v>428</v>
      </c>
      <c r="HXI92" t="s">
        <v>104</v>
      </c>
      <c r="HXJ92" t="s">
        <v>103</v>
      </c>
      <c r="HXK92" t="s">
        <v>398</v>
      </c>
      <c r="HXL92">
        <v>1</v>
      </c>
      <c r="HXM92" t="s">
        <v>438</v>
      </c>
      <c r="HXN92" t="s">
        <v>439</v>
      </c>
      <c r="HXO92" t="s">
        <v>428</v>
      </c>
      <c r="HXQ92" t="s">
        <v>104</v>
      </c>
      <c r="HXR92" t="s">
        <v>103</v>
      </c>
      <c r="HXS92" t="s">
        <v>398</v>
      </c>
      <c r="HXT92">
        <v>1</v>
      </c>
      <c r="HXU92" t="s">
        <v>438</v>
      </c>
      <c r="HXV92" t="s">
        <v>439</v>
      </c>
      <c r="HXW92" t="s">
        <v>428</v>
      </c>
      <c r="HXY92" t="s">
        <v>104</v>
      </c>
      <c r="HXZ92" t="s">
        <v>103</v>
      </c>
      <c r="HYA92" t="s">
        <v>398</v>
      </c>
      <c r="HYB92">
        <v>1</v>
      </c>
      <c r="HYC92" t="s">
        <v>438</v>
      </c>
      <c r="HYD92" t="s">
        <v>439</v>
      </c>
      <c r="HYE92" t="s">
        <v>428</v>
      </c>
      <c r="HYG92" t="s">
        <v>104</v>
      </c>
      <c r="HYH92" t="s">
        <v>103</v>
      </c>
      <c r="HYI92" t="s">
        <v>398</v>
      </c>
      <c r="HYJ92">
        <v>1</v>
      </c>
      <c r="HYK92" t="s">
        <v>438</v>
      </c>
      <c r="HYL92" t="s">
        <v>439</v>
      </c>
      <c r="HYM92" t="s">
        <v>428</v>
      </c>
      <c r="HYO92" t="s">
        <v>104</v>
      </c>
      <c r="HYP92" t="s">
        <v>103</v>
      </c>
      <c r="HYQ92" t="s">
        <v>398</v>
      </c>
      <c r="HYR92">
        <v>1</v>
      </c>
      <c r="HYS92" t="s">
        <v>438</v>
      </c>
      <c r="HYT92" t="s">
        <v>439</v>
      </c>
      <c r="HYU92" t="s">
        <v>428</v>
      </c>
      <c r="HYW92" t="s">
        <v>104</v>
      </c>
      <c r="HYX92" t="s">
        <v>103</v>
      </c>
      <c r="HYY92" t="s">
        <v>398</v>
      </c>
      <c r="HYZ92">
        <v>1</v>
      </c>
      <c r="HZA92" t="s">
        <v>438</v>
      </c>
      <c r="HZB92" t="s">
        <v>439</v>
      </c>
      <c r="HZC92" t="s">
        <v>428</v>
      </c>
      <c r="HZE92" t="s">
        <v>104</v>
      </c>
      <c r="HZF92" t="s">
        <v>103</v>
      </c>
      <c r="HZG92" t="s">
        <v>398</v>
      </c>
      <c r="HZH92">
        <v>1</v>
      </c>
      <c r="HZI92" t="s">
        <v>438</v>
      </c>
      <c r="HZJ92" t="s">
        <v>439</v>
      </c>
      <c r="HZK92" t="s">
        <v>428</v>
      </c>
      <c r="HZM92" t="s">
        <v>104</v>
      </c>
      <c r="HZN92" t="s">
        <v>103</v>
      </c>
      <c r="HZO92" t="s">
        <v>398</v>
      </c>
      <c r="HZP92">
        <v>1</v>
      </c>
      <c r="HZQ92" t="s">
        <v>438</v>
      </c>
      <c r="HZR92" t="s">
        <v>439</v>
      </c>
      <c r="HZS92" t="s">
        <v>428</v>
      </c>
      <c r="HZU92" t="s">
        <v>104</v>
      </c>
      <c r="HZV92" t="s">
        <v>103</v>
      </c>
      <c r="HZW92" t="s">
        <v>398</v>
      </c>
      <c r="HZX92">
        <v>1</v>
      </c>
      <c r="HZY92" t="s">
        <v>438</v>
      </c>
      <c r="HZZ92" t="s">
        <v>439</v>
      </c>
      <c r="IAA92" t="s">
        <v>428</v>
      </c>
      <c r="IAC92" t="s">
        <v>104</v>
      </c>
      <c r="IAD92" t="s">
        <v>103</v>
      </c>
      <c r="IAE92" t="s">
        <v>398</v>
      </c>
      <c r="IAF92">
        <v>1</v>
      </c>
      <c r="IAG92" t="s">
        <v>438</v>
      </c>
      <c r="IAH92" t="s">
        <v>439</v>
      </c>
      <c r="IAI92" t="s">
        <v>428</v>
      </c>
      <c r="IAK92" t="s">
        <v>104</v>
      </c>
      <c r="IAL92" t="s">
        <v>103</v>
      </c>
      <c r="IAM92" t="s">
        <v>398</v>
      </c>
      <c r="IAN92">
        <v>1</v>
      </c>
      <c r="IAO92" t="s">
        <v>438</v>
      </c>
      <c r="IAP92" t="s">
        <v>439</v>
      </c>
      <c r="IAQ92" t="s">
        <v>428</v>
      </c>
      <c r="IAS92" t="s">
        <v>104</v>
      </c>
      <c r="IAT92" t="s">
        <v>103</v>
      </c>
      <c r="IAU92" t="s">
        <v>398</v>
      </c>
      <c r="IAV92">
        <v>1</v>
      </c>
      <c r="IAW92" t="s">
        <v>438</v>
      </c>
      <c r="IAX92" t="s">
        <v>439</v>
      </c>
      <c r="IAY92" t="s">
        <v>428</v>
      </c>
      <c r="IBA92" t="s">
        <v>104</v>
      </c>
      <c r="IBB92" t="s">
        <v>103</v>
      </c>
      <c r="IBC92" t="s">
        <v>398</v>
      </c>
      <c r="IBD92">
        <v>1</v>
      </c>
      <c r="IBE92" t="s">
        <v>438</v>
      </c>
      <c r="IBF92" t="s">
        <v>439</v>
      </c>
      <c r="IBG92" t="s">
        <v>428</v>
      </c>
      <c r="IBI92" t="s">
        <v>104</v>
      </c>
      <c r="IBJ92" t="s">
        <v>103</v>
      </c>
      <c r="IBK92" t="s">
        <v>398</v>
      </c>
      <c r="IBL92">
        <v>1</v>
      </c>
      <c r="IBM92" t="s">
        <v>438</v>
      </c>
      <c r="IBN92" t="s">
        <v>439</v>
      </c>
      <c r="IBO92" t="s">
        <v>428</v>
      </c>
      <c r="IBQ92" t="s">
        <v>104</v>
      </c>
      <c r="IBR92" t="s">
        <v>103</v>
      </c>
      <c r="IBS92" t="s">
        <v>398</v>
      </c>
      <c r="IBT92">
        <v>1</v>
      </c>
      <c r="IBU92" t="s">
        <v>438</v>
      </c>
      <c r="IBV92" t="s">
        <v>439</v>
      </c>
      <c r="IBW92" t="s">
        <v>428</v>
      </c>
      <c r="IBY92" t="s">
        <v>104</v>
      </c>
      <c r="IBZ92" t="s">
        <v>103</v>
      </c>
      <c r="ICA92" t="s">
        <v>398</v>
      </c>
      <c r="ICB92">
        <v>1</v>
      </c>
      <c r="ICC92" t="s">
        <v>438</v>
      </c>
      <c r="ICD92" t="s">
        <v>439</v>
      </c>
      <c r="ICE92" t="s">
        <v>428</v>
      </c>
      <c r="ICG92" t="s">
        <v>104</v>
      </c>
      <c r="ICH92" t="s">
        <v>103</v>
      </c>
      <c r="ICI92" t="s">
        <v>398</v>
      </c>
      <c r="ICJ92">
        <v>1</v>
      </c>
      <c r="ICK92" t="s">
        <v>438</v>
      </c>
      <c r="ICL92" t="s">
        <v>439</v>
      </c>
      <c r="ICM92" t="s">
        <v>428</v>
      </c>
      <c r="ICO92" t="s">
        <v>104</v>
      </c>
      <c r="ICP92" t="s">
        <v>103</v>
      </c>
      <c r="ICQ92" t="s">
        <v>398</v>
      </c>
      <c r="ICR92">
        <v>1</v>
      </c>
      <c r="ICS92" t="s">
        <v>438</v>
      </c>
      <c r="ICT92" t="s">
        <v>439</v>
      </c>
      <c r="ICU92" t="s">
        <v>428</v>
      </c>
      <c r="ICW92" t="s">
        <v>104</v>
      </c>
      <c r="ICX92" t="s">
        <v>103</v>
      </c>
      <c r="ICY92" t="s">
        <v>398</v>
      </c>
      <c r="ICZ92">
        <v>1</v>
      </c>
      <c r="IDA92" t="s">
        <v>438</v>
      </c>
      <c r="IDB92" t="s">
        <v>439</v>
      </c>
      <c r="IDC92" t="s">
        <v>428</v>
      </c>
      <c r="IDE92" t="s">
        <v>104</v>
      </c>
      <c r="IDF92" t="s">
        <v>103</v>
      </c>
      <c r="IDG92" t="s">
        <v>398</v>
      </c>
      <c r="IDH92">
        <v>1</v>
      </c>
      <c r="IDI92" t="s">
        <v>438</v>
      </c>
      <c r="IDJ92" t="s">
        <v>439</v>
      </c>
      <c r="IDK92" t="s">
        <v>428</v>
      </c>
      <c r="IDM92" t="s">
        <v>104</v>
      </c>
      <c r="IDN92" t="s">
        <v>103</v>
      </c>
      <c r="IDO92" t="s">
        <v>398</v>
      </c>
      <c r="IDP92">
        <v>1</v>
      </c>
      <c r="IDQ92" t="s">
        <v>438</v>
      </c>
      <c r="IDR92" t="s">
        <v>439</v>
      </c>
      <c r="IDS92" t="s">
        <v>428</v>
      </c>
      <c r="IDU92" t="s">
        <v>104</v>
      </c>
      <c r="IDV92" t="s">
        <v>103</v>
      </c>
      <c r="IDW92" t="s">
        <v>398</v>
      </c>
      <c r="IDX92">
        <v>1</v>
      </c>
      <c r="IDY92" t="s">
        <v>438</v>
      </c>
      <c r="IDZ92" t="s">
        <v>439</v>
      </c>
      <c r="IEA92" t="s">
        <v>428</v>
      </c>
      <c r="IEC92" t="s">
        <v>104</v>
      </c>
      <c r="IED92" t="s">
        <v>103</v>
      </c>
      <c r="IEE92" t="s">
        <v>398</v>
      </c>
      <c r="IEF92">
        <v>1</v>
      </c>
      <c r="IEG92" t="s">
        <v>438</v>
      </c>
      <c r="IEH92" t="s">
        <v>439</v>
      </c>
      <c r="IEI92" t="s">
        <v>428</v>
      </c>
      <c r="IEK92" t="s">
        <v>104</v>
      </c>
      <c r="IEL92" t="s">
        <v>103</v>
      </c>
      <c r="IEM92" t="s">
        <v>398</v>
      </c>
      <c r="IEN92">
        <v>1</v>
      </c>
      <c r="IEO92" t="s">
        <v>438</v>
      </c>
      <c r="IEP92" t="s">
        <v>439</v>
      </c>
      <c r="IEQ92" t="s">
        <v>428</v>
      </c>
      <c r="IES92" t="s">
        <v>104</v>
      </c>
      <c r="IET92" t="s">
        <v>103</v>
      </c>
      <c r="IEU92" t="s">
        <v>398</v>
      </c>
      <c r="IEV92">
        <v>1</v>
      </c>
      <c r="IEW92" t="s">
        <v>438</v>
      </c>
      <c r="IEX92" t="s">
        <v>439</v>
      </c>
      <c r="IEY92" t="s">
        <v>428</v>
      </c>
      <c r="IFA92" t="s">
        <v>104</v>
      </c>
      <c r="IFB92" t="s">
        <v>103</v>
      </c>
      <c r="IFC92" t="s">
        <v>398</v>
      </c>
      <c r="IFD92">
        <v>1</v>
      </c>
      <c r="IFE92" t="s">
        <v>438</v>
      </c>
      <c r="IFF92" t="s">
        <v>439</v>
      </c>
      <c r="IFG92" t="s">
        <v>428</v>
      </c>
      <c r="IFI92" t="s">
        <v>104</v>
      </c>
      <c r="IFJ92" t="s">
        <v>103</v>
      </c>
      <c r="IFK92" t="s">
        <v>398</v>
      </c>
      <c r="IFL92">
        <v>1</v>
      </c>
      <c r="IFM92" t="s">
        <v>438</v>
      </c>
      <c r="IFN92" t="s">
        <v>439</v>
      </c>
      <c r="IFO92" t="s">
        <v>428</v>
      </c>
      <c r="IFQ92" t="s">
        <v>104</v>
      </c>
      <c r="IFR92" t="s">
        <v>103</v>
      </c>
      <c r="IFS92" t="s">
        <v>398</v>
      </c>
      <c r="IFT92">
        <v>1</v>
      </c>
      <c r="IFU92" t="s">
        <v>438</v>
      </c>
      <c r="IFV92" t="s">
        <v>439</v>
      </c>
      <c r="IFW92" t="s">
        <v>428</v>
      </c>
      <c r="IFY92" t="s">
        <v>104</v>
      </c>
      <c r="IFZ92" t="s">
        <v>103</v>
      </c>
      <c r="IGA92" t="s">
        <v>398</v>
      </c>
      <c r="IGB92">
        <v>1</v>
      </c>
      <c r="IGC92" t="s">
        <v>438</v>
      </c>
      <c r="IGD92" t="s">
        <v>439</v>
      </c>
      <c r="IGE92" t="s">
        <v>428</v>
      </c>
      <c r="IGG92" t="s">
        <v>104</v>
      </c>
      <c r="IGH92" t="s">
        <v>103</v>
      </c>
      <c r="IGI92" t="s">
        <v>398</v>
      </c>
      <c r="IGJ92">
        <v>1</v>
      </c>
      <c r="IGK92" t="s">
        <v>438</v>
      </c>
      <c r="IGL92" t="s">
        <v>439</v>
      </c>
      <c r="IGM92" t="s">
        <v>428</v>
      </c>
      <c r="IGO92" t="s">
        <v>104</v>
      </c>
      <c r="IGP92" t="s">
        <v>103</v>
      </c>
      <c r="IGQ92" t="s">
        <v>398</v>
      </c>
      <c r="IGR92">
        <v>1</v>
      </c>
      <c r="IGS92" t="s">
        <v>438</v>
      </c>
      <c r="IGT92" t="s">
        <v>439</v>
      </c>
      <c r="IGU92" t="s">
        <v>428</v>
      </c>
      <c r="IGW92" t="s">
        <v>104</v>
      </c>
      <c r="IGX92" t="s">
        <v>103</v>
      </c>
      <c r="IGY92" t="s">
        <v>398</v>
      </c>
      <c r="IGZ92">
        <v>1</v>
      </c>
      <c r="IHA92" t="s">
        <v>438</v>
      </c>
      <c r="IHB92" t="s">
        <v>439</v>
      </c>
      <c r="IHC92" t="s">
        <v>428</v>
      </c>
      <c r="IHE92" t="s">
        <v>104</v>
      </c>
      <c r="IHF92" t="s">
        <v>103</v>
      </c>
      <c r="IHG92" t="s">
        <v>398</v>
      </c>
      <c r="IHH92">
        <v>1</v>
      </c>
      <c r="IHI92" t="s">
        <v>438</v>
      </c>
      <c r="IHJ92" t="s">
        <v>439</v>
      </c>
      <c r="IHK92" t="s">
        <v>428</v>
      </c>
      <c r="IHM92" t="s">
        <v>104</v>
      </c>
      <c r="IHN92" t="s">
        <v>103</v>
      </c>
      <c r="IHO92" t="s">
        <v>398</v>
      </c>
      <c r="IHP92">
        <v>1</v>
      </c>
      <c r="IHQ92" t="s">
        <v>438</v>
      </c>
      <c r="IHR92" t="s">
        <v>439</v>
      </c>
      <c r="IHS92" t="s">
        <v>428</v>
      </c>
      <c r="IHU92" t="s">
        <v>104</v>
      </c>
      <c r="IHV92" t="s">
        <v>103</v>
      </c>
      <c r="IHW92" t="s">
        <v>398</v>
      </c>
      <c r="IHX92">
        <v>1</v>
      </c>
      <c r="IHY92" t="s">
        <v>438</v>
      </c>
      <c r="IHZ92" t="s">
        <v>439</v>
      </c>
      <c r="IIA92" t="s">
        <v>428</v>
      </c>
      <c r="IIC92" t="s">
        <v>104</v>
      </c>
      <c r="IID92" t="s">
        <v>103</v>
      </c>
      <c r="IIE92" t="s">
        <v>398</v>
      </c>
      <c r="IIF92">
        <v>1</v>
      </c>
      <c r="IIG92" t="s">
        <v>438</v>
      </c>
      <c r="IIH92" t="s">
        <v>439</v>
      </c>
      <c r="III92" t="s">
        <v>428</v>
      </c>
      <c r="IIK92" t="s">
        <v>104</v>
      </c>
      <c r="IIL92" t="s">
        <v>103</v>
      </c>
      <c r="IIM92" t="s">
        <v>398</v>
      </c>
      <c r="IIN92">
        <v>1</v>
      </c>
      <c r="IIO92" t="s">
        <v>438</v>
      </c>
      <c r="IIP92" t="s">
        <v>439</v>
      </c>
      <c r="IIQ92" t="s">
        <v>428</v>
      </c>
      <c r="IIS92" t="s">
        <v>104</v>
      </c>
      <c r="IIT92" t="s">
        <v>103</v>
      </c>
      <c r="IIU92" t="s">
        <v>398</v>
      </c>
      <c r="IIV92">
        <v>1</v>
      </c>
      <c r="IIW92" t="s">
        <v>438</v>
      </c>
      <c r="IIX92" t="s">
        <v>439</v>
      </c>
      <c r="IIY92" t="s">
        <v>428</v>
      </c>
      <c r="IJA92" t="s">
        <v>104</v>
      </c>
      <c r="IJB92" t="s">
        <v>103</v>
      </c>
      <c r="IJC92" t="s">
        <v>398</v>
      </c>
      <c r="IJD92">
        <v>1</v>
      </c>
      <c r="IJE92" t="s">
        <v>438</v>
      </c>
      <c r="IJF92" t="s">
        <v>439</v>
      </c>
      <c r="IJG92" t="s">
        <v>428</v>
      </c>
      <c r="IJI92" t="s">
        <v>104</v>
      </c>
      <c r="IJJ92" t="s">
        <v>103</v>
      </c>
      <c r="IJK92" t="s">
        <v>398</v>
      </c>
      <c r="IJL92">
        <v>1</v>
      </c>
      <c r="IJM92" t="s">
        <v>438</v>
      </c>
      <c r="IJN92" t="s">
        <v>439</v>
      </c>
      <c r="IJO92" t="s">
        <v>428</v>
      </c>
      <c r="IJQ92" t="s">
        <v>104</v>
      </c>
      <c r="IJR92" t="s">
        <v>103</v>
      </c>
      <c r="IJS92" t="s">
        <v>398</v>
      </c>
      <c r="IJT92">
        <v>1</v>
      </c>
      <c r="IJU92" t="s">
        <v>438</v>
      </c>
      <c r="IJV92" t="s">
        <v>439</v>
      </c>
      <c r="IJW92" t="s">
        <v>428</v>
      </c>
      <c r="IJY92" t="s">
        <v>104</v>
      </c>
      <c r="IJZ92" t="s">
        <v>103</v>
      </c>
      <c r="IKA92" t="s">
        <v>398</v>
      </c>
      <c r="IKB92">
        <v>1</v>
      </c>
      <c r="IKC92" t="s">
        <v>438</v>
      </c>
      <c r="IKD92" t="s">
        <v>439</v>
      </c>
      <c r="IKE92" t="s">
        <v>428</v>
      </c>
      <c r="IKG92" t="s">
        <v>104</v>
      </c>
      <c r="IKH92" t="s">
        <v>103</v>
      </c>
      <c r="IKI92" t="s">
        <v>398</v>
      </c>
      <c r="IKJ92">
        <v>1</v>
      </c>
      <c r="IKK92" t="s">
        <v>438</v>
      </c>
      <c r="IKL92" t="s">
        <v>439</v>
      </c>
      <c r="IKM92" t="s">
        <v>428</v>
      </c>
      <c r="IKO92" t="s">
        <v>104</v>
      </c>
      <c r="IKP92" t="s">
        <v>103</v>
      </c>
      <c r="IKQ92" t="s">
        <v>398</v>
      </c>
      <c r="IKR92">
        <v>1</v>
      </c>
      <c r="IKS92" t="s">
        <v>438</v>
      </c>
      <c r="IKT92" t="s">
        <v>439</v>
      </c>
      <c r="IKU92" t="s">
        <v>428</v>
      </c>
      <c r="IKW92" t="s">
        <v>104</v>
      </c>
      <c r="IKX92" t="s">
        <v>103</v>
      </c>
      <c r="IKY92" t="s">
        <v>398</v>
      </c>
      <c r="IKZ92">
        <v>1</v>
      </c>
      <c r="ILA92" t="s">
        <v>438</v>
      </c>
      <c r="ILB92" t="s">
        <v>439</v>
      </c>
      <c r="ILC92" t="s">
        <v>428</v>
      </c>
      <c r="ILE92" t="s">
        <v>104</v>
      </c>
      <c r="ILF92" t="s">
        <v>103</v>
      </c>
      <c r="ILG92" t="s">
        <v>398</v>
      </c>
      <c r="ILH92">
        <v>1</v>
      </c>
      <c r="ILI92" t="s">
        <v>438</v>
      </c>
      <c r="ILJ92" t="s">
        <v>439</v>
      </c>
      <c r="ILK92" t="s">
        <v>428</v>
      </c>
      <c r="ILM92" t="s">
        <v>104</v>
      </c>
      <c r="ILN92" t="s">
        <v>103</v>
      </c>
      <c r="ILO92" t="s">
        <v>398</v>
      </c>
      <c r="ILP92">
        <v>1</v>
      </c>
      <c r="ILQ92" t="s">
        <v>438</v>
      </c>
      <c r="ILR92" t="s">
        <v>439</v>
      </c>
      <c r="ILS92" t="s">
        <v>428</v>
      </c>
      <c r="ILU92" t="s">
        <v>104</v>
      </c>
      <c r="ILV92" t="s">
        <v>103</v>
      </c>
      <c r="ILW92" t="s">
        <v>398</v>
      </c>
      <c r="ILX92">
        <v>1</v>
      </c>
      <c r="ILY92" t="s">
        <v>438</v>
      </c>
      <c r="ILZ92" t="s">
        <v>439</v>
      </c>
      <c r="IMA92" t="s">
        <v>428</v>
      </c>
      <c r="IMC92" t="s">
        <v>104</v>
      </c>
      <c r="IMD92" t="s">
        <v>103</v>
      </c>
      <c r="IME92" t="s">
        <v>398</v>
      </c>
      <c r="IMF92">
        <v>1</v>
      </c>
      <c r="IMG92" t="s">
        <v>438</v>
      </c>
      <c r="IMH92" t="s">
        <v>439</v>
      </c>
      <c r="IMI92" t="s">
        <v>428</v>
      </c>
      <c r="IMK92" t="s">
        <v>104</v>
      </c>
      <c r="IML92" t="s">
        <v>103</v>
      </c>
      <c r="IMM92" t="s">
        <v>398</v>
      </c>
      <c r="IMN92">
        <v>1</v>
      </c>
      <c r="IMO92" t="s">
        <v>438</v>
      </c>
      <c r="IMP92" t="s">
        <v>439</v>
      </c>
      <c r="IMQ92" t="s">
        <v>428</v>
      </c>
      <c r="IMS92" t="s">
        <v>104</v>
      </c>
      <c r="IMT92" t="s">
        <v>103</v>
      </c>
      <c r="IMU92" t="s">
        <v>398</v>
      </c>
      <c r="IMV92">
        <v>1</v>
      </c>
      <c r="IMW92" t="s">
        <v>438</v>
      </c>
      <c r="IMX92" t="s">
        <v>439</v>
      </c>
      <c r="IMY92" t="s">
        <v>428</v>
      </c>
      <c r="INA92" t="s">
        <v>104</v>
      </c>
      <c r="INB92" t="s">
        <v>103</v>
      </c>
      <c r="INC92" t="s">
        <v>398</v>
      </c>
      <c r="IND92">
        <v>1</v>
      </c>
      <c r="INE92" t="s">
        <v>438</v>
      </c>
      <c r="INF92" t="s">
        <v>439</v>
      </c>
      <c r="ING92" t="s">
        <v>428</v>
      </c>
      <c r="INI92" t="s">
        <v>104</v>
      </c>
      <c r="INJ92" t="s">
        <v>103</v>
      </c>
      <c r="INK92" t="s">
        <v>398</v>
      </c>
      <c r="INL92">
        <v>1</v>
      </c>
      <c r="INM92" t="s">
        <v>438</v>
      </c>
      <c r="INN92" t="s">
        <v>439</v>
      </c>
      <c r="INO92" t="s">
        <v>428</v>
      </c>
      <c r="INQ92" t="s">
        <v>104</v>
      </c>
      <c r="INR92" t="s">
        <v>103</v>
      </c>
      <c r="INS92" t="s">
        <v>398</v>
      </c>
      <c r="INT92">
        <v>1</v>
      </c>
      <c r="INU92" t="s">
        <v>438</v>
      </c>
      <c r="INV92" t="s">
        <v>439</v>
      </c>
      <c r="INW92" t="s">
        <v>428</v>
      </c>
      <c r="INY92" t="s">
        <v>104</v>
      </c>
      <c r="INZ92" t="s">
        <v>103</v>
      </c>
      <c r="IOA92" t="s">
        <v>398</v>
      </c>
      <c r="IOB92">
        <v>1</v>
      </c>
      <c r="IOC92" t="s">
        <v>438</v>
      </c>
      <c r="IOD92" t="s">
        <v>439</v>
      </c>
      <c r="IOE92" t="s">
        <v>428</v>
      </c>
      <c r="IOG92" t="s">
        <v>104</v>
      </c>
      <c r="IOH92" t="s">
        <v>103</v>
      </c>
      <c r="IOI92" t="s">
        <v>398</v>
      </c>
      <c r="IOJ92">
        <v>1</v>
      </c>
      <c r="IOK92" t="s">
        <v>438</v>
      </c>
      <c r="IOL92" t="s">
        <v>439</v>
      </c>
      <c r="IOM92" t="s">
        <v>428</v>
      </c>
      <c r="IOO92" t="s">
        <v>104</v>
      </c>
      <c r="IOP92" t="s">
        <v>103</v>
      </c>
      <c r="IOQ92" t="s">
        <v>398</v>
      </c>
      <c r="IOR92">
        <v>1</v>
      </c>
      <c r="IOS92" t="s">
        <v>438</v>
      </c>
      <c r="IOT92" t="s">
        <v>439</v>
      </c>
      <c r="IOU92" t="s">
        <v>428</v>
      </c>
      <c r="IOW92" t="s">
        <v>104</v>
      </c>
      <c r="IOX92" t="s">
        <v>103</v>
      </c>
      <c r="IOY92" t="s">
        <v>398</v>
      </c>
      <c r="IOZ92">
        <v>1</v>
      </c>
      <c r="IPA92" t="s">
        <v>438</v>
      </c>
      <c r="IPB92" t="s">
        <v>439</v>
      </c>
      <c r="IPC92" t="s">
        <v>428</v>
      </c>
      <c r="IPE92" t="s">
        <v>104</v>
      </c>
      <c r="IPF92" t="s">
        <v>103</v>
      </c>
      <c r="IPG92" t="s">
        <v>398</v>
      </c>
      <c r="IPH92">
        <v>1</v>
      </c>
      <c r="IPI92" t="s">
        <v>438</v>
      </c>
      <c r="IPJ92" t="s">
        <v>439</v>
      </c>
      <c r="IPK92" t="s">
        <v>428</v>
      </c>
      <c r="IPM92" t="s">
        <v>104</v>
      </c>
      <c r="IPN92" t="s">
        <v>103</v>
      </c>
      <c r="IPO92" t="s">
        <v>398</v>
      </c>
      <c r="IPP92">
        <v>1</v>
      </c>
      <c r="IPQ92" t="s">
        <v>438</v>
      </c>
      <c r="IPR92" t="s">
        <v>439</v>
      </c>
      <c r="IPS92" t="s">
        <v>428</v>
      </c>
      <c r="IPU92" t="s">
        <v>104</v>
      </c>
      <c r="IPV92" t="s">
        <v>103</v>
      </c>
      <c r="IPW92" t="s">
        <v>398</v>
      </c>
      <c r="IPX92">
        <v>1</v>
      </c>
      <c r="IPY92" t="s">
        <v>438</v>
      </c>
      <c r="IPZ92" t="s">
        <v>439</v>
      </c>
      <c r="IQA92" t="s">
        <v>428</v>
      </c>
      <c r="IQC92" t="s">
        <v>104</v>
      </c>
      <c r="IQD92" t="s">
        <v>103</v>
      </c>
      <c r="IQE92" t="s">
        <v>398</v>
      </c>
      <c r="IQF92">
        <v>1</v>
      </c>
      <c r="IQG92" t="s">
        <v>438</v>
      </c>
      <c r="IQH92" t="s">
        <v>439</v>
      </c>
      <c r="IQI92" t="s">
        <v>428</v>
      </c>
      <c r="IQK92" t="s">
        <v>104</v>
      </c>
      <c r="IQL92" t="s">
        <v>103</v>
      </c>
      <c r="IQM92" t="s">
        <v>398</v>
      </c>
      <c r="IQN92">
        <v>1</v>
      </c>
      <c r="IQO92" t="s">
        <v>438</v>
      </c>
      <c r="IQP92" t="s">
        <v>439</v>
      </c>
      <c r="IQQ92" t="s">
        <v>428</v>
      </c>
      <c r="IQS92" t="s">
        <v>104</v>
      </c>
      <c r="IQT92" t="s">
        <v>103</v>
      </c>
      <c r="IQU92" t="s">
        <v>398</v>
      </c>
      <c r="IQV92">
        <v>1</v>
      </c>
      <c r="IQW92" t="s">
        <v>438</v>
      </c>
      <c r="IQX92" t="s">
        <v>439</v>
      </c>
      <c r="IQY92" t="s">
        <v>428</v>
      </c>
      <c r="IRA92" t="s">
        <v>104</v>
      </c>
      <c r="IRB92" t="s">
        <v>103</v>
      </c>
      <c r="IRC92" t="s">
        <v>398</v>
      </c>
      <c r="IRD92">
        <v>1</v>
      </c>
      <c r="IRE92" t="s">
        <v>438</v>
      </c>
      <c r="IRF92" t="s">
        <v>439</v>
      </c>
      <c r="IRG92" t="s">
        <v>428</v>
      </c>
      <c r="IRI92" t="s">
        <v>104</v>
      </c>
      <c r="IRJ92" t="s">
        <v>103</v>
      </c>
      <c r="IRK92" t="s">
        <v>398</v>
      </c>
      <c r="IRL92">
        <v>1</v>
      </c>
      <c r="IRM92" t="s">
        <v>438</v>
      </c>
      <c r="IRN92" t="s">
        <v>439</v>
      </c>
      <c r="IRO92" t="s">
        <v>428</v>
      </c>
      <c r="IRQ92" t="s">
        <v>104</v>
      </c>
      <c r="IRR92" t="s">
        <v>103</v>
      </c>
      <c r="IRS92" t="s">
        <v>398</v>
      </c>
      <c r="IRT92">
        <v>1</v>
      </c>
      <c r="IRU92" t="s">
        <v>438</v>
      </c>
      <c r="IRV92" t="s">
        <v>439</v>
      </c>
      <c r="IRW92" t="s">
        <v>428</v>
      </c>
      <c r="IRY92" t="s">
        <v>104</v>
      </c>
      <c r="IRZ92" t="s">
        <v>103</v>
      </c>
      <c r="ISA92" t="s">
        <v>398</v>
      </c>
      <c r="ISB92">
        <v>1</v>
      </c>
      <c r="ISC92" t="s">
        <v>438</v>
      </c>
      <c r="ISD92" t="s">
        <v>439</v>
      </c>
      <c r="ISE92" t="s">
        <v>428</v>
      </c>
      <c r="ISG92" t="s">
        <v>104</v>
      </c>
      <c r="ISH92" t="s">
        <v>103</v>
      </c>
      <c r="ISI92" t="s">
        <v>398</v>
      </c>
      <c r="ISJ92">
        <v>1</v>
      </c>
      <c r="ISK92" t="s">
        <v>438</v>
      </c>
      <c r="ISL92" t="s">
        <v>439</v>
      </c>
      <c r="ISM92" t="s">
        <v>428</v>
      </c>
      <c r="ISO92" t="s">
        <v>104</v>
      </c>
      <c r="ISP92" t="s">
        <v>103</v>
      </c>
      <c r="ISQ92" t="s">
        <v>398</v>
      </c>
      <c r="ISR92">
        <v>1</v>
      </c>
      <c r="ISS92" t="s">
        <v>438</v>
      </c>
      <c r="IST92" t="s">
        <v>439</v>
      </c>
      <c r="ISU92" t="s">
        <v>428</v>
      </c>
      <c r="ISW92" t="s">
        <v>104</v>
      </c>
      <c r="ISX92" t="s">
        <v>103</v>
      </c>
      <c r="ISY92" t="s">
        <v>398</v>
      </c>
      <c r="ISZ92">
        <v>1</v>
      </c>
      <c r="ITA92" t="s">
        <v>438</v>
      </c>
      <c r="ITB92" t="s">
        <v>439</v>
      </c>
      <c r="ITC92" t="s">
        <v>428</v>
      </c>
      <c r="ITE92" t="s">
        <v>104</v>
      </c>
      <c r="ITF92" t="s">
        <v>103</v>
      </c>
      <c r="ITG92" t="s">
        <v>398</v>
      </c>
      <c r="ITH92">
        <v>1</v>
      </c>
      <c r="ITI92" t="s">
        <v>438</v>
      </c>
      <c r="ITJ92" t="s">
        <v>439</v>
      </c>
      <c r="ITK92" t="s">
        <v>428</v>
      </c>
      <c r="ITM92" t="s">
        <v>104</v>
      </c>
      <c r="ITN92" t="s">
        <v>103</v>
      </c>
      <c r="ITO92" t="s">
        <v>398</v>
      </c>
      <c r="ITP92">
        <v>1</v>
      </c>
      <c r="ITQ92" t="s">
        <v>438</v>
      </c>
      <c r="ITR92" t="s">
        <v>439</v>
      </c>
      <c r="ITS92" t="s">
        <v>428</v>
      </c>
      <c r="ITU92" t="s">
        <v>104</v>
      </c>
      <c r="ITV92" t="s">
        <v>103</v>
      </c>
      <c r="ITW92" t="s">
        <v>398</v>
      </c>
      <c r="ITX92">
        <v>1</v>
      </c>
      <c r="ITY92" t="s">
        <v>438</v>
      </c>
      <c r="ITZ92" t="s">
        <v>439</v>
      </c>
      <c r="IUA92" t="s">
        <v>428</v>
      </c>
      <c r="IUC92" t="s">
        <v>104</v>
      </c>
      <c r="IUD92" t="s">
        <v>103</v>
      </c>
      <c r="IUE92" t="s">
        <v>398</v>
      </c>
      <c r="IUF92">
        <v>1</v>
      </c>
      <c r="IUG92" t="s">
        <v>438</v>
      </c>
      <c r="IUH92" t="s">
        <v>439</v>
      </c>
      <c r="IUI92" t="s">
        <v>428</v>
      </c>
      <c r="IUK92" t="s">
        <v>104</v>
      </c>
      <c r="IUL92" t="s">
        <v>103</v>
      </c>
      <c r="IUM92" t="s">
        <v>398</v>
      </c>
      <c r="IUN92">
        <v>1</v>
      </c>
      <c r="IUO92" t="s">
        <v>438</v>
      </c>
      <c r="IUP92" t="s">
        <v>439</v>
      </c>
      <c r="IUQ92" t="s">
        <v>428</v>
      </c>
      <c r="IUS92" t="s">
        <v>104</v>
      </c>
      <c r="IUT92" t="s">
        <v>103</v>
      </c>
      <c r="IUU92" t="s">
        <v>398</v>
      </c>
      <c r="IUV92">
        <v>1</v>
      </c>
      <c r="IUW92" t="s">
        <v>438</v>
      </c>
      <c r="IUX92" t="s">
        <v>439</v>
      </c>
      <c r="IUY92" t="s">
        <v>428</v>
      </c>
      <c r="IVA92" t="s">
        <v>104</v>
      </c>
      <c r="IVB92" t="s">
        <v>103</v>
      </c>
      <c r="IVC92" t="s">
        <v>398</v>
      </c>
      <c r="IVD92">
        <v>1</v>
      </c>
      <c r="IVE92" t="s">
        <v>438</v>
      </c>
      <c r="IVF92" t="s">
        <v>439</v>
      </c>
      <c r="IVG92" t="s">
        <v>428</v>
      </c>
      <c r="IVI92" t="s">
        <v>104</v>
      </c>
      <c r="IVJ92" t="s">
        <v>103</v>
      </c>
      <c r="IVK92" t="s">
        <v>398</v>
      </c>
      <c r="IVL92">
        <v>1</v>
      </c>
      <c r="IVM92" t="s">
        <v>438</v>
      </c>
      <c r="IVN92" t="s">
        <v>439</v>
      </c>
      <c r="IVO92" t="s">
        <v>428</v>
      </c>
      <c r="IVQ92" t="s">
        <v>104</v>
      </c>
      <c r="IVR92" t="s">
        <v>103</v>
      </c>
      <c r="IVS92" t="s">
        <v>398</v>
      </c>
      <c r="IVT92">
        <v>1</v>
      </c>
      <c r="IVU92" t="s">
        <v>438</v>
      </c>
      <c r="IVV92" t="s">
        <v>439</v>
      </c>
      <c r="IVW92" t="s">
        <v>428</v>
      </c>
      <c r="IVY92" t="s">
        <v>104</v>
      </c>
      <c r="IVZ92" t="s">
        <v>103</v>
      </c>
      <c r="IWA92" t="s">
        <v>398</v>
      </c>
      <c r="IWB92">
        <v>1</v>
      </c>
      <c r="IWC92" t="s">
        <v>438</v>
      </c>
      <c r="IWD92" t="s">
        <v>439</v>
      </c>
      <c r="IWE92" t="s">
        <v>428</v>
      </c>
      <c r="IWG92" t="s">
        <v>104</v>
      </c>
      <c r="IWH92" t="s">
        <v>103</v>
      </c>
      <c r="IWI92" t="s">
        <v>398</v>
      </c>
      <c r="IWJ92">
        <v>1</v>
      </c>
      <c r="IWK92" t="s">
        <v>438</v>
      </c>
      <c r="IWL92" t="s">
        <v>439</v>
      </c>
      <c r="IWM92" t="s">
        <v>428</v>
      </c>
      <c r="IWO92" t="s">
        <v>104</v>
      </c>
      <c r="IWP92" t="s">
        <v>103</v>
      </c>
      <c r="IWQ92" t="s">
        <v>398</v>
      </c>
      <c r="IWR92">
        <v>1</v>
      </c>
      <c r="IWS92" t="s">
        <v>438</v>
      </c>
      <c r="IWT92" t="s">
        <v>439</v>
      </c>
      <c r="IWU92" t="s">
        <v>428</v>
      </c>
      <c r="IWW92" t="s">
        <v>104</v>
      </c>
      <c r="IWX92" t="s">
        <v>103</v>
      </c>
      <c r="IWY92" t="s">
        <v>398</v>
      </c>
      <c r="IWZ92">
        <v>1</v>
      </c>
      <c r="IXA92" t="s">
        <v>438</v>
      </c>
      <c r="IXB92" t="s">
        <v>439</v>
      </c>
      <c r="IXC92" t="s">
        <v>428</v>
      </c>
      <c r="IXE92" t="s">
        <v>104</v>
      </c>
      <c r="IXF92" t="s">
        <v>103</v>
      </c>
      <c r="IXG92" t="s">
        <v>398</v>
      </c>
      <c r="IXH92">
        <v>1</v>
      </c>
      <c r="IXI92" t="s">
        <v>438</v>
      </c>
      <c r="IXJ92" t="s">
        <v>439</v>
      </c>
      <c r="IXK92" t="s">
        <v>428</v>
      </c>
      <c r="IXM92" t="s">
        <v>104</v>
      </c>
      <c r="IXN92" t="s">
        <v>103</v>
      </c>
      <c r="IXO92" t="s">
        <v>398</v>
      </c>
      <c r="IXP92">
        <v>1</v>
      </c>
      <c r="IXQ92" t="s">
        <v>438</v>
      </c>
      <c r="IXR92" t="s">
        <v>439</v>
      </c>
      <c r="IXS92" t="s">
        <v>428</v>
      </c>
      <c r="IXU92" t="s">
        <v>104</v>
      </c>
      <c r="IXV92" t="s">
        <v>103</v>
      </c>
      <c r="IXW92" t="s">
        <v>398</v>
      </c>
      <c r="IXX92">
        <v>1</v>
      </c>
      <c r="IXY92" t="s">
        <v>438</v>
      </c>
      <c r="IXZ92" t="s">
        <v>439</v>
      </c>
      <c r="IYA92" t="s">
        <v>428</v>
      </c>
      <c r="IYC92" t="s">
        <v>104</v>
      </c>
      <c r="IYD92" t="s">
        <v>103</v>
      </c>
      <c r="IYE92" t="s">
        <v>398</v>
      </c>
      <c r="IYF92">
        <v>1</v>
      </c>
      <c r="IYG92" t="s">
        <v>438</v>
      </c>
      <c r="IYH92" t="s">
        <v>439</v>
      </c>
      <c r="IYI92" t="s">
        <v>428</v>
      </c>
      <c r="IYK92" t="s">
        <v>104</v>
      </c>
      <c r="IYL92" t="s">
        <v>103</v>
      </c>
      <c r="IYM92" t="s">
        <v>398</v>
      </c>
      <c r="IYN92">
        <v>1</v>
      </c>
      <c r="IYO92" t="s">
        <v>438</v>
      </c>
      <c r="IYP92" t="s">
        <v>439</v>
      </c>
      <c r="IYQ92" t="s">
        <v>428</v>
      </c>
      <c r="IYS92" t="s">
        <v>104</v>
      </c>
      <c r="IYT92" t="s">
        <v>103</v>
      </c>
      <c r="IYU92" t="s">
        <v>398</v>
      </c>
      <c r="IYV92">
        <v>1</v>
      </c>
      <c r="IYW92" t="s">
        <v>438</v>
      </c>
      <c r="IYX92" t="s">
        <v>439</v>
      </c>
      <c r="IYY92" t="s">
        <v>428</v>
      </c>
      <c r="IZA92" t="s">
        <v>104</v>
      </c>
      <c r="IZB92" t="s">
        <v>103</v>
      </c>
      <c r="IZC92" t="s">
        <v>398</v>
      </c>
      <c r="IZD92">
        <v>1</v>
      </c>
      <c r="IZE92" t="s">
        <v>438</v>
      </c>
      <c r="IZF92" t="s">
        <v>439</v>
      </c>
      <c r="IZG92" t="s">
        <v>428</v>
      </c>
      <c r="IZI92" t="s">
        <v>104</v>
      </c>
      <c r="IZJ92" t="s">
        <v>103</v>
      </c>
      <c r="IZK92" t="s">
        <v>398</v>
      </c>
      <c r="IZL92">
        <v>1</v>
      </c>
      <c r="IZM92" t="s">
        <v>438</v>
      </c>
      <c r="IZN92" t="s">
        <v>439</v>
      </c>
      <c r="IZO92" t="s">
        <v>428</v>
      </c>
      <c r="IZQ92" t="s">
        <v>104</v>
      </c>
      <c r="IZR92" t="s">
        <v>103</v>
      </c>
      <c r="IZS92" t="s">
        <v>398</v>
      </c>
      <c r="IZT92">
        <v>1</v>
      </c>
      <c r="IZU92" t="s">
        <v>438</v>
      </c>
      <c r="IZV92" t="s">
        <v>439</v>
      </c>
      <c r="IZW92" t="s">
        <v>428</v>
      </c>
      <c r="IZY92" t="s">
        <v>104</v>
      </c>
      <c r="IZZ92" t="s">
        <v>103</v>
      </c>
      <c r="JAA92" t="s">
        <v>398</v>
      </c>
      <c r="JAB92">
        <v>1</v>
      </c>
      <c r="JAC92" t="s">
        <v>438</v>
      </c>
      <c r="JAD92" t="s">
        <v>439</v>
      </c>
      <c r="JAE92" t="s">
        <v>428</v>
      </c>
      <c r="JAG92" t="s">
        <v>104</v>
      </c>
      <c r="JAH92" t="s">
        <v>103</v>
      </c>
      <c r="JAI92" t="s">
        <v>398</v>
      </c>
      <c r="JAJ92">
        <v>1</v>
      </c>
      <c r="JAK92" t="s">
        <v>438</v>
      </c>
      <c r="JAL92" t="s">
        <v>439</v>
      </c>
      <c r="JAM92" t="s">
        <v>428</v>
      </c>
      <c r="JAO92" t="s">
        <v>104</v>
      </c>
      <c r="JAP92" t="s">
        <v>103</v>
      </c>
      <c r="JAQ92" t="s">
        <v>398</v>
      </c>
      <c r="JAR92">
        <v>1</v>
      </c>
      <c r="JAS92" t="s">
        <v>438</v>
      </c>
      <c r="JAT92" t="s">
        <v>439</v>
      </c>
      <c r="JAU92" t="s">
        <v>428</v>
      </c>
      <c r="JAW92" t="s">
        <v>104</v>
      </c>
      <c r="JAX92" t="s">
        <v>103</v>
      </c>
      <c r="JAY92" t="s">
        <v>398</v>
      </c>
      <c r="JAZ92">
        <v>1</v>
      </c>
      <c r="JBA92" t="s">
        <v>438</v>
      </c>
      <c r="JBB92" t="s">
        <v>439</v>
      </c>
      <c r="JBC92" t="s">
        <v>428</v>
      </c>
      <c r="JBE92" t="s">
        <v>104</v>
      </c>
      <c r="JBF92" t="s">
        <v>103</v>
      </c>
      <c r="JBG92" t="s">
        <v>398</v>
      </c>
      <c r="JBH92">
        <v>1</v>
      </c>
      <c r="JBI92" t="s">
        <v>438</v>
      </c>
      <c r="JBJ92" t="s">
        <v>439</v>
      </c>
      <c r="JBK92" t="s">
        <v>428</v>
      </c>
      <c r="JBM92" t="s">
        <v>104</v>
      </c>
      <c r="JBN92" t="s">
        <v>103</v>
      </c>
      <c r="JBO92" t="s">
        <v>398</v>
      </c>
      <c r="JBP92">
        <v>1</v>
      </c>
      <c r="JBQ92" t="s">
        <v>438</v>
      </c>
      <c r="JBR92" t="s">
        <v>439</v>
      </c>
      <c r="JBS92" t="s">
        <v>428</v>
      </c>
      <c r="JBU92" t="s">
        <v>104</v>
      </c>
      <c r="JBV92" t="s">
        <v>103</v>
      </c>
      <c r="JBW92" t="s">
        <v>398</v>
      </c>
      <c r="JBX92">
        <v>1</v>
      </c>
      <c r="JBY92" t="s">
        <v>438</v>
      </c>
      <c r="JBZ92" t="s">
        <v>439</v>
      </c>
      <c r="JCA92" t="s">
        <v>428</v>
      </c>
      <c r="JCC92" t="s">
        <v>104</v>
      </c>
      <c r="JCD92" t="s">
        <v>103</v>
      </c>
      <c r="JCE92" t="s">
        <v>398</v>
      </c>
      <c r="JCF92">
        <v>1</v>
      </c>
      <c r="JCG92" t="s">
        <v>438</v>
      </c>
      <c r="JCH92" t="s">
        <v>439</v>
      </c>
      <c r="JCI92" t="s">
        <v>428</v>
      </c>
      <c r="JCK92" t="s">
        <v>104</v>
      </c>
      <c r="JCL92" t="s">
        <v>103</v>
      </c>
      <c r="JCM92" t="s">
        <v>398</v>
      </c>
      <c r="JCN92">
        <v>1</v>
      </c>
      <c r="JCO92" t="s">
        <v>438</v>
      </c>
      <c r="JCP92" t="s">
        <v>439</v>
      </c>
      <c r="JCQ92" t="s">
        <v>428</v>
      </c>
      <c r="JCS92" t="s">
        <v>104</v>
      </c>
      <c r="JCT92" t="s">
        <v>103</v>
      </c>
      <c r="JCU92" t="s">
        <v>398</v>
      </c>
      <c r="JCV92">
        <v>1</v>
      </c>
      <c r="JCW92" t="s">
        <v>438</v>
      </c>
      <c r="JCX92" t="s">
        <v>439</v>
      </c>
      <c r="JCY92" t="s">
        <v>428</v>
      </c>
      <c r="JDA92" t="s">
        <v>104</v>
      </c>
      <c r="JDB92" t="s">
        <v>103</v>
      </c>
      <c r="JDC92" t="s">
        <v>398</v>
      </c>
      <c r="JDD92">
        <v>1</v>
      </c>
      <c r="JDE92" t="s">
        <v>438</v>
      </c>
      <c r="JDF92" t="s">
        <v>439</v>
      </c>
      <c r="JDG92" t="s">
        <v>428</v>
      </c>
      <c r="JDI92" t="s">
        <v>104</v>
      </c>
      <c r="JDJ92" t="s">
        <v>103</v>
      </c>
      <c r="JDK92" t="s">
        <v>398</v>
      </c>
      <c r="JDL92">
        <v>1</v>
      </c>
      <c r="JDM92" t="s">
        <v>438</v>
      </c>
      <c r="JDN92" t="s">
        <v>439</v>
      </c>
      <c r="JDO92" t="s">
        <v>428</v>
      </c>
      <c r="JDQ92" t="s">
        <v>104</v>
      </c>
      <c r="JDR92" t="s">
        <v>103</v>
      </c>
      <c r="JDS92" t="s">
        <v>398</v>
      </c>
      <c r="JDT92">
        <v>1</v>
      </c>
      <c r="JDU92" t="s">
        <v>438</v>
      </c>
      <c r="JDV92" t="s">
        <v>439</v>
      </c>
      <c r="JDW92" t="s">
        <v>428</v>
      </c>
      <c r="JDY92" t="s">
        <v>104</v>
      </c>
      <c r="JDZ92" t="s">
        <v>103</v>
      </c>
      <c r="JEA92" t="s">
        <v>398</v>
      </c>
      <c r="JEB92">
        <v>1</v>
      </c>
      <c r="JEC92" t="s">
        <v>438</v>
      </c>
      <c r="JED92" t="s">
        <v>439</v>
      </c>
      <c r="JEE92" t="s">
        <v>428</v>
      </c>
      <c r="JEG92" t="s">
        <v>104</v>
      </c>
      <c r="JEH92" t="s">
        <v>103</v>
      </c>
      <c r="JEI92" t="s">
        <v>398</v>
      </c>
      <c r="JEJ92">
        <v>1</v>
      </c>
      <c r="JEK92" t="s">
        <v>438</v>
      </c>
      <c r="JEL92" t="s">
        <v>439</v>
      </c>
      <c r="JEM92" t="s">
        <v>428</v>
      </c>
      <c r="JEO92" t="s">
        <v>104</v>
      </c>
      <c r="JEP92" t="s">
        <v>103</v>
      </c>
      <c r="JEQ92" t="s">
        <v>398</v>
      </c>
      <c r="JER92">
        <v>1</v>
      </c>
      <c r="JES92" t="s">
        <v>438</v>
      </c>
      <c r="JET92" t="s">
        <v>439</v>
      </c>
      <c r="JEU92" t="s">
        <v>428</v>
      </c>
      <c r="JEW92" t="s">
        <v>104</v>
      </c>
      <c r="JEX92" t="s">
        <v>103</v>
      </c>
      <c r="JEY92" t="s">
        <v>398</v>
      </c>
      <c r="JEZ92">
        <v>1</v>
      </c>
      <c r="JFA92" t="s">
        <v>438</v>
      </c>
      <c r="JFB92" t="s">
        <v>439</v>
      </c>
      <c r="JFC92" t="s">
        <v>428</v>
      </c>
      <c r="JFE92" t="s">
        <v>104</v>
      </c>
      <c r="JFF92" t="s">
        <v>103</v>
      </c>
      <c r="JFG92" t="s">
        <v>398</v>
      </c>
      <c r="JFH92">
        <v>1</v>
      </c>
      <c r="JFI92" t="s">
        <v>438</v>
      </c>
      <c r="JFJ92" t="s">
        <v>439</v>
      </c>
      <c r="JFK92" t="s">
        <v>428</v>
      </c>
      <c r="JFM92" t="s">
        <v>104</v>
      </c>
      <c r="JFN92" t="s">
        <v>103</v>
      </c>
      <c r="JFO92" t="s">
        <v>398</v>
      </c>
      <c r="JFP92">
        <v>1</v>
      </c>
      <c r="JFQ92" t="s">
        <v>438</v>
      </c>
      <c r="JFR92" t="s">
        <v>439</v>
      </c>
      <c r="JFS92" t="s">
        <v>428</v>
      </c>
      <c r="JFU92" t="s">
        <v>104</v>
      </c>
      <c r="JFV92" t="s">
        <v>103</v>
      </c>
      <c r="JFW92" t="s">
        <v>398</v>
      </c>
      <c r="JFX92">
        <v>1</v>
      </c>
      <c r="JFY92" t="s">
        <v>438</v>
      </c>
      <c r="JFZ92" t="s">
        <v>439</v>
      </c>
      <c r="JGA92" t="s">
        <v>428</v>
      </c>
      <c r="JGC92" t="s">
        <v>104</v>
      </c>
      <c r="JGD92" t="s">
        <v>103</v>
      </c>
      <c r="JGE92" t="s">
        <v>398</v>
      </c>
      <c r="JGF92">
        <v>1</v>
      </c>
      <c r="JGG92" t="s">
        <v>438</v>
      </c>
      <c r="JGH92" t="s">
        <v>439</v>
      </c>
      <c r="JGI92" t="s">
        <v>428</v>
      </c>
      <c r="JGK92" t="s">
        <v>104</v>
      </c>
      <c r="JGL92" t="s">
        <v>103</v>
      </c>
      <c r="JGM92" t="s">
        <v>398</v>
      </c>
      <c r="JGN92">
        <v>1</v>
      </c>
      <c r="JGO92" t="s">
        <v>438</v>
      </c>
      <c r="JGP92" t="s">
        <v>439</v>
      </c>
      <c r="JGQ92" t="s">
        <v>428</v>
      </c>
      <c r="JGS92" t="s">
        <v>104</v>
      </c>
      <c r="JGT92" t="s">
        <v>103</v>
      </c>
      <c r="JGU92" t="s">
        <v>398</v>
      </c>
      <c r="JGV92">
        <v>1</v>
      </c>
      <c r="JGW92" t="s">
        <v>438</v>
      </c>
      <c r="JGX92" t="s">
        <v>439</v>
      </c>
      <c r="JGY92" t="s">
        <v>428</v>
      </c>
      <c r="JHA92" t="s">
        <v>104</v>
      </c>
      <c r="JHB92" t="s">
        <v>103</v>
      </c>
      <c r="JHC92" t="s">
        <v>398</v>
      </c>
      <c r="JHD92">
        <v>1</v>
      </c>
      <c r="JHE92" t="s">
        <v>438</v>
      </c>
      <c r="JHF92" t="s">
        <v>439</v>
      </c>
      <c r="JHG92" t="s">
        <v>428</v>
      </c>
      <c r="JHI92" t="s">
        <v>104</v>
      </c>
      <c r="JHJ92" t="s">
        <v>103</v>
      </c>
      <c r="JHK92" t="s">
        <v>398</v>
      </c>
      <c r="JHL92">
        <v>1</v>
      </c>
      <c r="JHM92" t="s">
        <v>438</v>
      </c>
      <c r="JHN92" t="s">
        <v>439</v>
      </c>
      <c r="JHO92" t="s">
        <v>428</v>
      </c>
      <c r="JHQ92" t="s">
        <v>104</v>
      </c>
      <c r="JHR92" t="s">
        <v>103</v>
      </c>
      <c r="JHS92" t="s">
        <v>398</v>
      </c>
      <c r="JHT92">
        <v>1</v>
      </c>
      <c r="JHU92" t="s">
        <v>438</v>
      </c>
      <c r="JHV92" t="s">
        <v>439</v>
      </c>
      <c r="JHW92" t="s">
        <v>428</v>
      </c>
      <c r="JHY92" t="s">
        <v>104</v>
      </c>
      <c r="JHZ92" t="s">
        <v>103</v>
      </c>
      <c r="JIA92" t="s">
        <v>398</v>
      </c>
      <c r="JIB92">
        <v>1</v>
      </c>
      <c r="JIC92" t="s">
        <v>438</v>
      </c>
      <c r="JID92" t="s">
        <v>439</v>
      </c>
      <c r="JIE92" t="s">
        <v>428</v>
      </c>
      <c r="JIG92" t="s">
        <v>104</v>
      </c>
      <c r="JIH92" t="s">
        <v>103</v>
      </c>
      <c r="JII92" t="s">
        <v>398</v>
      </c>
      <c r="JIJ92">
        <v>1</v>
      </c>
      <c r="JIK92" t="s">
        <v>438</v>
      </c>
      <c r="JIL92" t="s">
        <v>439</v>
      </c>
      <c r="JIM92" t="s">
        <v>428</v>
      </c>
      <c r="JIO92" t="s">
        <v>104</v>
      </c>
      <c r="JIP92" t="s">
        <v>103</v>
      </c>
      <c r="JIQ92" t="s">
        <v>398</v>
      </c>
      <c r="JIR92">
        <v>1</v>
      </c>
      <c r="JIS92" t="s">
        <v>438</v>
      </c>
      <c r="JIT92" t="s">
        <v>439</v>
      </c>
      <c r="JIU92" t="s">
        <v>428</v>
      </c>
      <c r="JIW92" t="s">
        <v>104</v>
      </c>
      <c r="JIX92" t="s">
        <v>103</v>
      </c>
      <c r="JIY92" t="s">
        <v>398</v>
      </c>
      <c r="JIZ92">
        <v>1</v>
      </c>
      <c r="JJA92" t="s">
        <v>438</v>
      </c>
      <c r="JJB92" t="s">
        <v>439</v>
      </c>
      <c r="JJC92" t="s">
        <v>428</v>
      </c>
      <c r="JJE92" t="s">
        <v>104</v>
      </c>
      <c r="JJF92" t="s">
        <v>103</v>
      </c>
      <c r="JJG92" t="s">
        <v>398</v>
      </c>
      <c r="JJH92">
        <v>1</v>
      </c>
      <c r="JJI92" t="s">
        <v>438</v>
      </c>
      <c r="JJJ92" t="s">
        <v>439</v>
      </c>
      <c r="JJK92" t="s">
        <v>428</v>
      </c>
      <c r="JJM92" t="s">
        <v>104</v>
      </c>
      <c r="JJN92" t="s">
        <v>103</v>
      </c>
      <c r="JJO92" t="s">
        <v>398</v>
      </c>
      <c r="JJP92">
        <v>1</v>
      </c>
      <c r="JJQ92" t="s">
        <v>438</v>
      </c>
      <c r="JJR92" t="s">
        <v>439</v>
      </c>
      <c r="JJS92" t="s">
        <v>428</v>
      </c>
      <c r="JJU92" t="s">
        <v>104</v>
      </c>
      <c r="JJV92" t="s">
        <v>103</v>
      </c>
      <c r="JJW92" t="s">
        <v>398</v>
      </c>
      <c r="JJX92">
        <v>1</v>
      </c>
      <c r="JJY92" t="s">
        <v>438</v>
      </c>
      <c r="JJZ92" t="s">
        <v>439</v>
      </c>
      <c r="JKA92" t="s">
        <v>428</v>
      </c>
      <c r="JKC92" t="s">
        <v>104</v>
      </c>
      <c r="JKD92" t="s">
        <v>103</v>
      </c>
      <c r="JKE92" t="s">
        <v>398</v>
      </c>
      <c r="JKF92">
        <v>1</v>
      </c>
      <c r="JKG92" t="s">
        <v>438</v>
      </c>
      <c r="JKH92" t="s">
        <v>439</v>
      </c>
      <c r="JKI92" t="s">
        <v>428</v>
      </c>
      <c r="JKK92" t="s">
        <v>104</v>
      </c>
      <c r="JKL92" t="s">
        <v>103</v>
      </c>
      <c r="JKM92" t="s">
        <v>398</v>
      </c>
      <c r="JKN92">
        <v>1</v>
      </c>
      <c r="JKO92" t="s">
        <v>438</v>
      </c>
      <c r="JKP92" t="s">
        <v>439</v>
      </c>
      <c r="JKQ92" t="s">
        <v>428</v>
      </c>
      <c r="JKS92" t="s">
        <v>104</v>
      </c>
      <c r="JKT92" t="s">
        <v>103</v>
      </c>
      <c r="JKU92" t="s">
        <v>398</v>
      </c>
      <c r="JKV92">
        <v>1</v>
      </c>
      <c r="JKW92" t="s">
        <v>438</v>
      </c>
      <c r="JKX92" t="s">
        <v>439</v>
      </c>
      <c r="JKY92" t="s">
        <v>428</v>
      </c>
      <c r="JLA92" t="s">
        <v>104</v>
      </c>
      <c r="JLB92" t="s">
        <v>103</v>
      </c>
      <c r="JLC92" t="s">
        <v>398</v>
      </c>
      <c r="JLD92">
        <v>1</v>
      </c>
      <c r="JLE92" t="s">
        <v>438</v>
      </c>
      <c r="JLF92" t="s">
        <v>439</v>
      </c>
      <c r="JLG92" t="s">
        <v>428</v>
      </c>
      <c r="JLI92" t="s">
        <v>104</v>
      </c>
      <c r="JLJ92" t="s">
        <v>103</v>
      </c>
      <c r="JLK92" t="s">
        <v>398</v>
      </c>
      <c r="JLL92">
        <v>1</v>
      </c>
      <c r="JLM92" t="s">
        <v>438</v>
      </c>
      <c r="JLN92" t="s">
        <v>439</v>
      </c>
      <c r="JLO92" t="s">
        <v>428</v>
      </c>
      <c r="JLQ92" t="s">
        <v>104</v>
      </c>
      <c r="JLR92" t="s">
        <v>103</v>
      </c>
      <c r="JLS92" t="s">
        <v>398</v>
      </c>
      <c r="JLT92">
        <v>1</v>
      </c>
      <c r="JLU92" t="s">
        <v>438</v>
      </c>
      <c r="JLV92" t="s">
        <v>439</v>
      </c>
      <c r="JLW92" t="s">
        <v>428</v>
      </c>
      <c r="JLY92" t="s">
        <v>104</v>
      </c>
      <c r="JLZ92" t="s">
        <v>103</v>
      </c>
      <c r="JMA92" t="s">
        <v>398</v>
      </c>
      <c r="JMB92">
        <v>1</v>
      </c>
      <c r="JMC92" t="s">
        <v>438</v>
      </c>
      <c r="JMD92" t="s">
        <v>439</v>
      </c>
      <c r="JME92" t="s">
        <v>428</v>
      </c>
      <c r="JMG92" t="s">
        <v>104</v>
      </c>
      <c r="JMH92" t="s">
        <v>103</v>
      </c>
      <c r="JMI92" t="s">
        <v>398</v>
      </c>
      <c r="JMJ92">
        <v>1</v>
      </c>
      <c r="JMK92" t="s">
        <v>438</v>
      </c>
      <c r="JML92" t="s">
        <v>439</v>
      </c>
      <c r="JMM92" t="s">
        <v>428</v>
      </c>
      <c r="JMO92" t="s">
        <v>104</v>
      </c>
      <c r="JMP92" t="s">
        <v>103</v>
      </c>
      <c r="JMQ92" t="s">
        <v>398</v>
      </c>
      <c r="JMR92">
        <v>1</v>
      </c>
      <c r="JMS92" t="s">
        <v>438</v>
      </c>
      <c r="JMT92" t="s">
        <v>439</v>
      </c>
      <c r="JMU92" t="s">
        <v>428</v>
      </c>
      <c r="JMW92" t="s">
        <v>104</v>
      </c>
      <c r="JMX92" t="s">
        <v>103</v>
      </c>
      <c r="JMY92" t="s">
        <v>398</v>
      </c>
      <c r="JMZ92">
        <v>1</v>
      </c>
      <c r="JNA92" t="s">
        <v>438</v>
      </c>
      <c r="JNB92" t="s">
        <v>439</v>
      </c>
      <c r="JNC92" t="s">
        <v>428</v>
      </c>
      <c r="JNE92" t="s">
        <v>104</v>
      </c>
      <c r="JNF92" t="s">
        <v>103</v>
      </c>
      <c r="JNG92" t="s">
        <v>398</v>
      </c>
      <c r="JNH92">
        <v>1</v>
      </c>
      <c r="JNI92" t="s">
        <v>438</v>
      </c>
      <c r="JNJ92" t="s">
        <v>439</v>
      </c>
      <c r="JNK92" t="s">
        <v>428</v>
      </c>
      <c r="JNM92" t="s">
        <v>104</v>
      </c>
      <c r="JNN92" t="s">
        <v>103</v>
      </c>
      <c r="JNO92" t="s">
        <v>398</v>
      </c>
      <c r="JNP92">
        <v>1</v>
      </c>
      <c r="JNQ92" t="s">
        <v>438</v>
      </c>
      <c r="JNR92" t="s">
        <v>439</v>
      </c>
      <c r="JNS92" t="s">
        <v>428</v>
      </c>
      <c r="JNU92" t="s">
        <v>104</v>
      </c>
      <c r="JNV92" t="s">
        <v>103</v>
      </c>
      <c r="JNW92" t="s">
        <v>398</v>
      </c>
      <c r="JNX92">
        <v>1</v>
      </c>
      <c r="JNY92" t="s">
        <v>438</v>
      </c>
      <c r="JNZ92" t="s">
        <v>439</v>
      </c>
      <c r="JOA92" t="s">
        <v>428</v>
      </c>
      <c r="JOC92" t="s">
        <v>104</v>
      </c>
      <c r="JOD92" t="s">
        <v>103</v>
      </c>
      <c r="JOE92" t="s">
        <v>398</v>
      </c>
      <c r="JOF92">
        <v>1</v>
      </c>
      <c r="JOG92" t="s">
        <v>438</v>
      </c>
      <c r="JOH92" t="s">
        <v>439</v>
      </c>
      <c r="JOI92" t="s">
        <v>428</v>
      </c>
      <c r="JOK92" t="s">
        <v>104</v>
      </c>
      <c r="JOL92" t="s">
        <v>103</v>
      </c>
      <c r="JOM92" t="s">
        <v>398</v>
      </c>
      <c r="JON92">
        <v>1</v>
      </c>
      <c r="JOO92" t="s">
        <v>438</v>
      </c>
      <c r="JOP92" t="s">
        <v>439</v>
      </c>
      <c r="JOQ92" t="s">
        <v>428</v>
      </c>
      <c r="JOS92" t="s">
        <v>104</v>
      </c>
      <c r="JOT92" t="s">
        <v>103</v>
      </c>
      <c r="JOU92" t="s">
        <v>398</v>
      </c>
      <c r="JOV92">
        <v>1</v>
      </c>
      <c r="JOW92" t="s">
        <v>438</v>
      </c>
      <c r="JOX92" t="s">
        <v>439</v>
      </c>
      <c r="JOY92" t="s">
        <v>428</v>
      </c>
      <c r="JPA92" t="s">
        <v>104</v>
      </c>
      <c r="JPB92" t="s">
        <v>103</v>
      </c>
      <c r="JPC92" t="s">
        <v>398</v>
      </c>
      <c r="JPD92">
        <v>1</v>
      </c>
      <c r="JPE92" t="s">
        <v>438</v>
      </c>
      <c r="JPF92" t="s">
        <v>439</v>
      </c>
      <c r="JPG92" t="s">
        <v>428</v>
      </c>
      <c r="JPI92" t="s">
        <v>104</v>
      </c>
      <c r="JPJ92" t="s">
        <v>103</v>
      </c>
      <c r="JPK92" t="s">
        <v>398</v>
      </c>
      <c r="JPL92">
        <v>1</v>
      </c>
      <c r="JPM92" t="s">
        <v>438</v>
      </c>
      <c r="JPN92" t="s">
        <v>439</v>
      </c>
      <c r="JPO92" t="s">
        <v>428</v>
      </c>
      <c r="JPQ92" t="s">
        <v>104</v>
      </c>
      <c r="JPR92" t="s">
        <v>103</v>
      </c>
      <c r="JPS92" t="s">
        <v>398</v>
      </c>
      <c r="JPT92">
        <v>1</v>
      </c>
      <c r="JPU92" t="s">
        <v>438</v>
      </c>
      <c r="JPV92" t="s">
        <v>439</v>
      </c>
      <c r="JPW92" t="s">
        <v>428</v>
      </c>
      <c r="JPY92" t="s">
        <v>104</v>
      </c>
      <c r="JPZ92" t="s">
        <v>103</v>
      </c>
      <c r="JQA92" t="s">
        <v>398</v>
      </c>
      <c r="JQB92">
        <v>1</v>
      </c>
      <c r="JQC92" t="s">
        <v>438</v>
      </c>
      <c r="JQD92" t="s">
        <v>439</v>
      </c>
      <c r="JQE92" t="s">
        <v>428</v>
      </c>
      <c r="JQG92" t="s">
        <v>104</v>
      </c>
      <c r="JQH92" t="s">
        <v>103</v>
      </c>
      <c r="JQI92" t="s">
        <v>398</v>
      </c>
      <c r="JQJ92">
        <v>1</v>
      </c>
      <c r="JQK92" t="s">
        <v>438</v>
      </c>
      <c r="JQL92" t="s">
        <v>439</v>
      </c>
      <c r="JQM92" t="s">
        <v>428</v>
      </c>
      <c r="JQO92" t="s">
        <v>104</v>
      </c>
      <c r="JQP92" t="s">
        <v>103</v>
      </c>
      <c r="JQQ92" t="s">
        <v>398</v>
      </c>
      <c r="JQR92">
        <v>1</v>
      </c>
      <c r="JQS92" t="s">
        <v>438</v>
      </c>
      <c r="JQT92" t="s">
        <v>439</v>
      </c>
      <c r="JQU92" t="s">
        <v>428</v>
      </c>
      <c r="JQW92" t="s">
        <v>104</v>
      </c>
      <c r="JQX92" t="s">
        <v>103</v>
      </c>
      <c r="JQY92" t="s">
        <v>398</v>
      </c>
      <c r="JQZ92">
        <v>1</v>
      </c>
      <c r="JRA92" t="s">
        <v>438</v>
      </c>
      <c r="JRB92" t="s">
        <v>439</v>
      </c>
      <c r="JRC92" t="s">
        <v>428</v>
      </c>
      <c r="JRE92" t="s">
        <v>104</v>
      </c>
      <c r="JRF92" t="s">
        <v>103</v>
      </c>
      <c r="JRG92" t="s">
        <v>398</v>
      </c>
      <c r="JRH92">
        <v>1</v>
      </c>
      <c r="JRI92" t="s">
        <v>438</v>
      </c>
      <c r="JRJ92" t="s">
        <v>439</v>
      </c>
      <c r="JRK92" t="s">
        <v>428</v>
      </c>
      <c r="JRM92" t="s">
        <v>104</v>
      </c>
      <c r="JRN92" t="s">
        <v>103</v>
      </c>
      <c r="JRO92" t="s">
        <v>398</v>
      </c>
      <c r="JRP92">
        <v>1</v>
      </c>
      <c r="JRQ92" t="s">
        <v>438</v>
      </c>
      <c r="JRR92" t="s">
        <v>439</v>
      </c>
      <c r="JRS92" t="s">
        <v>428</v>
      </c>
      <c r="JRU92" t="s">
        <v>104</v>
      </c>
      <c r="JRV92" t="s">
        <v>103</v>
      </c>
      <c r="JRW92" t="s">
        <v>398</v>
      </c>
      <c r="JRX92">
        <v>1</v>
      </c>
      <c r="JRY92" t="s">
        <v>438</v>
      </c>
      <c r="JRZ92" t="s">
        <v>439</v>
      </c>
      <c r="JSA92" t="s">
        <v>428</v>
      </c>
      <c r="JSC92" t="s">
        <v>104</v>
      </c>
      <c r="JSD92" t="s">
        <v>103</v>
      </c>
      <c r="JSE92" t="s">
        <v>398</v>
      </c>
      <c r="JSF92">
        <v>1</v>
      </c>
      <c r="JSG92" t="s">
        <v>438</v>
      </c>
      <c r="JSH92" t="s">
        <v>439</v>
      </c>
      <c r="JSI92" t="s">
        <v>428</v>
      </c>
      <c r="JSK92" t="s">
        <v>104</v>
      </c>
      <c r="JSL92" t="s">
        <v>103</v>
      </c>
      <c r="JSM92" t="s">
        <v>398</v>
      </c>
      <c r="JSN92">
        <v>1</v>
      </c>
      <c r="JSO92" t="s">
        <v>438</v>
      </c>
      <c r="JSP92" t="s">
        <v>439</v>
      </c>
      <c r="JSQ92" t="s">
        <v>428</v>
      </c>
      <c r="JSS92" t="s">
        <v>104</v>
      </c>
      <c r="JST92" t="s">
        <v>103</v>
      </c>
      <c r="JSU92" t="s">
        <v>398</v>
      </c>
      <c r="JSV92">
        <v>1</v>
      </c>
      <c r="JSW92" t="s">
        <v>438</v>
      </c>
      <c r="JSX92" t="s">
        <v>439</v>
      </c>
      <c r="JSY92" t="s">
        <v>428</v>
      </c>
      <c r="JTA92" t="s">
        <v>104</v>
      </c>
      <c r="JTB92" t="s">
        <v>103</v>
      </c>
      <c r="JTC92" t="s">
        <v>398</v>
      </c>
      <c r="JTD92">
        <v>1</v>
      </c>
      <c r="JTE92" t="s">
        <v>438</v>
      </c>
      <c r="JTF92" t="s">
        <v>439</v>
      </c>
      <c r="JTG92" t="s">
        <v>428</v>
      </c>
      <c r="JTI92" t="s">
        <v>104</v>
      </c>
      <c r="JTJ92" t="s">
        <v>103</v>
      </c>
      <c r="JTK92" t="s">
        <v>398</v>
      </c>
      <c r="JTL92">
        <v>1</v>
      </c>
      <c r="JTM92" t="s">
        <v>438</v>
      </c>
      <c r="JTN92" t="s">
        <v>439</v>
      </c>
      <c r="JTO92" t="s">
        <v>428</v>
      </c>
      <c r="JTQ92" t="s">
        <v>104</v>
      </c>
      <c r="JTR92" t="s">
        <v>103</v>
      </c>
      <c r="JTS92" t="s">
        <v>398</v>
      </c>
      <c r="JTT92">
        <v>1</v>
      </c>
      <c r="JTU92" t="s">
        <v>438</v>
      </c>
      <c r="JTV92" t="s">
        <v>439</v>
      </c>
      <c r="JTW92" t="s">
        <v>428</v>
      </c>
      <c r="JTY92" t="s">
        <v>104</v>
      </c>
      <c r="JTZ92" t="s">
        <v>103</v>
      </c>
      <c r="JUA92" t="s">
        <v>398</v>
      </c>
      <c r="JUB92">
        <v>1</v>
      </c>
      <c r="JUC92" t="s">
        <v>438</v>
      </c>
      <c r="JUD92" t="s">
        <v>439</v>
      </c>
      <c r="JUE92" t="s">
        <v>428</v>
      </c>
      <c r="JUG92" t="s">
        <v>104</v>
      </c>
      <c r="JUH92" t="s">
        <v>103</v>
      </c>
      <c r="JUI92" t="s">
        <v>398</v>
      </c>
      <c r="JUJ92">
        <v>1</v>
      </c>
      <c r="JUK92" t="s">
        <v>438</v>
      </c>
      <c r="JUL92" t="s">
        <v>439</v>
      </c>
      <c r="JUM92" t="s">
        <v>428</v>
      </c>
      <c r="JUO92" t="s">
        <v>104</v>
      </c>
      <c r="JUP92" t="s">
        <v>103</v>
      </c>
      <c r="JUQ92" t="s">
        <v>398</v>
      </c>
      <c r="JUR92">
        <v>1</v>
      </c>
      <c r="JUS92" t="s">
        <v>438</v>
      </c>
      <c r="JUT92" t="s">
        <v>439</v>
      </c>
      <c r="JUU92" t="s">
        <v>428</v>
      </c>
      <c r="JUW92" t="s">
        <v>104</v>
      </c>
      <c r="JUX92" t="s">
        <v>103</v>
      </c>
      <c r="JUY92" t="s">
        <v>398</v>
      </c>
      <c r="JUZ92">
        <v>1</v>
      </c>
      <c r="JVA92" t="s">
        <v>438</v>
      </c>
      <c r="JVB92" t="s">
        <v>439</v>
      </c>
      <c r="JVC92" t="s">
        <v>428</v>
      </c>
      <c r="JVE92" t="s">
        <v>104</v>
      </c>
      <c r="JVF92" t="s">
        <v>103</v>
      </c>
      <c r="JVG92" t="s">
        <v>398</v>
      </c>
      <c r="JVH92">
        <v>1</v>
      </c>
      <c r="JVI92" t="s">
        <v>438</v>
      </c>
      <c r="JVJ92" t="s">
        <v>439</v>
      </c>
      <c r="JVK92" t="s">
        <v>428</v>
      </c>
      <c r="JVM92" t="s">
        <v>104</v>
      </c>
      <c r="JVN92" t="s">
        <v>103</v>
      </c>
      <c r="JVO92" t="s">
        <v>398</v>
      </c>
      <c r="JVP92">
        <v>1</v>
      </c>
      <c r="JVQ92" t="s">
        <v>438</v>
      </c>
      <c r="JVR92" t="s">
        <v>439</v>
      </c>
      <c r="JVS92" t="s">
        <v>428</v>
      </c>
      <c r="JVU92" t="s">
        <v>104</v>
      </c>
      <c r="JVV92" t="s">
        <v>103</v>
      </c>
      <c r="JVW92" t="s">
        <v>398</v>
      </c>
      <c r="JVX92">
        <v>1</v>
      </c>
      <c r="JVY92" t="s">
        <v>438</v>
      </c>
      <c r="JVZ92" t="s">
        <v>439</v>
      </c>
      <c r="JWA92" t="s">
        <v>428</v>
      </c>
      <c r="JWC92" t="s">
        <v>104</v>
      </c>
      <c r="JWD92" t="s">
        <v>103</v>
      </c>
      <c r="JWE92" t="s">
        <v>398</v>
      </c>
      <c r="JWF92">
        <v>1</v>
      </c>
      <c r="JWG92" t="s">
        <v>438</v>
      </c>
      <c r="JWH92" t="s">
        <v>439</v>
      </c>
      <c r="JWI92" t="s">
        <v>428</v>
      </c>
      <c r="JWK92" t="s">
        <v>104</v>
      </c>
      <c r="JWL92" t="s">
        <v>103</v>
      </c>
      <c r="JWM92" t="s">
        <v>398</v>
      </c>
      <c r="JWN92">
        <v>1</v>
      </c>
      <c r="JWO92" t="s">
        <v>438</v>
      </c>
      <c r="JWP92" t="s">
        <v>439</v>
      </c>
      <c r="JWQ92" t="s">
        <v>428</v>
      </c>
      <c r="JWS92" t="s">
        <v>104</v>
      </c>
      <c r="JWT92" t="s">
        <v>103</v>
      </c>
      <c r="JWU92" t="s">
        <v>398</v>
      </c>
      <c r="JWV92">
        <v>1</v>
      </c>
      <c r="JWW92" t="s">
        <v>438</v>
      </c>
      <c r="JWX92" t="s">
        <v>439</v>
      </c>
      <c r="JWY92" t="s">
        <v>428</v>
      </c>
      <c r="JXA92" t="s">
        <v>104</v>
      </c>
      <c r="JXB92" t="s">
        <v>103</v>
      </c>
      <c r="JXC92" t="s">
        <v>398</v>
      </c>
      <c r="JXD92">
        <v>1</v>
      </c>
      <c r="JXE92" t="s">
        <v>438</v>
      </c>
      <c r="JXF92" t="s">
        <v>439</v>
      </c>
      <c r="JXG92" t="s">
        <v>428</v>
      </c>
      <c r="JXI92" t="s">
        <v>104</v>
      </c>
      <c r="JXJ92" t="s">
        <v>103</v>
      </c>
      <c r="JXK92" t="s">
        <v>398</v>
      </c>
      <c r="JXL92">
        <v>1</v>
      </c>
      <c r="JXM92" t="s">
        <v>438</v>
      </c>
      <c r="JXN92" t="s">
        <v>439</v>
      </c>
      <c r="JXO92" t="s">
        <v>428</v>
      </c>
      <c r="JXQ92" t="s">
        <v>104</v>
      </c>
      <c r="JXR92" t="s">
        <v>103</v>
      </c>
      <c r="JXS92" t="s">
        <v>398</v>
      </c>
      <c r="JXT92">
        <v>1</v>
      </c>
      <c r="JXU92" t="s">
        <v>438</v>
      </c>
      <c r="JXV92" t="s">
        <v>439</v>
      </c>
      <c r="JXW92" t="s">
        <v>428</v>
      </c>
      <c r="JXY92" t="s">
        <v>104</v>
      </c>
      <c r="JXZ92" t="s">
        <v>103</v>
      </c>
      <c r="JYA92" t="s">
        <v>398</v>
      </c>
      <c r="JYB92">
        <v>1</v>
      </c>
      <c r="JYC92" t="s">
        <v>438</v>
      </c>
      <c r="JYD92" t="s">
        <v>439</v>
      </c>
      <c r="JYE92" t="s">
        <v>428</v>
      </c>
      <c r="JYG92" t="s">
        <v>104</v>
      </c>
      <c r="JYH92" t="s">
        <v>103</v>
      </c>
      <c r="JYI92" t="s">
        <v>398</v>
      </c>
      <c r="JYJ92">
        <v>1</v>
      </c>
      <c r="JYK92" t="s">
        <v>438</v>
      </c>
      <c r="JYL92" t="s">
        <v>439</v>
      </c>
      <c r="JYM92" t="s">
        <v>428</v>
      </c>
      <c r="JYO92" t="s">
        <v>104</v>
      </c>
      <c r="JYP92" t="s">
        <v>103</v>
      </c>
      <c r="JYQ92" t="s">
        <v>398</v>
      </c>
      <c r="JYR92">
        <v>1</v>
      </c>
      <c r="JYS92" t="s">
        <v>438</v>
      </c>
      <c r="JYT92" t="s">
        <v>439</v>
      </c>
      <c r="JYU92" t="s">
        <v>428</v>
      </c>
      <c r="JYW92" t="s">
        <v>104</v>
      </c>
      <c r="JYX92" t="s">
        <v>103</v>
      </c>
      <c r="JYY92" t="s">
        <v>398</v>
      </c>
      <c r="JYZ92">
        <v>1</v>
      </c>
      <c r="JZA92" t="s">
        <v>438</v>
      </c>
      <c r="JZB92" t="s">
        <v>439</v>
      </c>
      <c r="JZC92" t="s">
        <v>428</v>
      </c>
      <c r="JZE92" t="s">
        <v>104</v>
      </c>
      <c r="JZF92" t="s">
        <v>103</v>
      </c>
      <c r="JZG92" t="s">
        <v>398</v>
      </c>
      <c r="JZH92">
        <v>1</v>
      </c>
      <c r="JZI92" t="s">
        <v>438</v>
      </c>
      <c r="JZJ92" t="s">
        <v>439</v>
      </c>
      <c r="JZK92" t="s">
        <v>428</v>
      </c>
      <c r="JZM92" t="s">
        <v>104</v>
      </c>
      <c r="JZN92" t="s">
        <v>103</v>
      </c>
      <c r="JZO92" t="s">
        <v>398</v>
      </c>
      <c r="JZP92">
        <v>1</v>
      </c>
      <c r="JZQ92" t="s">
        <v>438</v>
      </c>
      <c r="JZR92" t="s">
        <v>439</v>
      </c>
      <c r="JZS92" t="s">
        <v>428</v>
      </c>
      <c r="JZU92" t="s">
        <v>104</v>
      </c>
      <c r="JZV92" t="s">
        <v>103</v>
      </c>
      <c r="JZW92" t="s">
        <v>398</v>
      </c>
      <c r="JZX92">
        <v>1</v>
      </c>
      <c r="JZY92" t="s">
        <v>438</v>
      </c>
      <c r="JZZ92" t="s">
        <v>439</v>
      </c>
      <c r="KAA92" t="s">
        <v>428</v>
      </c>
      <c r="KAC92" t="s">
        <v>104</v>
      </c>
      <c r="KAD92" t="s">
        <v>103</v>
      </c>
      <c r="KAE92" t="s">
        <v>398</v>
      </c>
      <c r="KAF92">
        <v>1</v>
      </c>
      <c r="KAG92" t="s">
        <v>438</v>
      </c>
      <c r="KAH92" t="s">
        <v>439</v>
      </c>
      <c r="KAI92" t="s">
        <v>428</v>
      </c>
      <c r="KAK92" t="s">
        <v>104</v>
      </c>
      <c r="KAL92" t="s">
        <v>103</v>
      </c>
      <c r="KAM92" t="s">
        <v>398</v>
      </c>
      <c r="KAN92">
        <v>1</v>
      </c>
      <c r="KAO92" t="s">
        <v>438</v>
      </c>
      <c r="KAP92" t="s">
        <v>439</v>
      </c>
      <c r="KAQ92" t="s">
        <v>428</v>
      </c>
      <c r="KAS92" t="s">
        <v>104</v>
      </c>
      <c r="KAT92" t="s">
        <v>103</v>
      </c>
      <c r="KAU92" t="s">
        <v>398</v>
      </c>
      <c r="KAV92">
        <v>1</v>
      </c>
      <c r="KAW92" t="s">
        <v>438</v>
      </c>
      <c r="KAX92" t="s">
        <v>439</v>
      </c>
      <c r="KAY92" t="s">
        <v>428</v>
      </c>
      <c r="KBA92" t="s">
        <v>104</v>
      </c>
      <c r="KBB92" t="s">
        <v>103</v>
      </c>
      <c r="KBC92" t="s">
        <v>398</v>
      </c>
      <c r="KBD92">
        <v>1</v>
      </c>
      <c r="KBE92" t="s">
        <v>438</v>
      </c>
      <c r="KBF92" t="s">
        <v>439</v>
      </c>
      <c r="KBG92" t="s">
        <v>428</v>
      </c>
      <c r="KBI92" t="s">
        <v>104</v>
      </c>
      <c r="KBJ92" t="s">
        <v>103</v>
      </c>
      <c r="KBK92" t="s">
        <v>398</v>
      </c>
      <c r="KBL92">
        <v>1</v>
      </c>
      <c r="KBM92" t="s">
        <v>438</v>
      </c>
      <c r="KBN92" t="s">
        <v>439</v>
      </c>
      <c r="KBO92" t="s">
        <v>428</v>
      </c>
      <c r="KBQ92" t="s">
        <v>104</v>
      </c>
      <c r="KBR92" t="s">
        <v>103</v>
      </c>
      <c r="KBS92" t="s">
        <v>398</v>
      </c>
      <c r="KBT92">
        <v>1</v>
      </c>
      <c r="KBU92" t="s">
        <v>438</v>
      </c>
      <c r="KBV92" t="s">
        <v>439</v>
      </c>
      <c r="KBW92" t="s">
        <v>428</v>
      </c>
      <c r="KBY92" t="s">
        <v>104</v>
      </c>
      <c r="KBZ92" t="s">
        <v>103</v>
      </c>
      <c r="KCA92" t="s">
        <v>398</v>
      </c>
      <c r="KCB92">
        <v>1</v>
      </c>
      <c r="KCC92" t="s">
        <v>438</v>
      </c>
      <c r="KCD92" t="s">
        <v>439</v>
      </c>
      <c r="KCE92" t="s">
        <v>428</v>
      </c>
      <c r="KCG92" t="s">
        <v>104</v>
      </c>
      <c r="KCH92" t="s">
        <v>103</v>
      </c>
      <c r="KCI92" t="s">
        <v>398</v>
      </c>
      <c r="KCJ92">
        <v>1</v>
      </c>
      <c r="KCK92" t="s">
        <v>438</v>
      </c>
      <c r="KCL92" t="s">
        <v>439</v>
      </c>
      <c r="KCM92" t="s">
        <v>428</v>
      </c>
      <c r="KCO92" t="s">
        <v>104</v>
      </c>
      <c r="KCP92" t="s">
        <v>103</v>
      </c>
      <c r="KCQ92" t="s">
        <v>398</v>
      </c>
      <c r="KCR92">
        <v>1</v>
      </c>
      <c r="KCS92" t="s">
        <v>438</v>
      </c>
      <c r="KCT92" t="s">
        <v>439</v>
      </c>
      <c r="KCU92" t="s">
        <v>428</v>
      </c>
      <c r="KCW92" t="s">
        <v>104</v>
      </c>
      <c r="KCX92" t="s">
        <v>103</v>
      </c>
      <c r="KCY92" t="s">
        <v>398</v>
      </c>
      <c r="KCZ92">
        <v>1</v>
      </c>
      <c r="KDA92" t="s">
        <v>438</v>
      </c>
      <c r="KDB92" t="s">
        <v>439</v>
      </c>
      <c r="KDC92" t="s">
        <v>428</v>
      </c>
      <c r="KDE92" t="s">
        <v>104</v>
      </c>
      <c r="KDF92" t="s">
        <v>103</v>
      </c>
      <c r="KDG92" t="s">
        <v>398</v>
      </c>
      <c r="KDH92">
        <v>1</v>
      </c>
      <c r="KDI92" t="s">
        <v>438</v>
      </c>
      <c r="KDJ92" t="s">
        <v>439</v>
      </c>
      <c r="KDK92" t="s">
        <v>428</v>
      </c>
      <c r="KDM92" t="s">
        <v>104</v>
      </c>
      <c r="KDN92" t="s">
        <v>103</v>
      </c>
      <c r="KDO92" t="s">
        <v>398</v>
      </c>
      <c r="KDP92">
        <v>1</v>
      </c>
      <c r="KDQ92" t="s">
        <v>438</v>
      </c>
      <c r="KDR92" t="s">
        <v>439</v>
      </c>
      <c r="KDS92" t="s">
        <v>428</v>
      </c>
      <c r="KDU92" t="s">
        <v>104</v>
      </c>
      <c r="KDV92" t="s">
        <v>103</v>
      </c>
      <c r="KDW92" t="s">
        <v>398</v>
      </c>
      <c r="KDX92">
        <v>1</v>
      </c>
      <c r="KDY92" t="s">
        <v>438</v>
      </c>
      <c r="KDZ92" t="s">
        <v>439</v>
      </c>
      <c r="KEA92" t="s">
        <v>428</v>
      </c>
      <c r="KEC92" t="s">
        <v>104</v>
      </c>
      <c r="KED92" t="s">
        <v>103</v>
      </c>
      <c r="KEE92" t="s">
        <v>398</v>
      </c>
      <c r="KEF92">
        <v>1</v>
      </c>
      <c r="KEG92" t="s">
        <v>438</v>
      </c>
      <c r="KEH92" t="s">
        <v>439</v>
      </c>
      <c r="KEI92" t="s">
        <v>428</v>
      </c>
      <c r="KEK92" t="s">
        <v>104</v>
      </c>
      <c r="KEL92" t="s">
        <v>103</v>
      </c>
      <c r="KEM92" t="s">
        <v>398</v>
      </c>
      <c r="KEN92">
        <v>1</v>
      </c>
      <c r="KEO92" t="s">
        <v>438</v>
      </c>
      <c r="KEP92" t="s">
        <v>439</v>
      </c>
      <c r="KEQ92" t="s">
        <v>428</v>
      </c>
      <c r="KES92" t="s">
        <v>104</v>
      </c>
      <c r="KET92" t="s">
        <v>103</v>
      </c>
      <c r="KEU92" t="s">
        <v>398</v>
      </c>
      <c r="KEV92">
        <v>1</v>
      </c>
      <c r="KEW92" t="s">
        <v>438</v>
      </c>
      <c r="KEX92" t="s">
        <v>439</v>
      </c>
      <c r="KEY92" t="s">
        <v>428</v>
      </c>
      <c r="KFA92" t="s">
        <v>104</v>
      </c>
      <c r="KFB92" t="s">
        <v>103</v>
      </c>
      <c r="KFC92" t="s">
        <v>398</v>
      </c>
      <c r="KFD92">
        <v>1</v>
      </c>
      <c r="KFE92" t="s">
        <v>438</v>
      </c>
      <c r="KFF92" t="s">
        <v>439</v>
      </c>
      <c r="KFG92" t="s">
        <v>428</v>
      </c>
      <c r="KFI92" t="s">
        <v>104</v>
      </c>
      <c r="KFJ92" t="s">
        <v>103</v>
      </c>
      <c r="KFK92" t="s">
        <v>398</v>
      </c>
      <c r="KFL92">
        <v>1</v>
      </c>
      <c r="KFM92" t="s">
        <v>438</v>
      </c>
      <c r="KFN92" t="s">
        <v>439</v>
      </c>
      <c r="KFO92" t="s">
        <v>428</v>
      </c>
      <c r="KFQ92" t="s">
        <v>104</v>
      </c>
      <c r="KFR92" t="s">
        <v>103</v>
      </c>
      <c r="KFS92" t="s">
        <v>398</v>
      </c>
      <c r="KFT92">
        <v>1</v>
      </c>
      <c r="KFU92" t="s">
        <v>438</v>
      </c>
      <c r="KFV92" t="s">
        <v>439</v>
      </c>
      <c r="KFW92" t="s">
        <v>428</v>
      </c>
      <c r="KFY92" t="s">
        <v>104</v>
      </c>
      <c r="KFZ92" t="s">
        <v>103</v>
      </c>
      <c r="KGA92" t="s">
        <v>398</v>
      </c>
      <c r="KGB92">
        <v>1</v>
      </c>
      <c r="KGC92" t="s">
        <v>438</v>
      </c>
      <c r="KGD92" t="s">
        <v>439</v>
      </c>
      <c r="KGE92" t="s">
        <v>428</v>
      </c>
      <c r="KGG92" t="s">
        <v>104</v>
      </c>
      <c r="KGH92" t="s">
        <v>103</v>
      </c>
      <c r="KGI92" t="s">
        <v>398</v>
      </c>
      <c r="KGJ92">
        <v>1</v>
      </c>
      <c r="KGK92" t="s">
        <v>438</v>
      </c>
      <c r="KGL92" t="s">
        <v>439</v>
      </c>
      <c r="KGM92" t="s">
        <v>428</v>
      </c>
      <c r="KGO92" t="s">
        <v>104</v>
      </c>
      <c r="KGP92" t="s">
        <v>103</v>
      </c>
      <c r="KGQ92" t="s">
        <v>398</v>
      </c>
      <c r="KGR92">
        <v>1</v>
      </c>
      <c r="KGS92" t="s">
        <v>438</v>
      </c>
      <c r="KGT92" t="s">
        <v>439</v>
      </c>
      <c r="KGU92" t="s">
        <v>428</v>
      </c>
      <c r="KGW92" t="s">
        <v>104</v>
      </c>
      <c r="KGX92" t="s">
        <v>103</v>
      </c>
      <c r="KGY92" t="s">
        <v>398</v>
      </c>
      <c r="KGZ92">
        <v>1</v>
      </c>
      <c r="KHA92" t="s">
        <v>438</v>
      </c>
      <c r="KHB92" t="s">
        <v>439</v>
      </c>
      <c r="KHC92" t="s">
        <v>428</v>
      </c>
      <c r="KHE92" t="s">
        <v>104</v>
      </c>
      <c r="KHF92" t="s">
        <v>103</v>
      </c>
      <c r="KHG92" t="s">
        <v>398</v>
      </c>
      <c r="KHH92">
        <v>1</v>
      </c>
      <c r="KHI92" t="s">
        <v>438</v>
      </c>
      <c r="KHJ92" t="s">
        <v>439</v>
      </c>
      <c r="KHK92" t="s">
        <v>428</v>
      </c>
      <c r="KHM92" t="s">
        <v>104</v>
      </c>
      <c r="KHN92" t="s">
        <v>103</v>
      </c>
      <c r="KHO92" t="s">
        <v>398</v>
      </c>
      <c r="KHP92">
        <v>1</v>
      </c>
      <c r="KHQ92" t="s">
        <v>438</v>
      </c>
      <c r="KHR92" t="s">
        <v>439</v>
      </c>
      <c r="KHS92" t="s">
        <v>428</v>
      </c>
      <c r="KHU92" t="s">
        <v>104</v>
      </c>
      <c r="KHV92" t="s">
        <v>103</v>
      </c>
      <c r="KHW92" t="s">
        <v>398</v>
      </c>
      <c r="KHX92">
        <v>1</v>
      </c>
      <c r="KHY92" t="s">
        <v>438</v>
      </c>
      <c r="KHZ92" t="s">
        <v>439</v>
      </c>
      <c r="KIA92" t="s">
        <v>428</v>
      </c>
      <c r="KIC92" t="s">
        <v>104</v>
      </c>
      <c r="KID92" t="s">
        <v>103</v>
      </c>
      <c r="KIE92" t="s">
        <v>398</v>
      </c>
      <c r="KIF92">
        <v>1</v>
      </c>
      <c r="KIG92" t="s">
        <v>438</v>
      </c>
      <c r="KIH92" t="s">
        <v>439</v>
      </c>
      <c r="KII92" t="s">
        <v>428</v>
      </c>
      <c r="KIK92" t="s">
        <v>104</v>
      </c>
      <c r="KIL92" t="s">
        <v>103</v>
      </c>
      <c r="KIM92" t="s">
        <v>398</v>
      </c>
      <c r="KIN92">
        <v>1</v>
      </c>
      <c r="KIO92" t="s">
        <v>438</v>
      </c>
      <c r="KIP92" t="s">
        <v>439</v>
      </c>
      <c r="KIQ92" t="s">
        <v>428</v>
      </c>
      <c r="KIS92" t="s">
        <v>104</v>
      </c>
      <c r="KIT92" t="s">
        <v>103</v>
      </c>
      <c r="KIU92" t="s">
        <v>398</v>
      </c>
      <c r="KIV92">
        <v>1</v>
      </c>
      <c r="KIW92" t="s">
        <v>438</v>
      </c>
      <c r="KIX92" t="s">
        <v>439</v>
      </c>
      <c r="KIY92" t="s">
        <v>428</v>
      </c>
      <c r="KJA92" t="s">
        <v>104</v>
      </c>
      <c r="KJB92" t="s">
        <v>103</v>
      </c>
      <c r="KJC92" t="s">
        <v>398</v>
      </c>
      <c r="KJD92">
        <v>1</v>
      </c>
      <c r="KJE92" t="s">
        <v>438</v>
      </c>
      <c r="KJF92" t="s">
        <v>439</v>
      </c>
      <c r="KJG92" t="s">
        <v>428</v>
      </c>
      <c r="KJI92" t="s">
        <v>104</v>
      </c>
      <c r="KJJ92" t="s">
        <v>103</v>
      </c>
      <c r="KJK92" t="s">
        <v>398</v>
      </c>
      <c r="KJL92">
        <v>1</v>
      </c>
      <c r="KJM92" t="s">
        <v>438</v>
      </c>
      <c r="KJN92" t="s">
        <v>439</v>
      </c>
      <c r="KJO92" t="s">
        <v>428</v>
      </c>
      <c r="KJQ92" t="s">
        <v>104</v>
      </c>
      <c r="KJR92" t="s">
        <v>103</v>
      </c>
      <c r="KJS92" t="s">
        <v>398</v>
      </c>
      <c r="KJT92">
        <v>1</v>
      </c>
      <c r="KJU92" t="s">
        <v>438</v>
      </c>
      <c r="KJV92" t="s">
        <v>439</v>
      </c>
      <c r="KJW92" t="s">
        <v>428</v>
      </c>
      <c r="KJY92" t="s">
        <v>104</v>
      </c>
      <c r="KJZ92" t="s">
        <v>103</v>
      </c>
      <c r="KKA92" t="s">
        <v>398</v>
      </c>
      <c r="KKB92">
        <v>1</v>
      </c>
      <c r="KKC92" t="s">
        <v>438</v>
      </c>
      <c r="KKD92" t="s">
        <v>439</v>
      </c>
      <c r="KKE92" t="s">
        <v>428</v>
      </c>
      <c r="KKG92" t="s">
        <v>104</v>
      </c>
      <c r="KKH92" t="s">
        <v>103</v>
      </c>
      <c r="KKI92" t="s">
        <v>398</v>
      </c>
      <c r="KKJ92">
        <v>1</v>
      </c>
      <c r="KKK92" t="s">
        <v>438</v>
      </c>
      <c r="KKL92" t="s">
        <v>439</v>
      </c>
      <c r="KKM92" t="s">
        <v>428</v>
      </c>
      <c r="KKO92" t="s">
        <v>104</v>
      </c>
      <c r="KKP92" t="s">
        <v>103</v>
      </c>
      <c r="KKQ92" t="s">
        <v>398</v>
      </c>
      <c r="KKR92">
        <v>1</v>
      </c>
      <c r="KKS92" t="s">
        <v>438</v>
      </c>
      <c r="KKT92" t="s">
        <v>439</v>
      </c>
      <c r="KKU92" t="s">
        <v>428</v>
      </c>
      <c r="KKW92" t="s">
        <v>104</v>
      </c>
      <c r="KKX92" t="s">
        <v>103</v>
      </c>
      <c r="KKY92" t="s">
        <v>398</v>
      </c>
      <c r="KKZ92">
        <v>1</v>
      </c>
      <c r="KLA92" t="s">
        <v>438</v>
      </c>
      <c r="KLB92" t="s">
        <v>439</v>
      </c>
      <c r="KLC92" t="s">
        <v>428</v>
      </c>
      <c r="KLE92" t="s">
        <v>104</v>
      </c>
      <c r="KLF92" t="s">
        <v>103</v>
      </c>
      <c r="KLG92" t="s">
        <v>398</v>
      </c>
      <c r="KLH92">
        <v>1</v>
      </c>
      <c r="KLI92" t="s">
        <v>438</v>
      </c>
      <c r="KLJ92" t="s">
        <v>439</v>
      </c>
      <c r="KLK92" t="s">
        <v>428</v>
      </c>
      <c r="KLM92" t="s">
        <v>104</v>
      </c>
      <c r="KLN92" t="s">
        <v>103</v>
      </c>
      <c r="KLO92" t="s">
        <v>398</v>
      </c>
      <c r="KLP92">
        <v>1</v>
      </c>
      <c r="KLQ92" t="s">
        <v>438</v>
      </c>
      <c r="KLR92" t="s">
        <v>439</v>
      </c>
      <c r="KLS92" t="s">
        <v>428</v>
      </c>
      <c r="KLU92" t="s">
        <v>104</v>
      </c>
      <c r="KLV92" t="s">
        <v>103</v>
      </c>
      <c r="KLW92" t="s">
        <v>398</v>
      </c>
      <c r="KLX92">
        <v>1</v>
      </c>
      <c r="KLY92" t="s">
        <v>438</v>
      </c>
      <c r="KLZ92" t="s">
        <v>439</v>
      </c>
      <c r="KMA92" t="s">
        <v>428</v>
      </c>
      <c r="KMC92" t="s">
        <v>104</v>
      </c>
      <c r="KMD92" t="s">
        <v>103</v>
      </c>
      <c r="KME92" t="s">
        <v>398</v>
      </c>
      <c r="KMF92">
        <v>1</v>
      </c>
      <c r="KMG92" t="s">
        <v>438</v>
      </c>
      <c r="KMH92" t="s">
        <v>439</v>
      </c>
      <c r="KMI92" t="s">
        <v>428</v>
      </c>
      <c r="KMK92" t="s">
        <v>104</v>
      </c>
      <c r="KML92" t="s">
        <v>103</v>
      </c>
      <c r="KMM92" t="s">
        <v>398</v>
      </c>
      <c r="KMN92">
        <v>1</v>
      </c>
      <c r="KMO92" t="s">
        <v>438</v>
      </c>
      <c r="KMP92" t="s">
        <v>439</v>
      </c>
      <c r="KMQ92" t="s">
        <v>428</v>
      </c>
      <c r="KMS92" t="s">
        <v>104</v>
      </c>
      <c r="KMT92" t="s">
        <v>103</v>
      </c>
      <c r="KMU92" t="s">
        <v>398</v>
      </c>
      <c r="KMV92">
        <v>1</v>
      </c>
      <c r="KMW92" t="s">
        <v>438</v>
      </c>
      <c r="KMX92" t="s">
        <v>439</v>
      </c>
      <c r="KMY92" t="s">
        <v>428</v>
      </c>
      <c r="KNA92" t="s">
        <v>104</v>
      </c>
      <c r="KNB92" t="s">
        <v>103</v>
      </c>
      <c r="KNC92" t="s">
        <v>398</v>
      </c>
      <c r="KND92">
        <v>1</v>
      </c>
      <c r="KNE92" t="s">
        <v>438</v>
      </c>
      <c r="KNF92" t="s">
        <v>439</v>
      </c>
      <c r="KNG92" t="s">
        <v>428</v>
      </c>
      <c r="KNI92" t="s">
        <v>104</v>
      </c>
      <c r="KNJ92" t="s">
        <v>103</v>
      </c>
      <c r="KNK92" t="s">
        <v>398</v>
      </c>
      <c r="KNL92">
        <v>1</v>
      </c>
      <c r="KNM92" t="s">
        <v>438</v>
      </c>
      <c r="KNN92" t="s">
        <v>439</v>
      </c>
      <c r="KNO92" t="s">
        <v>428</v>
      </c>
      <c r="KNQ92" t="s">
        <v>104</v>
      </c>
      <c r="KNR92" t="s">
        <v>103</v>
      </c>
      <c r="KNS92" t="s">
        <v>398</v>
      </c>
      <c r="KNT92">
        <v>1</v>
      </c>
      <c r="KNU92" t="s">
        <v>438</v>
      </c>
      <c r="KNV92" t="s">
        <v>439</v>
      </c>
      <c r="KNW92" t="s">
        <v>428</v>
      </c>
      <c r="KNY92" t="s">
        <v>104</v>
      </c>
      <c r="KNZ92" t="s">
        <v>103</v>
      </c>
      <c r="KOA92" t="s">
        <v>398</v>
      </c>
      <c r="KOB92">
        <v>1</v>
      </c>
      <c r="KOC92" t="s">
        <v>438</v>
      </c>
      <c r="KOD92" t="s">
        <v>439</v>
      </c>
      <c r="KOE92" t="s">
        <v>428</v>
      </c>
      <c r="KOG92" t="s">
        <v>104</v>
      </c>
      <c r="KOH92" t="s">
        <v>103</v>
      </c>
      <c r="KOI92" t="s">
        <v>398</v>
      </c>
      <c r="KOJ92">
        <v>1</v>
      </c>
      <c r="KOK92" t="s">
        <v>438</v>
      </c>
      <c r="KOL92" t="s">
        <v>439</v>
      </c>
      <c r="KOM92" t="s">
        <v>428</v>
      </c>
      <c r="KOO92" t="s">
        <v>104</v>
      </c>
      <c r="KOP92" t="s">
        <v>103</v>
      </c>
      <c r="KOQ92" t="s">
        <v>398</v>
      </c>
      <c r="KOR92">
        <v>1</v>
      </c>
      <c r="KOS92" t="s">
        <v>438</v>
      </c>
      <c r="KOT92" t="s">
        <v>439</v>
      </c>
      <c r="KOU92" t="s">
        <v>428</v>
      </c>
      <c r="KOW92" t="s">
        <v>104</v>
      </c>
      <c r="KOX92" t="s">
        <v>103</v>
      </c>
      <c r="KOY92" t="s">
        <v>398</v>
      </c>
      <c r="KOZ92">
        <v>1</v>
      </c>
      <c r="KPA92" t="s">
        <v>438</v>
      </c>
      <c r="KPB92" t="s">
        <v>439</v>
      </c>
      <c r="KPC92" t="s">
        <v>428</v>
      </c>
      <c r="KPE92" t="s">
        <v>104</v>
      </c>
      <c r="KPF92" t="s">
        <v>103</v>
      </c>
      <c r="KPG92" t="s">
        <v>398</v>
      </c>
      <c r="KPH92">
        <v>1</v>
      </c>
      <c r="KPI92" t="s">
        <v>438</v>
      </c>
      <c r="KPJ92" t="s">
        <v>439</v>
      </c>
      <c r="KPK92" t="s">
        <v>428</v>
      </c>
      <c r="KPM92" t="s">
        <v>104</v>
      </c>
      <c r="KPN92" t="s">
        <v>103</v>
      </c>
      <c r="KPO92" t="s">
        <v>398</v>
      </c>
      <c r="KPP92">
        <v>1</v>
      </c>
      <c r="KPQ92" t="s">
        <v>438</v>
      </c>
      <c r="KPR92" t="s">
        <v>439</v>
      </c>
      <c r="KPS92" t="s">
        <v>428</v>
      </c>
      <c r="KPU92" t="s">
        <v>104</v>
      </c>
      <c r="KPV92" t="s">
        <v>103</v>
      </c>
      <c r="KPW92" t="s">
        <v>398</v>
      </c>
      <c r="KPX92">
        <v>1</v>
      </c>
      <c r="KPY92" t="s">
        <v>438</v>
      </c>
      <c r="KPZ92" t="s">
        <v>439</v>
      </c>
      <c r="KQA92" t="s">
        <v>428</v>
      </c>
      <c r="KQC92" t="s">
        <v>104</v>
      </c>
      <c r="KQD92" t="s">
        <v>103</v>
      </c>
      <c r="KQE92" t="s">
        <v>398</v>
      </c>
      <c r="KQF92">
        <v>1</v>
      </c>
      <c r="KQG92" t="s">
        <v>438</v>
      </c>
      <c r="KQH92" t="s">
        <v>439</v>
      </c>
      <c r="KQI92" t="s">
        <v>428</v>
      </c>
      <c r="KQK92" t="s">
        <v>104</v>
      </c>
      <c r="KQL92" t="s">
        <v>103</v>
      </c>
      <c r="KQM92" t="s">
        <v>398</v>
      </c>
      <c r="KQN92">
        <v>1</v>
      </c>
      <c r="KQO92" t="s">
        <v>438</v>
      </c>
      <c r="KQP92" t="s">
        <v>439</v>
      </c>
      <c r="KQQ92" t="s">
        <v>428</v>
      </c>
      <c r="KQS92" t="s">
        <v>104</v>
      </c>
      <c r="KQT92" t="s">
        <v>103</v>
      </c>
      <c r="KQU92" t="s">
        <v>398</v>
      </c>
      <c r="KQV92">
        <v>1</v>
      </c>
      <c r="KQW92" t="s">
        <v>438</v>
      </c>
      <c r="KQX92" t="s">
        <v>439</v>
      </c>
      <c r="KQY92" t="s">
        <v>428</v>
      </c>
      <c r="KRA92" t="s">
        <v>104</v>
      </c>
      <c r="KRB92" t="s">
        <v>103</v>
      </c>
      <c r="KRC92" t="s">
        <v>398</v>
      </c>
      <c r="KRD92">
        <v>1</v>
      </c>
      <c r="KRE92" t="s">
        <v>438</v>
      </c>
      <c r="KRF92" t="s">
        <v>439</v>
      </c>
      <c r="KRG92" t="s">
        <v>428</v>
      </c>
      <c r="KRI92" t="s">
        <v>104</v>
      </c>
      <c r="KRJ92" t="s">
        <v>103</v>
      </c>
      <c r="KRK92" t="s">
        <v>398</v>
      </c>
      <c r="KRL92">
        <v>1</v>
      </c>
      <c r="KRM92" t="s">
        <v>438</v>
      </c>
      <c r="KRN92" t="s">
        <v>439</v>
      </c>
      <c r="KRO92" t="s">
        <v>428</v>
      </c>
      <c r="KRQ92" t="s">
        <v>104</v>
      </c>
      <c r="KRR92" t="s">
        <v>103</v>
      </c>
      <c r="KRS92" t="s">
        <v>398</v>
      </c>
      <c r="KRT92">
        <v>1</v>
      </c>
      <c r="KRU92" t="s">
        <v>438</v>
      </c>
      <c r="KRV92" t="s">
        <v>439</v>
      </c>
      <c r="KRW92" t="s">
        <v>428</v>
      </c>
      <c r="KRY92" t="s">
        <v>104</v>
      </c>
      <c r="KRZ92" t="s">
        <v>103</v>
      </c>
      <c r="KSA92" t="s">
        <v>398</v>
      </c>
      <c r="KSB92">
        <v>1</v>
      </c>
      <c r="KSC92" t="s">
        <v>438</v>
      </c>
      <c r="KSD92" t="s">
        <v>439</v>
      </c>
      <c r="KSE92" t="s">
        <v>428</v>
      </c>
      <c r="KSG92" t="s">
        <v>104</v>
      </c>
      <c r="KSH92" t="s">
        <v>103</v>
      </c>
      <c r="KSI92" t="s">
        <v>398</v>
      </c>
      <c r="KSJ92">
        <v>1</v>
      </c>
      <c r="KSK92" t="s">
        <v>438</v>
      </c>
      <c r="KSL92" t="s">
        <v>439</v>
      </c>
      <c r="KSM92" t="s">
        <v>428</v>
      </c>
      <c r="KSO92" t="s">
        <v>104</v>
      </c>
      <c r="KSP92" t="s">
        <v>103</v>
      </c>
      <c r="KSQ92" t="s">
        <v>398</v>
      </c>
      <c r="KSR92">
        <v>1</v>
      </c>
      <c r="KSS92" t="s">
        <v>438</v>
      </c>
      <c r="KST92" t="s">
        <v>439</v>
      </c>
      <c r="KSU92" t="s">
        <v>428</v>
      </c>
      <c r="KSW92" t="s">
        <v>104</v>
      </c>
      <c r="KSX92" t="s">
        <v>103</v>
      </c>
      <c r="KSY92" t="s">
        <v>398</v>
      </c>
      <c r="KSZ92">
        <v>1</v>
      </c>
      <c r="KTA92" t="s">
        <v>438</v>
      </c>
      <c r="KTB92" t="s">
        <v>439</v>
      </c>
      <c r="KTC92" t="s">
        <v>428</v>
      </c>
      <c r="KTE92" t="s">
        <v>104</v>
      </c>
      <c r="KTF92" t="s">
        <v>103</v>
      </c>
      <c r="KTG92" t="s">
        <v>398</v>
      </c>
      <c r="KTH92">
        <v>1</v>
      </c>
      <c r="KTI92" t="s">
        <v>438</v>
      </c>
      <c r="KTJ92" t="s">
        <v>439</v>
      </c>
      <c r="KTK92" t="s">
        <v>428</v>
      </c>
      <c r="KTM92" t="s">
        <v>104</v>
      </c>
      <c r="KTN92" t="s">
        <v>103</v>
      </c>
      <c r="KTO92" t="s">
        <v>398</v>
      </c>
      <c r="KTP92">
        <v>1</v>
      </c>
      <c r="KTQ92" t="s">
        <v>438</v>
      </c>
      <c r="KTR92" t="s">
        <v>439</v>
      </c>
      <c r="KTS92" t="s">
        <v>428</v>
      </c>
      <c r="KTU92" t="s">
        <v>104</v>
      </c>
      <c r="KTV92" t="s">
        <v>103</v>
      </c>
      <c r="KTW92" t="s">
        <v>398</v>
      </c>
      <c r="KTX92">
        <v>1</v>
      </c>
      <c r="KTY92" t="s">
        <v>438</v>
      </c>
      <c r="KTZ92" t="s">
        <v>439</v>
      </c>
      <c r="KUA92" t="s">
        <v>428</v>
      </c>
      <c r="KUC92" t="s">
        <v>104</v>
      </c>
      <c r="KUD92" t="s">
        <v>103</v>
      </c>
      <c r="KUE92" t="s">
        <v>398</v>
      </c>
      <c r="KUF92">
        <v>1</v>
      </c>
      <c r="KUG92" t="s">
        <v>438</v>
      </c>
      <c r="KUH92" t="s">
        <v>439</v>
      </c>
      <c r="KUI92" t="s">
        <v>428</v>
      </c>
      <c r="KUK92" t="s">
        <v>104</v>
      </c>
      <c r="KUL92" t="s">
        <v>103</v>
      </c>
      <c r="KUM92" t="s">
        <v>398</v>
      </c>
      <c r="KUN92">
        <v>1</v>
      </c>
      <c r="KUO92" t="s">
        <v>438</v>
      </c>
      <c r="KUP92" t="s">
        <v>439</v>
      </c>
      <c r="KUQ92" t="s">
        <v>428</v>
      </c>
      <c r="KUS92" t="s">
        <v>104</v>
      </c>
      <c r="KUT92" t="s">
        <v>103</v>
      </c>
      <c r="KUU92" t="s">
        <v>398</v>
      </c>
      <c r="KUV92">
        <v>1</v>
      </c>
      <c r="KUW92" t="s">
        <v>438</v>
      </c>
      <c r="KUX92" t="s">
        <v>439</v>
      </c>
      <c r="KUY92" t="s">
        <v>428</v>
      </c>
      <c r="KVA92" t="s">
        <v>104</v>
      </c>
      <c r="KVB92" t="s">
        <v>103</v>
      </c>
      <c r="KVC92" t="s">
        <v>398</v>
      </c>
      <c r="KVD92">
        <v>1</v>
      </c>
      <c r="KVE92" t="s">
        <v>438</v>
      </c>
      <c r="KVF92" t="s">
        <v>439</v>
      </c>
      <c r="KVG92" t="s">
        <v>428</v>
      </c>
      <c r="KVI92" t="s">
        <v>104</v>
      </c>
      <c r="KVJ92" t="s">
        <v>103</v>
      </c>
      <c r="KVK92" t="s">
        <v>398</v>
      </c>
      <c r="KVL92">
        <v>1</v>
      </c>
      <c r="KVM92" t="s">
        <v>438</v>
      </c>
      <c r="KVN92" t="s">
        <v>439</v>
      </c>
      <c r="KVO92" t="s">
        <v>428</v>
      </c>
      <c r="KVQ92" t="s">
        <v>104</v>
      </c>
      <c r="KVR92" t="s">
        <v>103</v>
      </c>
      <c r="KVS92" t="s">
        <v>398</v>
      </c>
      <c r="KVT92">
        <v>1</v>
      </c>
      <c r="KVU92" t="s">
        <v>438</v>
      </c>
      <c r="KVV92" t="s">
        <v>439</v>
      </c>
      <c r="KVW92" t="s">
        <v>428</v>
      </c>
      <c r="KVY92" t="s">
        <v>104</v>
      </c>
      <c r="KVZ92" t="s">
        <v>103</v>
      </c>
      <c r="KWA92" t="s">
        <v>398</v>
      </c>
      <c r="KWB92">
        <v>1</v>
      </c>
      <c r="KWC92" t="s">
        <v>438</v>
      </c>
      <c r="KWD92" t="s">
        <v>439</v>
      </c>
      <c r="KWE92" t="s">
        <v>428</v>
      </c>
      <c r="KWG92" t="s">
        <v>104</v>
      </c>
      <c r="KWH92" t="s">
        <v>103</v>
      </c>
      <c r="KWI92" t="s">
        <v>398</v>
      </c>
      <c r="KWJ92">
        <v>1</v>
      </c>
      <c r="KWK92" t="s">
        <v>438</v>
      </c>
      <c r="KWL92" t="s">
        <v>439</v>
      </c>
      <c r="KWM92" t="s">
        <v>428</v>
      </c>
      <c r="KWO92" t="s">
        <v>104</v>
      </c>
      <c r="KWP92" t="s">
        <v>103</v>
      </c>
      <c r="KWQ92" t="s">
        <v>398</v>
      </c>
      <c r="KWR92">
        <v>1</v>
      </c>
      <c r="KWS92" t="s">
        <v>438</v>
      </c>
      <c r="KWT92" t="s">
        <v>439</v>
      </c>
      <c r="KWU92" t="s">
        <v>428</v>
      </c>
      <c r="KWW92" t="s">
        <v>104</v>
      </c>
      <c r="KWX92" t="s">
        <v>103</v>
      </c>
      <c r="KWY92" t="s">
        <v>398</v>
      </c>
      <c r="KWZ92">
        <v>1</v>
      </c>
      <c r="KXA92" t="s">
        <v>438</v>
      </c>
      <c r="KXB92" t="s">
        <v>439</v>
      </c>
      <c r="KXC92" t="s">
        <v>428</v>
      </c>
      <c r="KXE92" t="s">
        <v>104</v>
      </c>
      <c r="KXF92" t="s">
        <v>103</v>
      </c>
      <c r="KXG92" t="s">
        <v>398</v>
      </c>
      <c r="KXH92">
        <v>1</v>
      </c>
      <c r="KXI92" t="s">
        <v>438</v>
      </c>
      <c r="KXJ92" t="s">
        <v>439</v>
      </c>
      <c r="KXK92" t="s">
        <v>428</v>
      </c>
      <c r="KXM92" t="s">
        <v>104</v>
      </c>
      <c r="KXN92" t="s">
        <v>103</v>
      </c>
      <c r="KXO92" t="s">
        <v>398</v>
      </c>
      <c r="KXP92">
        <v>1</v>
      </c>
      <c r="KXQ92" t="s">
        <v>438</v>
      </c>
      <c r="KXR92" t="s">
        <v>439</v>
      </c>
      <c r="KXS92" t="s">
        <v>428</v>
      </c>
      <c r="KXU92" t="s">
        <v>104</v>
      </c>
      <c r="KXV92" t="s">
        <v>103</v>
      </c>
      <c r="KXW92" t="s">
        <v>398</v>
      </c>
      <c r="KXX92">
        <v>1</v>
      </c>
      <c r="KXY92" t="s">
        <v>438</v>
      </c>
      <c r="KXZ92" t="s">
        <v>439</v>
      </c>
      <c r="KYA92" t="s">
        <v>428</v>
      </c>
      <c r="KYC92" t="s">
        <v>104</v>
      </c>
      <c r="KYD92" t="s">
        <v>103</v>
      </c>
      <c r="KYE92" t="s">
        <v>398</v>
      </c>
      <c r="KYF92">
        <v>1</v>
      </c>
      <c r="KYG92" t="s">
        <v>438</v>
      </c>
      <c r="KYH92" t="s">
        <v>439</v>
      </c>
      <c r="KYI92" t="s">
        <v>428</v>
      </c>
      <c r="KYK92" t="s">
        <v>104</v>
      </c>
      <c r="KYL92" t="s">
        <v>103</v>
      </c>
      <c r="KYM92" t="s">
        <v>398</v>
      </c>
      <c r="KYN92">
        <v>1</v>
      </c>
      <c r="KYO92" t="s">
        <v>438</v>
      </c>
      <c r="KYP92" t="s">
        <v>439</v>
      </c>
      <c r="KYQ92" t="s">
        <v>428</v>
      </c>
      <c r="KYS92" t="s">
        <v>104</v>
      </c>
      <c r="KYT92" t="s">
        <v>103</v>
      </c>
      <c r="KYU92" t="s">
        <v>398</v>
      </c>
      <c r="KYV92">
        <v>1</v>
      </c>
      <c r="KYW92" t="s">
        <v>438</v>
      </c>
      <c r="KYX92" t="s">
        <v>439</v>
      </c>
      <c r="KYY92" t="s">
        <v>428</v>
      </c>
      <c r="KZA92" t="s">
        <v>104</v>
      </c>
      <c r="KZB92" t="s">
        <v>103</v>
      </c>
      <c r="KZC92" t="s">
        <v>398</v>
      </c>
      <c r="KZD92">
        <v>1</v>
      </c>
      <c r="KZE92" t="s">
        <v>438</v>
      </c>
      <c r="KZF92" t="s">
        <v>439</v>
      </c>
      <c r="KZG92" t="s">
        <v>428</v>
      </c>
      <c r="KZI92" t="s">
        <v>104</v>
      </c>
      <c r="KZJ92" t="s">
        <v>103</v>
      </c>
      <c r="KZK92" t="s">
        <v>398</v>
      </c>
      <c r="KZL92">
        <v>1</v>
      </c>
      <c r="KZM92" t="s">
        <v>438</v>
      </c>
      <c r="KZN92" t="s">
        <v>439</v>
      </c>
      <c r="KZO92" t="s">
        <v>428</v>
      </c>
      <c r="KZQ92" t="s">
        <v>104</v>
      </c>
      <c r="KZR92" t="s">
        <v>103</v>
      </c>
      <c r="KZS92" t="s">
        <v>398</v>
      </c>
      <c r="KZT92">
        <v>1</v>
      </c>
      <c r="KZU92" t="s">
        <v>438</v>
      </c>
      <c r="KZV92" t="s">
        <v>439</v>
      </c>
      <c r="KZW92" t="s">
        <v>428</v>
      </c>
      <c r="KZY92" t="s">
        <v>104</v>
      </c>
      <c r="KZZ92" t="s">
        <v>103</v>
      </c>
      <c r="LAA92" t="s">
        <v>398</v>
      </c>
      <c r="LAB92">
        <v>1</v>
      </c>
      <c r="LAC92" t="s">
        <v>438</v>
      </c>
      <c r="LAD92" t="s">
        <v>439</v>
      </c>
      <c r="LAE92" t="s">
        <v>428</v>
      </c>
      <c r="LAG92" t="s">
        <v>104</v>
      </c>
      <c r="LAH92" t="s">
        <v>103</v>
      </c>
      <c r="LAI92" t="s">
        <v>398</v>
      </c>
      <c r="LAJ92">
        <v>1</v>
      </c>
      <c r="LAK92" t="s">
        <v>438</v>
      </c>
      <c r="LAL92" t="s">
        <v>439</v>
      </c>
      <c r="LAM92" t="s">
        <v>428</v>
      </c>
      <c r="LAO92" t="s">
        <v>104</v>
      </c>
      <c r="LAP92" t="s">
        <v>103</v>
      </c>
      <c r="LAQ92" t="s">
        <v>398</v>
      </c>
      <c r="LAR92">
        <v>1</v>
      </c>
      <c r="LAS92" t="s">
        <v>438</v>
      </c>
      <c r="LAT92" t="s">
        <v>439</v>
      </c>
      <c r="LAU92" t="s">
        <v>428</v>
      </c>
      <c r="LAW92" t="s">
        <v>104</v>
      </c>
      <c r="LAX92" t="s">
        <v>103</v>
      </c>
      <c r="LAY92" t="s">
        <v>398</v>
      </c>
      <c r="LAZ92">
        <v>1</v>
      </c>
      <c r="LBA92" t="s">
        <v>438</v>
      </c>
      <c r="LBB92" t="s">
        <v>439</v>
      </c>
      <c r="LBC92" t="s">
        <v>428</v>
      </c>
      <c r="LBE92" t="s">
        <v>104</v>
      </c>
      <c r="LBF92" t="s">
        <v>103</v>
      </c>
      <c r="LBG92" t="s">
        <v>398</v>
      </c>
      <c r="LBH92">
        <v>1</v>
      </c>
      <c r="LBI92" t="s">
        <v>438</v>
      </c>
      <c r="LBJ92" t="s">
        <v>439</v>
      </c>
      <c r="LBK92" t="s">
        <v>428</v>
      </c>
      <c r="LBM92" t="s">
        <v>104</v>
      </c>
      <c r="LBN92" t="s">
        <v>103</v>
      </c>
      <c r="LBO92" t="s">
        <v>398</v>
      </c>
      <c r="LBP92">
        <v>1</v>
      </c>
      <c r="LBQ92" t="s">
        <v>438</v>
      </c>
      <c r="LBR92" t="s">
        <v>439</v>
      </c>
      <c r="LBS92" t="s">
        <v>428</v>
      </c>
      <c r="LBU92" t="s">
        <v>104</v>
      </c>
      <c r="LBV92" t="s">
        <v>103</v>
      </c>
      <c r="LBW92" t="s">
        <v>398</v>
      </c>
      <c r="LBX92">
        <v>1</v>
      </c>
      <c r="LBY92" t="s">
        <v>438</v>
      </c>
      <c r="LBZ92" t="s">
        <v>439</v>
      </c>
      <c r="LCA92" t="s">
        <v>428</v>
      </c>
      <c r="LCC92" t="s">
        <v>104</v>
      </c>
      <c r="LCD92" t="s">
        <v>103</v>
      </c>
      <c r="LCE92" t="s">
        <v>398</v>
      </c>
      <c r="LCF92">
        <v>1</v>
      </c>
      <c r="LCG92" t="s">
        <v>438</v>
      </c>
      <c r="LCH92" t="s">
        <v>439</v>
      </c>
      <c r="LCI92" t="s">
        <v>428</v>
      </c>
      <c r="LCK92" t="s">
        <v>104</v>
      </c>
      <c r="LCL92" t="s">
        <v>103</v>
      </c>
      <c r="LCM92" t="s">
        <v>398</v>
      </c>
      <c r="LCN92">
        <v>1</v>
      </c>
      <c r="LCO92" t="s">
        <v>438</v>
      </c>
      <c r="LCP92" t="s">
        <v>439</v>
      </c>
      <c r="LCQ92" t="s">
        <v>428</v>
      </c>
      <c r="LCS92" t="s">
        <v>104</v>
      </c>
      <c r="LCT92" t="s">
        <v>103</v>
      </c>
      <c r="LCU92" t="s">
        <v>398</v>
      </c>
      <c r="LCV92">
        <v>1</v>
      </c>
      <c r="LCW92" t="s">
        <v>438</v>
      </c>
      <c r="LCX92" t="s">
        <v>439</v>
      </c>
      <c r="LCY92" t="s">
        <v>428</v>
      </c>
      <c r="LDA92" t="s">
        <v>104</v>
      </c>
      <c r="LDB92" t="s">
        <v>103</v>
      </c>
      <c r="LDC92" t="s">
        <v>398</v>
      </c>
      <c r="LDD92">
        <v>1</v>
      </c>
      <c r="LDE92" t="s">
        <v>438</v>
      </c>
      <c r="LDF92" t="s">
        <v>439</v>
      </c>
      <c r="LDG92" t="s">
        <v>428</v>
      </c>
      <c r="LDI92" t="s">
        <v>104</v>
      </c>
      <c r="LDJ92" t="s">
        <v>103</v>
      </c>
      <c r="LDK92" t="s">
        <v>398</v>
      </c>
      <c r="LDL92">
        <v>1</v>
      </c>
      <c r="LDM92" t="s">
        <v>438</v>
      </c>
      <c r="LDN92" t="s">
        <v>439</v>
      </c>
      <c r="LDO92" t="s">
        <v>428</v>
      </c>
      <c r="LDQ92" t="s">
        <v>104</v>
      </c>
      <c r="LDR92" t="s">
        <v>103</v>
      </c>
      <c r="LDS92" t="s">
        <v>398</v>
      </c>
      <c r="LDT92">
        <v>1</v>
      </c>
      <c r="LDU92" t="s">
        <v>438</v>
      </c>
      <c r="LDV92" t="s">
        <v>439</v>
      </c>
      <c r="LDW92" t="s">
        <v>428</v>
      </c>
      <c r="LDY92" t="s">
        <v>104</v>
      </c>
      <c r="LDZ92" t="s">
        <v>103</v>
      </c>
      <c r="LEA92" t="s">
        <v>398</v>
      </c>
      <c r="LEB92">
        <v>1</v>
      </c>
      <c r="LEC92" t="s">
        <v>438</v>
      </c>
      <c r="LED92" t="s">
        <v>439</v>
      </c>
      <c r="LEE92" t="s">
        <v>428</v>
      </c>
      <c r="LEG92" t="s">
        <v>104</v>
      </c>
      <c r="LEH92" t="s">
        <v>103</v>
      </c>
      <c r="LEI92" t="s">
        <v>398</v>
      </c>
      <c r="LEJ92">
        <v>1</v>
      </c>
      <c r="LEK92" t="s">
        <v>438</v>
      </c>
      <c r="LEL92" t="s">
        <v>439</v>
      </c>
      <c r="LEM92" t="s">
        <v>428</v>
      </c>
      <c r="LEO92" t="s">
        <v>104</v>
      </c>
      <c r="LEP92" t="s">
        <v>103</v>
      </c>
      <c r="LEQ92" t="s">
        <v>398</v>
      </c>
      <c r="LER92">
        <v>1</v>
      </c>
      <c r="LES92" t="s">
        <v>438</v>
      </c>
      <c r="LET92" t="s">
        <v>439</v>
      </c>
      <c r="LEU92" t="s">
        <v>428</v>
      </c>
      <c r="LEW92" t="s">
        <v>104</v>
      </c>
      <c r="LEX92" t="s">
        <v>103</v>
      </c>
      <c r="LEY92" t="s">
        <v>398</v>
      </c>
      <c r="LEZ92">
        <v>1</v>
      </c>
      <c r="LFA92" t="s">
        <v>438</v>
      </c>
      <c r="LFB92" t="s">
        <v>439</v>
      </c>
      <c r="LFC92" t="s">
        <v>428</v>
      </c>
      <c r="LFE92" t="s">
        <v>104</v>
      </c>
      <c r="LFF92" t="s">
        <v>103</v>
      </c>
      <c r="LFG92" t="s">
        <v>398</v>
      </c>
      <c r="LFH92">
        <v>1</v>
      </c>
      <c r="LFI92" t="s">
        <v>438</v>
      </c>
      <c r="LFJ92" t="s">
        <v>439</v>
      </c>
      <c r="LFK92" t="s">
        <v>428</v>
      </c>
      <c r="LFM92" t="s">
        <v>104</v>
      </c>
      <c r="LFN92" t="s">
        <v>103</v>
      </c>
      <c r="LFO92" t="s">
        <v>398</v>
      </c>
      <c r="LFP92">
        <v>1</v>
      </c>
      <c r="LFQ92" t="s">
        <v>438</v>
      </c>
      <c r="LFR92" t="s">
        <v>439</v>
      </c>
      <c r="LFS92" t="s">
        <v>428</v>
      </c>
      <c r="LFU92" t="s">
        <v>104</v>
      </c>
      <c r="LFV92" t="s">
        <v>103</v>
      </c>
      <c r="LFW92" t="s">
        <v>398</v>
      </c>
      <c r="LFX92">
        <v>1</v>
      </c>
      <c r="LFY92" t="s">
        <v>438</v>
      </c>
      <c r="LFZ92" t="s">
        <v>439</v>
      </c>
      <c r="LGA92" t="s">
        <v>428</v>
      </c>
      <c r="LGC92" t="s">
        <v>104</v>
      </c>
      <c r="LGD92" t="s">
        <v>103</v>
      </c>
      <c r="LGE92" t="s">
        <v>398</v>
      </c>
      <c r="LGF92">
        <v>1</v>
      </c>
      <c r="LGG92" t="s">
        <v>438</v>
      </c>
      <c r="LGH92" t="s">
        <v>439</v>
      </c>
      <c r="LGI92" t="s">
        <v>428</v>
      </c>
      <c r="LGK92" t="s">
        <v>104</v>
      </c>
      <c r="LGL92" t="s">
        <v>103</v>
      </c>
      <c r="LGM92" t="s">
        <v>398</v>
      </c>
      <c r="LGN92">
        <v>1</v>
      </c>
      <c r="LGO92" t="s">
        <v>438</v>
      </c>
      <c r="LGP92" t="s">
        <v>439</v>
      </c>
      <c r="LGQ92" t="s">
        <v>428</v>
      </c>
      <c r="LGS92" t="s">
        <v>104</v>
      </c>
      <c r="LGT92" t="s">
        <v>103</v>
      </c>
      <c r="LGU92" t="s">
        <v>398</v>
      </c>
      <c r="LGV92">
        <v>1</v>
      </c>
      <c r="LGW92" t="s">
        <v>438</v>
      </c>
      <c r="LGX92" t="s">
        <v>439</v>
      </c>
      <c r="LGY92" t="s">
        <v>428</v>
      </c>
      <c r="LHA92" t="s">
        <v>104</v>
      </c>
      <c r="LHB92" t="s">
        <v>103</v>
      </c>
      <c r="LHC92" t="s">
        <v>398</v>
      </c>
      <c r="LHD92">
        <v>1</v>
      </c>
      <c r="LHE92" t="s">
        <v>438</v>
      </c>
      <c r="LHF92" t="s">
        <v>439</v>
      </c>
      <c r="LHG92" t="s">
        <v>428</v>
      </c>
      <c r="LHI92" t="s">
        <v>104</v>
      </c>
      <c r="LHJ92" t="s">
        <v>103</v>
      </c>
      <c r="LHK92" t="s">
        <v>398</v>
      </c>
      <c r="LHL92">
        <v>1</v>
      </c>
      <c r="LHM92" t="s">
        <v>438</v>
      </c>
      <c r="LHN92" t="s">
        <v>439</v>
      </c>
      <c r="LHO92" t="s">
        <v>428</v>
      </c>
      <c r="LHQ92" t="s">
        <v>104</v>
      </c>
      <c r="LHR92" t="s">
        <v>103</v>
      </c>
      <c r="LHS92" t="s">
        <v>398</v>
      </c>
      <c r="LHT92">
        <v>1</v>
      </c>
      <c r="LHU92" t="s">
        <v>438</v>
      </c>
      <c r="LHV92" t="s">
        <v>439</v>
      </c>
      <c r="LHW92" t="s">
        <v>428</v>
      </c>
      <c r="LHY92" t="s">
        <v>104</v>
      </c>
      <c r="LHZ92" t="s">
        <v>103</v>
      </c>
      <c r="LIA92" t="s">
        <v>398</v>
      </c>
      <c r="LIB92">
        <v>1</v>
      </c>
      <c r="LIC92" t="s">
        <v>438</v>
      </c>
      <c r="LID92" t="s">
        <v>439</v>
      </c>
      <c r="LIE92" t="s">
        <v>428</v>
      </c>
      <c r="LIG92" t="s">
        <v>104</v>
      </c>
      <c r="LIH92" t="s">
        <v>103</v>
      </c>
      <c r="LII92" t="s">
        <v>398</v>
      </c>
      <c r="LIJ92">
        <v>1</v>
      </c>
      <c r="LIK92" t="s">
        <v>438</v>
      </c>
      <c r="LIL92" t="s">
        <v>439</v>
      </c>
      <c r="LIM92" t="s">
        <v>428</v>
      </c>
      <c r="LIO92" t="s">
        <v>104</v>
      </c>
      <c r="LIP92" t="s">
        <v>103</v>
      </c>
      <c r="LIQ92" t="s">
        <v>398</v>
      </c>
      <c r="LIR92">
        <v>1</v>
      </c>
      <c r="LIS92" t="s">
        <v>438</v>
      </c>
      <c r="LIT92" t="s">
        <v>439</v>
      </c>
      <c r="LIU92" t="s">
        <v>428</v>
      </c>
      <c r="LIW92" t="s">
        <v>104</v>
      </c>
      <c r="LIX92" t="s">
        <v>103</v>
      </c>
      <c r="LIY92" t="s">
        <v>398</v>
      </c>
      <c r="LIZ92">
        <v>1</v>
      </c>
      <c r="LJA92" t="s">
        <v>438</v>
      </c>
      <c r="LJB92" t="s">
        <v>439</v>
      </c>
      <c r="LJC92" t="s">
        <v>428</v>
      </c>
      <c r="LJE92" t="s">
        <v>104</v>
      </c>
      <c r="LJF92" t="s">
        <v>103</v>
      </c>
      <c r="LJG92" t="s">
        <v>398</v>
      </c>
      <c r="LJH92">
        <v>1</v>
      </c>
      <c r="LJI92" t="s">
        <v>438</v>
      </c>
      <c r="LJJ92" t="s">
        <v>439</v>
      </c>
      <c r="LJK92" t="s">
        <v>428</v>
      </c>
      <c r="LJM92" t="s">
        <v>104</v>
      </c>
      <c r="LJN92" t="s">
        <v>103</v>
      </c>
      <c r="LJO92" t="s">
        <v>398</v>
      </c>
      <c r="LJP92">
        <v>1</v>
      </c>
      <c r="LJQ92" t="s">
        <v>438</v>
      </c>
      <c r="LJR92" t="s">
        <v>439</v>
      </c>
      <c r="LJS92" t="s">
        <v>428</v>
      </c>
      <c r="LJU92" t="s">
        <v>104</v>
      </c>
      <c r="LJV92" t="s">
        <v>103</v>
      </c>
      <c r="LJW92" t="s">
        <v>398</v>
      </c>
      <c r="LJX92">
        <v>1</v>
      </c>
      <c r="LJY92" t="s">
        <v>438</v>
      </c>
      <c r="LJZ92" t="s">
        <v>439</v>
      </c>
      <c r="LKA92" t="s">
        <v>428</v>
      </c>
      <c r="LKC92" t="s">
        <v>104</v>
      </c>
      <c r="LKD92" t="s">
        <v>103</v>
      </c>
      <c r="LKE92" t="s">
        <v>398</v>
      </c>
      <c r="LKF92">
        <v>1</v>
      </c>
      <c r="LKG92" t="s">
        <v>438</v>
      </c>
      <c r="LKH92" t="s">
        <v>439</v>
      </c>
      <c r="LKI92" t="s">
        <v>428</v>
      </c>
      <c r="LKK92" t="s">
        <v>104</v>
      </c>
      <c r="LKL92" t="s">
        <v>103</v>
      </c>
      <c r="LKM92" t="s">
        <v>398</v>
      </c>
      <c r="LKN92">
        <v>1</v>
      </c>
      <c r="LKO92" t="s">
        <v>438</v>
      </c>
      <c r="LKP92" t="s">
        <v>439</v>
      </c>
      <c r="LKQ92" t="s">
        <v>428</v>
      </c>
      <c r="LKS92" t="s">
        <v>104</v>
      </c>
      <c r="LKT92" t="s">
        <v>103</v>
      </c>
      <c r="LKU92" t="s">
        <v>398</v>
      </c>
      <c r="LKV92">
        <v>1</v>
      </c>
      <c r="LKW92" t="s">
        <v>438</v>
      </c>
      <c r="LKX92" t="s">
        <v>439</v>
      </c>
      <c r="LKY92" t="s">
        <v>428</v>
      </c>
      <c r="LLA92" t="s">
        <v>104</v>
      </c>
      <c r="LLB92" t="s">
        <v>103</v>
      </c>
      <c r="LLC92" t="s">
        <v>398</v>
      </c>
      <c r="LLD92">
        <v>1</v>
      </c>
      <c r="LLE92" t="s">
        <v>438</v>
      </c>
      <c r="LLF92" t="s">
        <v>439</v>
      </c>
      <c r="LLG92" t="s">
        <v>428</v>
      </c>
      <c r="LLI92" t="s">
        <v>104</v>
      </c>
      <c r="LLJ92" t="s">
        <v>103</v>
      </c>
      <c r="LLK92" t="s">
        <v>398</v>
      </c>
      <c r="LLL92">
        <v>1</v>
      </c>
      <c r="LLM92" t="s">
        <v>438</v>
      </c>
      <c r="LLN92" t="s">
        <v>439</v>
      </c>
      <c r="LLO92" t="s">
        <v>428</v>
      </c>
      <c r="LLQ92" t="s">
        <v>104</v>
      </c>
      <c r="LLR92" t="s">
        <v>103</v>
      </c>
      <c r="LLS92" t="s">
        <v>398</v>
      </c>
      <c r="LLT92">
        <v>1</v>
      </c>
      <c r="LLU92" t="s">
        <v>438</v>
      </c>
      <c r="LLV92" t="s">
        <v>439</v>
      </c>
      <c r="LLW92" t="s">
        <v>428</v>
      </c>
      <c r="LLY92" t="s">
        <v>104</v>
      </c>
      <c r="LLZ92" t="s">
        <v>103</v>
      </c>
      <c r="LMA92" t="s">
        <v>398</v>
      </c>
      <c r="LMB92">
        <v>1</v>
      </c>
      <c r="LMC92" t="s">
        <v>438</v>
      </c>
      <c r="LMD92" t="s">
        <v>439</v>
      </c>
      <c r="LME92" t="s">
        <v>428</v>
      </c>
      <c r="LMG92" t="s">
        <v>104</v>
      </c>
      <c r="LMH92" t="s">
        <v>103</v>
      </c>
      <c r="LMI92" t="s">
        <v>398</v>
      </c>
      <c r="LMJ92">
        <v>1</v>
      </c>
      <c r="LMK92" t="s">
        <v>438</v>
      </c>
      <c r="LML92" t="s">
        <v>439</v>
      </c>
      <c r="LMM92" t="s">
        <v>428</v>
      </c>
      <c r="LMO92" t="s">
        <v>104</v>
      </c>
      <c r="LMP92" t="s">
        <v>103</v>
      </c>
      <c r="LMQ92" t="s">
        <v>398</v>
      </c>
      <c r="LMR92">
        <v>1</v>
      </c>
      <c r="LMS92" t="s">
        <v>438</v>
      </c>
      <c r="LMT92" t="s">
        <v>439</v>
      </c>
      <c r="LMU92" t="s">
        <v>428</v>
      </c>
      <c r="LMW92" t="s">
        <v>104</v>
      </c>
      <c r="LMX92" t="s">
        <v>103</v>
      </c>
      <c r="LMY92" t="s">
        <v>398</v>
      </c>
      <c r="LMZ92">
        <v>1</v>
      </c>
      <c r="LNA92" t="s">
        <v>438</v>
      </c>
      <c r="LNB92" t="s">
        <v>439</v>
      </c>
      <c r="LNC92" t="s">
        <v>428</v>
      </c>
      <c r="LNE92" t="s">
        <v>104</v>
      </c>
      <c r="LNF92" t="s">
        <v>103</v>
      </c>
      <c r="LNG92" t="s">
        <v>398</v>
      </c>
      <c r="LNH92">
        <v>1</v>
      </c>
      <c r="LNI92" t="s">
        <v>438</v>
      </c>
      <c r="LNJ92" t="s">
        <v>439</v>
      </c>
      <c r="LNK92" t="s">
        <v>428</v>
      </c>
      <c r="LNM92" t="s">
        <v>104</v>
      </c>
      <c r="LNN92" t="s">
        <v>103</v>
      </c>
      <c r="LNO92" t="s">
        <v>398</v>
      </c>
      <c r="LNP92">
        <v>1</v>
      </c>
      <c r="LNQ92" t="s">
        <v>438</v>
      </c>
      <c r="LNR92" t="s">
        <v>439</v>
      </c>
      <c r="LNS92" t="s">
        <v>428</v>
      </c>
      <c r="LNU92" t="s">
        <v>104</v>
      </c>
      <c r="LNV92" t="s">
        <v>103</v>
      </c>
      <c r="LNW92" t="s">
        <v>398</v>
      </c>
      <c r="LNX92">
        <v>1</v>
      </c>
      <c r="LNY92" t="s">
        <v>438</v>
      </c>
      <c r="LNZ92" t="s">
        <v>439</v>
      </c>
      <c r="LOA92" t="s">
        <v>428</v>
      </c>
      <c r="LOC92" t="s">
        <v>104</v>
      </c>
      <c r="LOD92" t="s">
        <v>103</v>
      </c>
      <c r="LOE92" t="s">
        <v>398</v>
      </c>
      <c r="LOF92">
        <v>1</v>
      </c>
      <c r="LOG92" t="s">
        <v>438</v>
      </c>
      <c r="LOH92" t="s">
        <v>439</v>
      </c>
      <c r="LOI92" t="s">
        <v>428</v>
      </c>
      <c r="LOK92" t="s">
        <v>104</v>
      </c>
      <c r="LOL92" t="s">
        <v>103</v>
      </c>
      <c r="LOM92" t="s">
        <v>398</v>
      </c>
      <c r="LON92">
        <v>1</v>
      </c>
      <c r="LOO92" t="s">
        <v>438</v>
      </c>
      <c r="LOP92" t="s">
        <v>439</v>
      </c>
      <c r="LOQ92" t="s">
        <v>428</v>
      </c>
      <c r="LOS92" t="s">
        <v>104</v>
      </c>
      <c r="LOT92" t="s">
        <v>103</v>
      </c>
      <c r="LOU92" t="s">
        <v>398</v>
      </c>
      <c r="LOV92">
        <v>1</v>
      </c>
      <c r="LOW92" t="s">
        <v>438</v>
      </c>
      <c r="LOX92" t="s">
        <v>439</v>
      </c>
      <c r="LOY92" t="s">
        <v>428</v>
      </c>
      <c r="LPA92" t="s">
        <v>104</v>
      </c>
      <c r="LPB92" t="s">
        <v>103</v>
      </c>
      <c r="LPC92" t="s">
        <v>398</v>
      </c>
      <c r="LPD92">
        <v>1</v>
      </c>
      <c r="LPE92" t="s">
        <v>438</v>
      </c>
      <c r="LPF92" t="s">
        <v>439</v>
      </c>
      <c r="LPG92" t="s">
        <v>428</v>
      </c>
      <c r="LPI92" t="s">
        <v>104</v>
      </c>
      <c r="LPJ92" t="s">
        <v>103</v>
      </c>
      <c r="LPK92" t="s">
        <v>398</v>
      </c>
      <c r="LPL92">
        <v>1</v>
      </c>
      <c r="LPM92" t="s">
        <v>438</v>
      </c>
      <c r="LPN92" t="s">
        <v>439</v>
      </c>
      <c r="LPO92" t="s">
        <v>428</v>
      </c>
      <c r="LPQ92" t="s">
        <v>104</v>
      </c>
      <c r="LPR92" t="s">
        <v>103</v>
      </c>
      <c r="LPS92" t="s">
        <v>398</v>
      </c>
      <c r="LPT92">
        <v>1</v>
      </c>
      <c r="LPU92" t="s">
        <v>438</v>
      </c>
      <c r="LPV92" t="s">
        <v>439</v>
      </c>
      <c r="LPW92" t="s">
        <v>428</v>
      </c>
      <c r="LPY92" t="s">
        <v>104</v>
      </c>
      <c r="LPZ92" t="s">
        <v>103</v>
      </c>
      <c r="LQA92" t="s">
        <v>398</v>
      </c>
      <c r="LQB92">
        <v>1</v>
      </c>
      <c r="LQC92" t="s">
        <v>438</v>
      </c>
      <c r="LQD92" t="s">
        <v>439</v>
      </c>
      <c r="LQE92" t="s">
        <v>428</v>
      </c>
      <c r="LQG92" t="s">
        <v>104</v>
      </c>
      <c r="LQH92" t="s">
        <v>103</v>
      </c>
      <c r="LQI92" t="s">
        <v>398</v>
      </c>
      <c r="LQJ92">
        <v>1</v>
      </c>
      <c r="LQK92" t="s">
        <v>438</v>
      </c>
      <c r="LQL92" t="s">
        <v>439</v>
      </c>
      <c r="LQM92" t="s">
        <v>428</v>
      </c>
      <c r="LQO92" t="s">
        <v>104</v>
      </c>
      <c r="LQP92" t="s">
        <v>103</v>
      </c>
      <c r="LQQ92" t="s">
        <v>398</v>
      </c>
      <c r="LQR92">
        <v>1</v>
      </c>
      <c r="LQS92" t="s">
        <v>438</v>
      </c>
      <c r="LQT92" t="s">
        <v>439</v>
      </c>
      <c r="LQU92" t="s">
        <v>428</v>
      </c>
      <c r="LQW92" t="s">
        <v>104</v>
      </c>
      <c r="LQX92" t="s">
        <v>103</v>
      </c>
      <c r="LQY92" t="s">
        <v>398</v>
      </c>
      <c r="LQZ92">
        <v>1</v>
      </c>
      <c r="LRA92" t="s">
        <v>438</v>
      </c>
      <c r="LRB92" t="s">
        <v>439</v>
      </c>
      <c r="LRC92" t="s">
        <v>428</v>
      </c>
      <c r="LRE92" t="s">
        <v>104</v>
      </c>
      <c r="LRF92" t="s">
        <v>103</v>
      </c>
      <c r="LRG92" t="s">
        <v>398</v>
      </c>
      <c r="LRH92">
        <v>1</v>
      </c>
      <c r="LRI92" t="s">
        <v>438</v>
      </c>
      <c r="LRJ92" t="s">
        <v>439</v>
      </c>
      <c r="LRK92" t="s">
        <v>428</v>
      </c>
      <c r="LRM92" t="s">
        <v>104</v>
      </c>
      <c r="LRN92" t="s">
        <v>103</v>
      </c>
      <c r="LRO92" t="s">
        <v>398</v>
      </c>
      <c r="LRP92">
        <v>1</v>
      </c>
      <c r="LRQ92" t="s">
        <v>438</v>
      </c>
      <c r="LRR92" t="s">
        <v>439</v>
      </c>
      <c r="LRS92" t="s">
        <v>428</v>
      </c>
      <c r="LRU92" t="s">
        <v>104</v>
      </c>
      <c r="LRV92" t="s">
        <v>103</v>
      </c>
      <c r="LRW92" t="s">
        <v>398</v>
      </c>
      <c r="LRX92">
        <v>1</v>
      </c>
      <c r="LRY92" t="s">
        <v>438</v>
      </c>
      <c r="LRZ92" t="s">
        <v>439</v>
      </c>
      <c r="LSA92" t="s">
        <v>428</v>
      </c>
      <c r="LSC92" t="s">
        <v>104</v>
      </c>
      <c r="LSD92" t="s">
        <v>103</v>
      </c>
      <c r="LSE92" t="s">
        <v>398</v>
      </c>
      <c r="LSF92">
        <v>1</v>
      </c>
      <c r="LSG92" t="s">
        <v>438</v>
      </c>
      <c r="LSH92" t="s">
        <v>439</v>
      </c>
      <c r="LSI92" t="s">
        <v>428</v>
      </c>
      <c r="LSK92" t="s">
        <v>104</v>
      </c>
      <c r="LSL92" t="s">
        <v>103</v>
      </c>
      <c r="LSM92" t="s">
        <v>398</v>
      </c>
      <c r="LSN92">
        <v>1</v>
      </c>
      <c r="LSO92" t="s">
        <v>438</v>
      </c>
      <c r="LSP92" t="s">
        <v>439</v>
      </c>
      <c r="LSQ92" t="s">
        <v>428</v>
      </c>
      <c r="LSS92" t="s">
        <v>104</v>
      </c>
      <c r="LST92" t="s">
        <v>103</v>
      </c>
      <c r="LSU92" t="s">
        <v>398</v>
      </c>
      <c r="LSV92">
        <v>1</v>
      </c>
      <c r="LSW92" t="s">
        <v>438</v>
      </c>
      <c r="LSX92" t="s">
        <v>439</v>
      </c>
      <c r="LSY92" t="s">
        <v>428</v>
      </c>
      <c r="LTA92" t="s">
        <v>104</v>
      </c>
      <c r="LTB92" t="s">
        <v>103</v>
      </c>
      <c r="LTC92" t="s">
        <v>398</v>
      </c>
      <c r="LTD92">
        <v>1</v>
      </c>
      <c r="LTE92" t="s">
        <v>438</v>
      </c>
      <c r="LTF92" t="s">
        <v>439</v>
      </c>
      <c r="LTG92" t="s">
        <v>428</v>
      </c>
      <c r="LTI92" t="s">
        <v>104</v>
      </c>
      <c r="LTJ92" t="s">
        <v>103</v>
      </c>
      <c r="LTK92" t="s">
        <v>398</v>
      </c>
      <c r="LTL92">
        <v>1</v>
      </c>
      <c r="LTM92" t="s">
        <v>438</v>
      </c>
      <c r="LTN92" t="s">
        <v>439</v>
      </c>
      <c r="LTO92" t="s">
        <v>428</v>
      </c>
      <c r="LTQ92" t="s">
        <v>104</v>
      </c>
      <c r="LTR92" t="s">
        <v>103</v>
      </c>
      <c r="LTS92" t="s">
        <v>398</v>
      </c>
      <c r="LTT92">
        <v>1</v>
      </c>
      <c r="LTU92" t="s">
        <v>438</v>
      </c>
      <c r="LTV92" t="s">
        <v>439</v>
      </c>
      <c r="LTW92" t="s">
        <v>428</v>
      </c>
      <c r="LTY92" t="s">
        <v>104</v>
      </c>
      <c r="LTZ92" t="s">
        <v>103</v>
      </c>
      <c r="LUA92" t="s">
        <v>398</v>
      </c>
      <c r="LUB92">
        <v>1</v>
      </c>
      <c r="LUC92" t="s">
        <v>438</v>
      </c>
      <c r="LUD92" t="s">
        <v>439</v>
      </c>
      <c r="LUE92" t="s">
        <v>428</v>
      </c>
      <c r="LUG92" t="s">
        <v>104</v>
      </c>
      <c r="LUH92" t="s">
        <v>103</v>
      </c>
      <c r="LUI92" t="s">
        <v>398</v>
      </c>
      <c r="LUJ92">
        <v>1</v>
      </c>
      <c r="LUK92" t="s">
        <v>438</v>
      </c>
      <c r="LUL92" t="s">
        <v>439</v>
      </c>
      <c r="LUM92" t="s">
        <v>428</v>
      </c>
      <c r="LUO92" t="s">
        <v>104</v>
      </c>
      <c r="LUP92" t="s">
        <v>103</v>
      </c>
      <c r="LUQ92" t="s">
        <v>398</v>
      </c>
      <c r="LUR92">
        <v>1</v>
      </c>
      <c r="LUS92" t="s">
        <v>438</v>
      </c>
      <c r="LUT92" t="s">
        <v>439</v>
      </c>
      <c r="LUU92" t="s">
        <v>428</v>
      </c>
      <c r="LUW92" t="s">
        <v>104</v>
      </c>
      <c r="LUX92" t="s">
        <v>103</v>
      </c>
      <c r="LUY92" t="s">
        <v>398</v>
      </c>
      <c r="LUZ92">
        <v>1</v>
      </c>
      <c r="LVA92" t="s">
        <v>438</v>
      </c>
      <c r="LVB92" t="s">
        <v>439</v>
      </c>
      <c r="LVC92" t="s">
        <v>428</v>
      </c>
      <c r="LVE92" t="s">
        <v>104</v>
      </c>
      <c r="LVF92" t="s">
        <v>103</v>
      </c>
      <c r="LVG92" t="s">
        <v>398</v>
      </c>
      <c r="LVH92">
        <v>1</v>
      </c>
      <c r="LVI92" t="s">
        <v>438</v>
      </c>
      <c r="LVJ92" t="s">
        <v>439</v>
      </c>
      <c r="LVK92" t="s">
        <v>428</v>
      </c>
      <c r="LVM92" t="s">
        <v>104</v>
      </c>
      <c r="LVN92" t="s">
        <v>103</v>
      </c>
      <c r="LVO92" t="s">
        <v>398</v>
      </c>
      <c r="LVP92">
        <v>1</v>
      </c>
      <c r="LVQ92" t="s">
        <v>438</v>
      </c>
      <c r="LVR92" t="s">
        <v>439</v>
      </c>
      <c r="LVS92" t="s">
        <v>428</v>
      </c>
      <c r="LVU92" t="s">
        <v>104</v>
      </c>
      <c r="LVV92" t="s">
        <v>103</v>
      </c>
      <c r="LVW92" t="s">
        <v>398</v>
      </c>
      <c r="LVX92">
        <v>1</v>
      </c>
      <c r="LVY92" t="s">
        <v>438</v>
      </c>
      <c r="LVZ92" t="s">
        <v>439</v>
      </c>
      <c r="LWA92" t="s">
        <v>428</v>
      </c>
      <c r="LWC92" t="s">
        <v>104</v>
      </c>
      <c r="LWD92" t="s">
        <v>103</v>
      </c>
      <c r="LWE92" t="s">
        <v>398</v>
      </c>
      <c r="LWF92">
        <v>1</v>
      </c>
      <c r="LWG92" t="s">
        <v>438</v>
      </c>
      <c r="LWH92" t="s">
        <v>439</v>
      </c>
      <c r="LWI92" t="s">
        <v>428</v>
      </c>
      <c r="LWK92" t="s">
        <v>104</v>
      </c>
      <c r="LWL92" t="s">
        <v>103</v>
      </c>
      <c r="LWM92" t="s">
        <v>398</v>
      </c>
      <c r="LWN92">
        <v>1</v>
      </c>
      <c r="LWO92" t="s">
        <v>438</v>
      </c>
      <c r="LWP92" t="s">
        <v>439</v>
      </c>
      <c r="LWQ92" t="s">
        <v>428</v>
      </c>
      <c r="LWS92" t="s">
        <v>104</v>
      </c>
      <c r="LWT92" t="s">
        <v>103</v>
      </c>
      <c r="LWU92" t="s">
        <v>398</v>
      </c>
      <c r="LWV92">
        <v>1</v>
      </c>
      <c r="LWW92" t="s">
        <v>438</v>
      </c>
      <c r="LWX92" t="s">
        <v>439</v>
      </c>
      <c r="LWY92" t="s">
        <v>428</v>
      </c>
      <c r="LXA92" t="s">
        <v>104</v>
      </c>
      <c r="LXB92" t="s">
        <v>103</v>
      </c>
      <c r="LXC92" t="s">
        <v>398</v>
      </c>
      <c r="LXD92">
        <v>1</v>
      </c>
      <c r="LXE92" t="s">
        <v>438</v>
      </c>
      <c r="LXF92" t="s">
        <v>439</v>
      </c>
      <c r="LXG92" t="s">
        <v>428</v>
      </c>
      <c r="LXI92" t="s">
        <v>104</v>
      </c>
      <c r="LXJ92" t="s">
        <v>103</v>
      </c>
      <c r="LXK92" t="s">
        <v>398</v>
      </c>
      <c r="LXL92">
        <v>1</v>
      </c>
      <c r="LXM92" t="s">
        <v>438</v>
      </c>
      <c r="LXN92" t="s">
        <v>439</v>
      </c>
      <c r="LXO92" t="s">
        <v>428</v>
      </c>
      <c r="LXQ92" t="s">
        <v>104</v>
      </c>
      <c r="LXR92" t="s">
        <v>103</v>
      </c>
      <c r="LXS92" t="s">
        <v>398</v>
      </c>
      <c r="LXT92">
        <v>1</v>
      </c>
      <c r="LXU92" t="s">
        <v>438</v>
      </c>
      <c r="LXV92" t="s">
        <v>439</v>
      </c>
      <c r="LXW92" t="s">
        <v>428</v>
      </c>
      <c r="LXY92" t="s">
        <v>104</v>
      </c>
      <c r="LXZ92" t="s">
        <v>103</v>
      </c>
      <c r="LYA92" t="s">
        <v>398</v>
      </c>
      <c r="LYB92">
        <v>1</v>
      </c>
      <c r="LYC92" t="s">
        <v>438</v>
      </c>
      <c r="LYD92" t="s">
        <v>439</v>
      </c>
      <c r="LYE92" t="s">
        <v>428</v>
      </c>
      <c r="LYG92" t="s">
        <v>104</v>
      </c>
      <c r="LYH92" t="s">
        <v>103</v>
      </c>
      <c r="LYI92" t="s">
        <v>398</v>
      </c>
      <c r="LYJ92">
        <v>1</v>
      </c>
      <c r="LYK92" t="s">
        <v>438</v>
      </c>
      <c r="LYL92" t="s">
        <v>439</v>
      </c>
      <c r="LYM92" t="s">
        <v>428</v>
      </c>
      <c r="LYO92" t="s">
        <v>104</v>
      </c>
      <c r="LYP92" t="s">
        <v>103</v>
      </c>
      <c r="LYQ92" t="s">
        <v>398</v>
      </c>
      <c r="LYR92">
        <v>1</v>
      </c>
      <c r="LYS92" t="s">
        <v>438</v>
      </c>
      <c r="LYT92" t="s">
        <v>439</v>
      </c>
      <c r="LYU92" t="s">
        <v>428</v>
      </c>
      <c r="LYW92" t="s">
        <v>104</v>
      </c>
      <c r="LYX92" t="s">
        <v>103</v>
      </c>
      <c r="LYY92" t="s">
        <v>398</v>
      </c>
      <c r="LYZ92">
        <v>1</v>
      </c>
      <c r="LZA92" t="s">
        <v>438</v>
      </c>
      <c r="LZB92" t="s">
        <v>439</v>
      </c>
      <c r="LZC92" t="s">
        <v>428</v>
      </c>
      <c r="LZE92" t="s">
        <v>104</v>
      </c>
      <c r="LZF92" t="s">
        <v>103</v>
      </c>
      <c r="LZG92" t="s">
        <v>398</v>
      </c>
      <c r="LZH92">
        <v>1</v>
      </c>
      <c r="LZI92" t="s">
        <v>438</v>
      </c>
      <c r="LZJ92" t="s">
        <v>439</v>
      </c>
      <c r="LZK92" t="s">
        <v>428</v>
      </c>
      <c r="LZM92" t="s">
        <v>104</v>
      </c>
      <c r="LZN92" t="s">
        <v>103</v>
      </c>
      <c r="LZO92" t="s">
        <v>398</v>
      </c>
      <c r="LZP92">
        <v>1</v>
      </c>
      <c r="LZQ92" t="s">
        <v>438</v>
      </c>
      <c r="LZR92" t="s">
        <v>439</v>
      </c>
      <c r="LZS92" t="s">
        <v>428</v>
      </c>
      <c r="LZU92" t="s">
        <v>104</v>
      </c>
      <c r="LZV92" t="s">
        <v>103</v>
      </c>
      <c r="LZW92" t="s">
        <v>398</v>
      </c>
      <c r="LZX92">
        <v>1</v>
      </c>
      <c r="LZY92" t="s">
        <v>438</v>
      </c>
      <c r="LZZ92" t="s">
        <v>439</v>
      </c>
      <c r="MAA92" t="s">
        <v>428</v>
      </c>
      <c r="MAC92" t="s">
        <v>104</v>
      </c>
      <c r="MAD92" t="s">
        <v>103</v>
      </c>
      <c r="MAE92" t="s">
        <v>398</v>
      </c>
      <c r="MAF92">
        <v>1</v>
      </c>
      <c r="MAG92" t="s">
        <v>438</v>
      </c>
      <c r="MAH92" t="s">
        <v>439</v>
      </c>
      <c r="MAI92" t="s">
        <v>428</v>
      </c>
      <c r="MAK92" t="s">
        <v>104</v>
      </c>
      <c r="MAL92" t="s">
        <v>103</v>
      </c>
      <c r="MAM92" t="s">
        <v>398</v>
      </c>
      <c r="MAN92">
        <v>1</v>
      </c>
      <c r="MAO92" t="s">
        <v>438</v>
      </c>
      <c r="MAP92" t="s">
        <v>439</v>
      </c>
      <c r="MAQ92" t="s">
        <v>428</v>
      </c>
      <c r="MAS92" t="s">
        <v>104</v>
      </c>
      <c r="MAT92" t="s">
        <v>103</v>
      </c>
      <c r="MAU92" t="s">
        <v>398</v>
      </c>
      <c r="MAV92">
        <v>1</v>
      </c>
      <c r="MAW92" t="s">
        <v>438</v>
      </c>
      <c r="MAX92" t="s">
        <v>439</v>
      </c>
      <c r="MAY92" t="s">
        <v>428</v>
      </c>
      <c r="MBA92" t="s">
        <v>104</v>
      </c>
      <c r="MBB92" t="s">
        <v>103</v>
      </c>
      <c r="MBC92" t="s">
        <v>398</v>
      </c>
      <c r="MBD92">
        <v>1</v>
      </c>
      <c r="MBE92" t="s">
        <v>438</v>
      </c>
      <c r="MBF92" t="s">
        <v>439</v>
      </c>
      <c r="MBG92" t="s">
        <v>428</v>
      </c>
      <c r="MBI92" t="s">
        <v>104</v>
      </c>
      <c r="MBJ92" t="s">
        <v>103</v>
      </c>
      <c r="MBK92" t="s">
        <v>398</v>
      </c>
      <c r="MBL92">
        <v>1</v>
      </c>
      <c r="MBM92" t="s">
        <v>438</v>
      </c>
      <c r="MBN92" t="s">
        <v>439</v>
      </c>
      <c r="MBO92" t="s">
        <v>428</v>
      </c>
      <c r="MBQ92" t="s">
        <v>104</v>
      </c>
      <c r="MBR92" t="s">
        <v>103</v>
      </c>
      <c r="MBS92" t="s">
        <v>398</v>
      </c>
      <c r="MBT92">
        <v>1</v>
      </c>
      <c r="MBU92" t="s">
        <v>438</v>
      </c>
      <c r="MBV92" t="s">
        <v>439</v>
      </c>
      <c r="MBW92" t="s">
        <v>428</v>
      </c>
      <c r="MBY92" t="s">
        <v>104</v>
      </c>
      <c r="MBZ92" t="s">
        <v>103</v>
      </c>
      <c r="MCA92" t="s">
        <v>398</v>
      </c>
      <c r="MCB92">
        <v>1</v>
      </c>
      <c r="MCC92" t="s">
        <v>438</v>
      </c>
      <c r="MCD92" t="s">
        <v>439</v>
      </c>
      <c r="MCE92" t="s">
        <v>428</v>
      </c>
      <c r="MCG92" t="s">
        <v>104</v>
      </c>
      <c r="MCH92" t="s">
        <v>103</v>
      </c>
      <c r="MCI92" t="s">
        <v>398</v>
      </c>
      <c r="MCJ92">
        <v>1</v>
      </c>
      <c r="MCK92" t="s">
        <v>438</v>
      </c>
      <c r="MCL92" t="s">
        <v>439</v>
      </c>
      <c r="MCM92" t="s">
        <v>428</v>
      </c>
      <c r="MCO92" t="s">
        <v>104</v>
      </c>
      <c r="MCP92" t="s">
        <v>103</v>
      </c>
      <c r="MCQ92" t="s">
        <v>398</v>
      </c>
      <c r="MCR92">
        <v>1</v>
      </c>
      <c r="MCS92" t="s">
        <v>438</v>
      </c>
      <c r="MCT92" t="s">
        <v>439</v>
      </c>
      <c r="MCU92" t="s">
        <v>428</v>
      </c>
      <c r="MCW92" t="s">
        <v>104</v>
      </c>
      <c r="MCX92" t="s">
        <v>103</v>
      </c>
      <c r="MCY92" t="s">
        <v>398</v>
      </c>
      <c r="MCZ92">
        <v>1</v>
      </c>
      <c r="MDA92" t="s">
        <v>438</v>
      </c>
      <c r="MDB92" t="s">
        <v>439</v>
      </c>
      <c r="MDC92" t="s">
        <v>428</v>
      </c>
      <c r="MDE92" t="s">
        <v>104</v>
      </c>
      <c r="MDF92" t="s">
        <v>103</v>
      </c>
      <c r="MDG92" t="s">
        <v>398</v>
      </c>
      <c r="MDH92">
        <v>1</v>
      </c>
      <c r="MDI92" t="s">
        <v>438</v>
      </c>
      <c r="MDJ92" t="s">
        <v>439</v>
      </c>
      <c r="MDK92" t="s">
        <v>428</v>
      </c>
      <c r="MDM92" t="s">
        <v>104</v>
      </c>
      <c r="MDN92" t="s">
        <v>103</v>
      </c>
      <c r="MDO92" t="s">
        <v>398</v>
      </c>
      <c r="MDP92">
        <v>1</v>
      </c>
      <c r="MDQ92" t="s">
        <v>438</v>
      </c>
      <c r="MDR92" t="s">
        <v>439</v>
      </c>
      <c r="MDS92" t="s">
        <v>428</v>
      </c>
      <c r="MDU92" t="s">
        <v>104</v>
      </c>
      <c r="MDV92" t="s">
        <v>103</v>
      </c>
      <c r="MDW92" t="s">
        <v>398</v>
      </c>
      <c r="MDX92">
        <v>1</v>
      </c>
      <c r="MDY92" t="s">
        <v>438</v>
      </c>
      <c r="MDZ92" t="s">
        <v>439</v>
      </c>
      <c r="MEA92" t="s">
        <v>428</v>
      </c>
      <c r="MEC92" t="s">
        <v>104</v>
      </c>
      <c r="MED92" t="s">
        <v>103</v>
      </c>
      <c r="MEE92" t="s">
        <v>398</v>
      </c>
      <c r="MEF92">
        <v>1</v>
      </c>
      <c r="MEG92" t="s">
        <v>438</v>
      </c>
      <c r="MEH92" t="s">
        <v>439</v>
      </c>
      <c r="MEI92" t="s">
        <v>428</v>
      </c>
      <c r="MEK92" t="s">
        <v>104</v>
      </c>
      <c r="MEL92" t="s">
        <v>103</v>
      </c>
      <c r="MEM92" t="s">
        <v>398</v>
      </c>
      <c r="MEN92">
        <v>1</v>
      </c>
      <c r="MEO92" t="s">
        <v>438</v>
      </c>
      <c r="MEP92" t="s">
        <v>439</v>
      </c>
      <c r="MEQ92" t="s">
        <v>428</v>
      </c>
      <c r="MES92" t="s">
        <v>104</v>
      </c>
      <c r="MET92" t="s">
        <v>103</v>
      </c>
      <c r="MEU92" t="s">
        <v>398</v>
      </c>
      <c r="MEV92">
        <v>1</v>
      </c>
      <c r="MEW92" t="s">
        <v>438</v>
      </c>
      <c r="MEX92" t="s">
        <v>439</v>
      </c>
      <c r="MEY92" t="s">
        <v>428</v>
      </c>
      <c r="MFA92" t="s">
        <v>104</v>
      </c>
      <c r="MFB92" t="s">
        <v>103</v>
      </c>
      <c r="MFC92" t="s">
        <v>398</v>
      </c>
      <c r="MFD92">
        <v>1</v>
      </c>
      <c r="MFE92" t="s">
        <v>438</v>
      </c>
      <c r="MFF92" t="s">
        <v>439</v>
      </c>
      <c r="MFG92" t="s">
        <v>428</v>
      </c>
      <c r="MFI92" t="s">
        <v>104</v>
      </c>
      <c r="MFJ92" t="s">
        <v>103</v>
      </c>
      <c r="MFK92" t="s">
        <v>398</v>
      </c>
      <c r="MFL92">
        <v>1</v>
      </c>
      <c r="MFM92" t="s">
        <v>438</v>
      </c>
      <c r="MFN92" t="s">
        <v>439</v>
      </c>
      <c r="MFO92" t="s">
        <v>428</v>
      </c>
      <c r="MFQ92" t="s">
        <v>104</v>
      </c>
      <c r="MFR92" t="s">
        <v>103</v>
      </c>
      <c r="MFS92" t="s">
        <v>398</v>
      </c>
      <c r="MFT92">
        <v>1</v>
      </c>
      <c r="MFU92" t="s">
        <v>438</v>
      </c>
      <c r="MFV92" t="s">
        <v>439</v>
      </c>
      <c r="MFW92" t="s">
        <v>428</v>
      </c>
      <c r="MFY92" t="s">
        <v>104</v>
      </c>
      <c r="MFZ92" t="s">
        <v>103</v>
      </c>
      <c r="MGA92" t="s">
        <v>398</v>
      </c>
      <c r="MGB92">
        <v>1</v>
      </c>
      <c r="MGC92" t="s">
        <v>438</v>
      </c>
      <c r="MGD92" t="s">
        <v>439</v>
      </c>
      <c r="MGE92" t="s">
        <v>428</v>
      </c>
      <c r="MGG92" t="s">
        <v>104</v>
      </c>
      <c r="MGH92" t="s">
        <v>103</v>
      </c>
      <c r="MGI92" t="s">
        <v>398</v>
      </c>
      <c r="MGJ92">
        <v>1</v>
      </c>
      <c r="MGK92" t="s">
        <v>438</v>
      </c>
      <c r="MGL92" t="s">
        <v>439</v>
      </c>
      <c r="MGM92" t="s">
        <v>428</v>
      </c>
      <c r="MGO92" t="s">
        <v>104</v>
      </c>
      <c r="MGP92" t="s">
        <v>103</v>
      </c>
      <c r="MGQ92" t="s">
        <v>398</v>
      </c>
      <c r="MGR92">
        <v>1</v>
      </c>
      <c r="MGS92" t="s">
        <v>438</v>
      </c>
      <c r="MGT92" t="s">
        <v>439</v>
      </c>
      <c r="MGU92" t="s">
        <v>428</v>
      </c>
      <c r="MGW92" t="s">
        <v>104</v>
      </c>
      <c r="MGX92" t="s">
        <v>103</v>
      </c>
      <c r="MGY92" t="s">
        <v>398</v>
      </c>
      <c r="MGZ92">
        <v>1</v>
      </c>
      <c r="MHA92" t="s">
        <v>438</v>
      </c>
      <c r="MHB92" t="s">
        <v>439</v>
      </c>
      <c r="MHC92" t="s">
        <v>428</v>
      </c>
      <c r="MHE92" t="s">
        <v>104</v>
      </c>
      <c r="MHF92" t="s">
        <v>103</v>
      </c>
      <c r="MHG92" t="s">
        <v>398</v>
      </c>
      <c r="MHH92">
        <v>1</v>
      </c>
      <c r="MHI92" t="s">
        <v>438</v>
      </c>
      <c r="MHJ92" t="s">
        <v>439</v>
      </c>
      <c r="MHK92" t="s">
        <v>428</v>
      </c>
      <c r="MHM92" t="s">
        <v>104</v>
      </c>
      <c r="MHN92" t="s">
        <v>103</v>
      </c>
      <c r="MHO92" t="s">
        <v>398</v>
      </c>
      <c r="MHP92">
        <v>1</v>
      </c>
      <c r="MHQ92" t="s">
        <v>438</v>
      </c>
      <c r="MHR92" t="s">
        <v>439</v>
      </c>
      <c r="MHS92" t="s">
        <v>428</v>
      </c>
      <c r="MHU92" t="s">
        <v>104</v>
      </c>
      <c r="MHV92" t="s">
        <v>103</v>
      </c>
      <c r="MHW92" t="s">
        <v>398</v>
      </c>
      <c r="MHX92">
        <v>1</v>
      </c>
      <c r="MHY92" t="s">
        <v>438</v>
      </c>
      <c r="MHZ92" t="s">
        <v>439</v>
      </c>
      <c r="MIA92" t="s">
        <v>428</v>
      </c>
      <c r="MIC92" t="s">
        <v>104</v>
      </c>
      <c r="MID92" t="s">
        <v>103</v>
      </c>
      <c r="MIE92" t="s">
        <v>398</v>
      </c>
      <c r="MIF92">
        <v>1</v>
      </c>
      <c r="MIG92" t="s">
        <v>438</v>
      </c>
      <c r="MIH92" t="s">
        <v>439</v>
      </c>
      <c r="MII92" t="s">
        <v>428</v>
      </c>
      <c r="MIK92" t="s">
        <v>104</v>
      </c>
      <c r="MIL92" t="s">
        <v>103</v>
      </c>
      <c r="MIM92" t="s">
        <v>398</v>
      </c>
      <c r="MIN92">
        <v>1</v>
      </c>
      <c r="MIO92" t="s">
        <v>438</v>
      </c>
      <c r="MIP92" t="s">
        <v>439</v>
      </c>
      <c r="MIQ92" t="s">
        <v>428</v>
      </c>
      <c r="MIS92" t="s">
        <v>104</v>
      </c>
      <c r="MIT92" t="s">
        <v>103</v>
      </c>
      <c r="MIU92" t="s">
        <v>398</v>
      </c>
      <c r="MIV92">
        <v>1</v>
      </c>
      <c r="MIW92" t="s">
        <v>438</v>
      </c>
      <c r="MIX92" t="s">
        <v>439</v>
      </c>
      <c r="MIY92" t="s">
        <v>428</v>
      </c>
      <c r="MJA92" t="s">
        <v>104</v>
      </c>
      <c r="MJB92" t="s">
        <v>103</v>
      </c>
      <c r="MJC92" t="s">
        <v>398</v>
      </c>
      <c r="MJD92">
        <v>1</v>
      </c>
      <c r="MJE92" t="s">
        <v>438</v>
      </c>
      <c r="MJF92" t="s">
        <v>439</v>
      </c>
      <c r="MJG92" t="s">
        <v>428</v>
      </c>
      <c r="MJI92" t="s">
        <v>104</v>
      </c>
      <c r="MJJ92" t="s">
        <v>103</v>
      </c>
      <c r="MJK92" t="s">
        <v>398</v>
      </c>
      <c r="MJL92">
        <v>1</v>
      </c>
      <c r="MJM92" t="s">
        <v>438</v>
      </c>
      <c r="MJN92" t="s">
        <v>439</v>
      </c>
      <c r="MJO92" t="s">
        <v>428</v>
      </c>
      <c r="MJQ92" t="s">
        <v>104</v>
      </c>
      <c r="MJR92" t="s">
        <v>103</v>
      </c>
      <c r="MJS92" t="s">
        <v>398</v>
      </c>
      <c r="MJT92">
        <v>1</v>
      </c>
      <c r="MJU92" t="s">
        <v>438</v>
      </c>
      <c r="MJV92" t="s">
        <v>439</v>
      </c>
      <c r="MJW92" t="s">
        <v>428</v>
      </c>
      <c r="MJY92" t="s">
        <v>104</v>
      </c>
      <c r="MJZ92" t="s">
        <v>103</v>
      </c>
      <c r="MKA92" t="s">
        <v>398</v>
      </c>
      <c r="MKB92">
        <v>1</v>
      </c>
      <c r="MKC92" t="s">
        <v>438</v>
      </c>
      <c r="MKD92" t="s">
        <v>439</v>
      </c>
      <c r="MKE92" t="s">
        <v>428</v>
      </c>
      <c r="MKG92" t="s">
        <v>104</v>
      </c>
      <c r="MKH92" t="s">
        <v>103</v>
      </c>
      <c r="MKI92" t="s">
        <v>398</v>
      </c>
      <c r="MKJ92">
        <v>1</v>
      </c>
      <c r="MKK92" t="s">
        <v>438</v>
      </c>
      <c r="MKL92" t="s">
        <v>439</v>
      </c>
      <c r="MKM92" t="s">
        <v>428</v>
      </c>
      <c r="MKO92" t="s">
        <v>104</v>
      </c>
      <c r="MKP92" t="s">
        <v>103</v>
      </c>
      <c r="MKQ92" t="s">
        <v>398</v>
      </c>
      <c r="MKR92">
        <v>1</v>
      </c>
      <c r="MKS92" t="s">
        <v>438</v>
      </c>
      <c r="MKT92" t="s">
        <v>439</v>
      </c>
      <c r="MKU92" t="s">
        <v>428</v>
      </c>
      <c r="MKW92" t="s">
        <v>104</v>
      </c>
      <c r="MKX92" t="s">
        <v>103</v>
      </c>
      <c r="MKY92" t="s">
        <v>398</v>
      </c>
      <c r="MKZ92">
        <v>1</v>
      </c>
      <c r="MLA92" t="s">
        <v>438</v>
      </c>
      <c r="MLB92" t="s">
        <v>439</v>
      </c>
      <c r="MLC92" t="s">
        <v>428</v>
      </c>
      <c r="MLE92" t="s">
        <v>104</v>
      </c>
      <c r="MLF92" t="s">
        <v>103</v>
      </c>
      <c r="MLG92" t="s">
        <v>398</v>
      </c>
      <c r="MLH92">
        <v>1</v>
      </c>
      <c r="MLI92" t="s">
        <v>438</v>
      </c>
      <c r="MLJ92" t="s">
        <v>439</v>
      </c>
      <c r="MLK92" t="s">
        <v>428</v>
      </c>
      <c r="MLM92" t="s">
        <v>104</v>
      </c>
      <c r="MLN92" t="s">
        <v>103</v>
      </c>
      <c r="MLO92" t="s">
        <v>398</v>
      </c>
      <c r="MLP92">
        <v>1</v>
      </c>
      <c r="MLQ92" t="s">
        <v>438</v>
      </c>
      <c r="MLR92" t="s">
        <v>439</v>
      </c>
      <c r="MLS92" t="s">
        <v>428</v>
      </c>
      <c r="MLU92" t="s">
        <v>104</v>
      </c>
      <c r="MLV92" t="s">
        <v>103</v>
      </c>
      <c r="MLW92" t="s">
        <v>398</v>
      </c>
      <c r="MLX92">
        <v>1</v>
      </c>
      <c r="MLY92" t="s">
        <v>438</v>
      </c>
      <c r="MLZ92" t="s">
        <v>439</v>
      </c>
      <c r="MMA92" t="s">
        <v>428</v>
      </c>
      <c r="MMC92" t="s">
        <v>104</v>
      </c>
      <c r="MMD92" t="s">
        <v>103</v>
      </c>
      <c r="MME92" t="s">
        <v>398</v>
      </c>
      <c r="MMF92">
        <v>1</v>
      </c>
      <c r="MMG92" t="s">
        <v>438</v>
      </c>
      <c r="MMH92" t="s">
        <v>439</v>
      </c>
      <c r="MMI92" t="s">
        <v>428</v>
      </c>
      <c r="MMK92" t="s">
        <v>104</v>
      </c>
      <c r="MML92" t="s">
        <v>103</v>
      </c>
      <c r="MMM92" t="s">
        <v>398</v>
      </c>
      <c r="MMN92">
        <v>1</v>
      </c>
      <c r="MMO92" t="s">
        <v>438</v>
      </c>
      <c r="MMP92" t="s">
        <v>439</v>
      </c>
      <c r="MMQ92" t="s">
        <v>428</v>
      </c>
      <c r="MMS92" t="s">
        <v>104</v>
      </c>
      <c r="MMT92" t="s">
        <v>103</v>
      </c>
      <c r="MMU92" t="s">
        <v>398</v>
      </c>
      <c r="MMV92">
        <v>1</v>
      </c>
      <c r="MMW92" t="s">
        <v>438</v>
      </c>
      <c r="MMX92" t="s">
        <v>439</v>
      </c>
      <c r="MMY92" t="s">
        <v>428</v>
      </c>
      <c r="MNA92" t="s">
        <v>104</v>
      </c>
      <c r="MNB92" t="s">
        <v>103</v>
      </c>
      <c r="MNC92" t="s">
        <v>398</v>
      </c>
      <c r="MND92">
        <v>1</v>
      </c>
      <c r="MNE92" t="s">
        <v>438</v>
      </c>
      <c r="MNF92" t="s">
        <v>439</v>
      </c>
      <c r="MNG92" t="s">
        <v>428</v>
      </c>
      <c r="MNI92" t="s">
        <v>104</v>
      </c>
      <c r="MNJ92" t="s">
        <v>103</v>
      </c>
      <c r="MNK92" t="s">
        <v>398</v>
      </c>
      <c r="MNL92">
        <v>1</v>
      </c>
      <c r="MNM92" t="s">
        <v>438</v>
      </c>
      <c r="MNN92" t="s">
        <v>439</v>
      </c>
      <c r="MNO92" t="s">
        <v>428</v>
      </c>
      <c r="MNQ92" t="s">
        <v>104</v>
      </c>
      <c r="MNR92" t="s">
        <v>103</v>
      </c>
      <c r="MNS92" t="s">
        <v>398</v>
      </c>
      <c r="MNT92">
        <v>1</v>
      </c>
      <c r="MNU92" t="s">
        <v>438</v>
      </c>
      <c r="MNV92" t="s">
        <v>439</v>
      </c>
      <c r="MNW92" t="s">
        <v>428</v>
      </c>
      <c r="MNY92" t="s">
        <v>104</v>
      </c>
      <c r="MNZ92" t="s">
        <v>103</v>
      </c>
      <c r="MOA92" t="s">
        <v>398</v>
      </c>
      <c r="MOB92">
        <v>1</v>
      </c>
      <c r="MOC92" t="s">
        <v>438</v>
      </c>
      <c r="MOD92" t="s">
        <v>439</v>
      </c>
      <c r="MOE92" t="s">
        <v>428</v>
      </c>
      <c r="MOG92" t="s">
        <v>104</v>
      </c>
      <c r="MOH92" t="s">
        <v>103</v>
      </c>
      <c r="MOI92" t="s">
        <v>398</v>
      </c>
      <c r="MOJ92">
        <v>1</v>
      </c>
      <c r="MOK92" t="s">
        <v>438</v>
      </c>
      <c r="MOL92" t="s">
        <v>439</v>
      </c>
      <c r="MOM92" t="s">
        <v>428</v>
      </c>
      <c r="MOO92" t="s">
        <v>104</v>
      </c>
      <c r="MOP92" t="s">
        <v>103</v>
      </c>
      <c r="MOQ92" t="s">
        <v>398</v>
      </c>
      <c r="MOR92">
        <v>1</v>
      </c>
      <c r="MOS92" t="s">
        <v>438</v>
      </c>
      <c r="MOT92" t="s">
        <v>439</v>
      </c>
      <c r="MOU92" t="s">
        <v>428</v>
      </c>
      <c r="MOW92" t="s">
        <v>104</v>
      </c>
      <c r="MOX92" t="s">
        <v>103</v>
      </c>
      <c r="MOY92" t="s">
        <v>398</v>
      </c>
      <c r="MOZ92">
        <v>1</v>
      </c>
      <c r="MPA92" t="s">
        <v>438</v>
      </c>
      <c r="MPB92" t="s">
        <v>439</v>
      </c>
      <c r="MPC92" t="s">
        <v>428</v>
      </c>
      <c r="MPE92" t="s">
        <v>104</v>
      </c>
      <c r="MPF92" t="s">
        <v>103</v>
      </c>
      <c r="MPG92" t="s">
        <v>398</v>
      </c>
      <c r="MPH92">
        <v>1</v>
      </c>
      <c r="MPI92" t="s">
        <v>438</v>
      </c>
      <c r="MPJ92" t="s">
        <v>439</v>
      </c>
      <c r="MPK92" t="s">
        <v>428</v>
      </c>
      <c r="MPM92" t="s">
        <v>104</v>
      </c>
      <c r="MPN92" t="s">
        <v>103</v>
      </c>
      <c r="MPO92" t="s">
        <v>398</v>
      </c>
      <c r="MPP92">
        <v>1</v>
      </c>
      <c r="MPQ92" t="s">
        <v>438</v>
      </c>
      <c r="MPR92" t="s">
        <v>439</v>
      </c>
      <c r="MPS92" t="s">
        <v>428</v>
      </c>
      <c r="MPU92" t="s">
        <v>104</v>
      </c>
      <c r="MPV92" t="s">
        <v>103</v>
      </c>
      <c r="MPW92" t="s">
        <v>398</v>
      </c>
      <c r="MPX92">
        <v>1</v>
      </c>
      <c r="MPY92" t="s">
        <v>438</v>
      </c>
      <c r="MPZ92" t="s">
        <v>439</v>
      </c>
      <c r="MQA92" t="s">
        <v>428</v>
      </c>
      <c r="MQC92" t="s">
        <v>104</v>
      </c>
      <c r="MQD92" t="s">
        <v>103</v>
      </c>
      <c r="MQE92" t="s">
        <v>398</v>
      </c>
      <c r="MQF92">
        <v>1</v>
      </c>
      <c r="MQG92" t="s">
        <v>438</v>
      </c>
      <c r="MQH92" t="s">
        <v>439</v>
      </c>
      <c r="MQI92" t="s">
        <v>428</v>
      </c>
      <c r="MQK92" t="s">
        <v>104</v>
      </c>
      <c r="MQL92" t="s">
        <v>103</v>
      </c>
      <c r="MQM92" t="s">
        <v>398</v>
      </c>
      <c r="MQN92">
        <v>1</v>
      </c>
      <c r="MQO92" t="s">
        <v>438</v>
      </c>
      <c r="MQP92" t="s">
        <v>439</v>
      </c>
      <c r="MQQ92" t="s">
        <v>428</v>
      </c>
      <c r="MQS92" t="s">
        <v>104</v>
      </c>
      <c r="MQT92" t="s">
        <v>103</v>
      </c>
      <c r="MQU92" t="s">
        <v>398</v>
      </c>
      <c r="MQV92">
        <v>1</v>
      </c>
      <c r="MQW92" t="s">
        <v>438</v>
      </c>
      <c r="MQX92" t="s">
        <v>439</v>
      </c>
      <c r="MQY92" t="s">
        <v>428</v>
      </c>
      <c r="MRA92" t="s">
        <v>104</v>
      </c>
      <c r="MRB92" t="s">
        <v>103</v>
      </c>
      <c r="MRC92" t="s">
        <v>398</v>
      </c>
      <c r="MRD92">
        <v>1</v>
      </c>
      <c r="MRE92" t="s">
        <v>438</v>
      </c>
      <c r="MRF92" t="s">
        <v>439</v>
      </c>
      <c r="MRG92" t="s">
        <v>428</v>
      </c>
      <c r="MRI92" t="s">
        <v>104</v>
      </c>
      <c r="MRJ92" t="s">
        <v>103</v>
      </c>
      <c r="MRK92" t="s">
        <v>398</v>
      </c>
      <c r="MRL92">
        <v>1</v>
      </c>
      <c r="MRM92" t="s">
        <v>438</v>
      </c>
      <c r="MRN92" t="s">
        <v>439</v>
      </c>
      <c r="MRO92" t="s">
        <v>428</v>
      </c>
      <c r="MRQ92" t="s">
        <v>104</v>
      </c>
      <c r="MRR92" t="s">
        <v>103</v>
      </c>
      <c r="MRS92" t="s">
        <v>398</v>
      </c>
      <c r="MRT92">
        <v>1</v>
      </c>
      <c r="MRU92" t="s">
        <v>438</v>
      </c>
      <c r="MRV92" t="s">
        <v>439</v>
      </c>
      <c r="MRW92" t="s">
        <v>428</v>
      </c>
      <c r="MRY92" t="s">
        <v>104</v>
      </c>
      <c r="MRZ92" t="s">
        <v>103</v>
      </c>
      <c r="MSA92" t="s">
        <v>398</v>
      </c>
      <c r="MSB92">
        <v>1</v>
      </c>
      <c r="MSC92" t="s">
        <v>438</v>
      </c>
      <c r="MSD92" t="s">
        <v>439</v>
      </c>
      <c r="MSE92" t="s">
        <v>428</v>
      </c>
      <c r="MSG92" t="s">
        <v>104</v>
      </c>
      <c r="MSH92" t="s">
        <v>103</v>
      </c>
      <c r="MSI92" t="s">
        <v>398</v>
      </c>
      <c r="MSJ92">
        <v>1</v>
      </c>
      <c r="MSK92" t="s">
        <v>438</v>
      </c>
      <c r="MSL92" t="s">
        <v>439</v>
      </c>
      <c r="MSM92" t="s">
        <v>428</v>
      </c>
      <c r="MSO92" t="s">
        <v>104</v>
      </c>
      <c r="MSP92" t="s">
        <v>103</v>
      </c>
      <c r="MSQ92" t="s">
        <v>398</v>
      </c>
      <c r="MSR92">
        <v>1</v>
      </c>
      <c r="MSS92" t="s">
        <v>438</v>
      </c>
      <c r="MST92" t="s">
        <v>439</v>
      </c>
      <c r="MSU92" t="s">
        <v>428</v>
      </c>
      <c r="MSW92" t="s">
        <v>104</v>
      </c>
      <c r="MSX92" t="s">
        <v>103</v>
      </c>
      <c r="MSY92" t="s">
        <v>398</v>
      </c>
      <c r="MSZ92">
        <v>1</v>
      </c>
      <c r="MTA92" t="s">
        <v>438</v>
      </c>
      <c r="MTB92" t="s">
        <v>439</v>
      </c>
      <c r="MTC92" t="s">
        <v>428</v>
      </c>
      <c r="MTE92" t="s">
        <v>104</v>
      </c>
      <c r="MTF92" t="s">
        <v>103</v>
      </c>
      <c r="MTG92" t="s">
        <v>398</v>
      </c>
      <c r="MTH92">
        <v>1</v>
      </c>
      <c r="MTI92" t="s">
        <v>438</v>
      </c>
      <c r="MTJ92" t="s">
        <v>439</v>
      </c>
      <c r="MTK92" t="s">
        <v>428</v>
      </c>
      <c r="MTM92" t="s">
        <v>104</v>
      </c>
      <c r="MTN92" t="s">
        <v>103</v>
      </c>
      <c r="MTO92" t="s">
        <v>398</v>
      </c>
      <c r="MTP92">
        <v>1</v>
      </c>
      <c r="MTQ92" t="s">
        <v>438</v>
      </c>
      <c r="MTR92" t="s">
        <v>439</v>
      </c>
      <c r="MTS92" t="s">
        <v>428</v>
      </c>
      <c r="MTU92" t="s">
        <v>104</v>
      </c>
      <c r="MTV92" t="s">
        <v>103</v>
      </c>
      <c r="MTW92" t="s">
        <v>398</v>
      </c>
      <c r="MTX92">
        <v>1</v>
      </c>
      <c r="MTY92" t="s">
        <v>438</v>
      </c>
      <c r="MTZ92" t="s">
        <v>439</v>
      </c>
      <c r="MUA92" t="s">
        <v>428</v>
      </c>
      <c r="MUC92" t="s">
        <v>104</v>
      </c>
      <c r="MUD92" t="s">
        <v>103</v>
      </c>
      <c r="MUE92" t="s">
        <v>398</v>
      </c>
      <c r="MUF92">
        <v>1</v>
      </c>
      <c r="MUG92" t="s">
        <v>438</v>
      </c>
      <c r="MUH92" t="s">
        <v>439</v>
      </c>
      <c r="MUI92" t="s">
        <v>428</v>
      </c>
      <c r="MUK92" t="s">
        <v>104</v>
      </c>
      <c r="MUL92" t="s">
        <v>103</v>
      </c>
      <c r="MUM92" t="s">
        <v>398</v>
      </c>
      <c r="MUN92">
        <v>1</v>
      </c>
      <c r="MUO92" t="s">
        <v>438</v>
      </c>
      <c r="MUP92" t="s">
        <v>439</v>
      </c>
      <c r="MUQ92" t="s">
        <v>428</v>
      </c>
      <c r="MUS92" t="s">
        <v>104</v>
      </c>
      <c r="MUT92" t="s">
        <v>103</v>
      </c>
      <c r="MUU92" t="s">
        <v>398</v>
      </c>
      <c r="MUV92">
        <v>1</v>
      </c>
      <c r="MUW92" t="s">
        <v>438</v>
      </c>
      <c r="MUX92" t="s">
        <v>439</v>
      </c>
      <c r="MUY92" t="s">
        <v>428</v>
      </c>
      <c r="MVA92" t="s">
        <v>104</v>
      </c>
      <c r="MVB92" t="s">
        <v>103</v>
      </c>
      <c r="MVC92" t="s">
        <v>398</v>
      </c>
      <c r="MVD92">
        <v>1</v>
      </c>
      <c r="MVE92" t="s">
        <v>438</v>
      </c>
      <c r="MVF92" t="s">
        <v>439</v>
      </c>
      <c r="MVG92" t="s">
        <v>428</v>
      </c>
      <c r="MVI92" t="s">
        <v>104</v>
      </c>
      <c r="MVJ92" t="s">
        <v>103</v>
      </c>
      <c r="MVK92" t="s">
        <v>398</v>
      </c>
      <c r="MVL92">
        <v>1</v>
      </c>
      <c r="MVM92" t="s">
        <v>438</v>
      </c>
      <c r="MVN92" t="s">
        <v>439</v>
      </c>
      <c r="MVO92" t="s">
        <v>428</v>
      </c>
      <c r="MVQ92" t="s">
        <v>104</v>
      </c>
      <c r="MVR92" t="s">
        <v>103</v>
      </c>
      <c r="MVS92" t="s">
        <v>398</v>
      </c>
      <c r="MVT92">
        <v>1</v>
      </c>
      <c r="MVU92" t="s">
        <v>438</v>
      </c>
      <c r="MVV92" t="s">
        <v>439</v>
      </c>
      <c r="MVW92" t="s">
        <v>428</v>
      </c>
      <c r="MVY92" t="s">
        <v>104</v>
      </c>
      <c r="MVZ92" t="s">
        <v>103</v>
      </c>
      <c r="MWA92" t="s">
        <v>398</v>
      </c>
      <c r="MWB92">
        <v>1</v>
      </c>
      <c r="MWC92" t="s">
        <v>438</v>
      </c>
      <c r="MWD92" t="s">
        <v>439</v>
      </c>
      <c r="MWE92" t="s">
        <v>428</v>
      </c>
      <c r="MWG92" t="s">
        <v>104</v>
      </c>
      <c r="MWH92" t="s">
        <v>103</v>
      </c>
      <c r="MWI92" t="s">
        <v>398</v>
      </c>
      <c r="MWJ92">
        <v>1</v>
      </c>
      <c r="MWK92" t="s">
        <v>438</v>
      </c>
      <c r="MWL92" t="s">
        <v>439</v>
      </c>
      <c r="MWM92" t="s">
        <v>428</v>
      </c>
      <c r="MWO92" t="s">
        <v>104</v>
      </c>
      <c r="MWP92" t="s">
        <v>103</v>
      </c>
      <c r="MWQ92" t="s">
        <v>398</v>
      </c>
      <c r="MWR92">
        <v>1</v>
      </c>
      <c r="MWS92" t="s">
        <v>438</v>
      </c>
      <c r="MWT92" t="s">
        <v>439</v>
      </c>
      <c r="MWU92" t="s">
        <v>428</v>
      </c>
      <c r="MWW92" t="s">
        <v>104</v>
      </c>
      <c r="MWX92" t="s">
        <v>103</v>
      </c>
      <c r="MWY92" t="s">
        <v>398</v>
      </c>
      <c r="MWZ92">
        <v>1</v>
      </c>
      <c r="MXA92" t="s">
        <v>438</v>
      </c>
      <c r="MXB92" t="s">
        <v>439</v>
      </c>
      <c r="MXC92" t="s">
        <v>428</v>
      </c>
      <c r="MXE92" t="s">
        <v>104</v>
      </c>
      <c r="MXF92" t="s">
        <v>103</v>
      </c>
      <c r="MXG92" t="s">
        <v>398</v>
      </c>
      <c r="MXH92">
        <v>1</v>
      </c>
      <c r="MXI92" t="s">
        <v>438</v>
      </c>
      <c r="MXJ92" t="s">
        <v>439</v>
      </c>
      <c r="MXK92" t="s">
        <v>428</v>
      </c>
      <c r="MXM92" t="s">
        <v>104</v>
      </c>
      <c r="MXN92" t="s">
        <v>103</v>
      </c>
      <c r="MXO92" t="s">
        <v>398</v>
      </c>
      <c r="MXP92">
        <v>1</v>
      </c>
      <c r="MXQ92" t="s">
        <v>438</v>
      </c>
      <c r="MXR92" t="s">
        <v>439</v>
      </c>
      <c r="MXS92" t="s">
        <v>428</v>
      </c>
      <c r="MXU92" t="s">
        <v>104</v>
      </c>
      <c r="MXV92" t="s">
        <v>103</v>
      </c>
      <c r="MXW92" t="s">
        <v>398</v>
      </c>
      <c r="MXX92">
        <v>1</v>
      </c>
      <c r="MXY92" t="s">
        <v>438</v>
      </c>
      <c r="MXZ92" t="s">
        <v>439</v>
      </c>
      <c r="MYA92" t="s">
        <v>428</v>
      </c>
      <c r="MYC92" t="s">
        <v>104</v>
      </c>
      <c r="MYD92" t="s">
        <v>103</v>
      </c>
      <c r="MYE92" t="s">
        <v>398</v>
      </c>
      <c r="MYF92">
        <v>1</v>
      </c>
      <c r="MYG92" t="s">
        <v>438</v>
      </c>
      <c r="MYH92" t="s">
        <v>439</v>
      </c>
      <c r="MYI92" t="s">
        <v>428</v>
      </c>
      <c r="MYK92" t="s">
        <v>104</v>
      </c>
      <c r="MYL92" t="s">
        <v>103</v>
      </c>
      <c r="MYM92" t="s">
        <v>398</v>
      </c>
      <c r="MYN92">
        <v>1</v>
      </c>
      <c r="MYO92" t="s">
        <v>438</v>
      </c>
      <c r="MYP92" t="s">
        <v>439</v>
      </c>
      <c r="MYQ92" t="s">
        <v>428</v>
      </c>
      <c r="MYS92" t="s">
        <v>104</v>
      </c>
      <c r="MYT92" t="s">
        <v>103</v>
      </c>
      <c r="MYU92" t="s">
        <v>398</v>
      </c>
      <c r="MYV92">
        <v>1</v>
      </c>
      <c r="MYW92" t="s">
        <v>438</v>
      </c>
      <c r="MYX92" t="s">
        <v>439</v>
      </c>
      <c r="MYY92" t="s">
        <v>428</v>
      </c>
      <c r="MZA92" t="s">
        <v>104</v>
      </c>
      <c r="MZB92" t="s">
        <v>103</v>
      </c>
      <c r="MZC92" t="s">
        <v>398</v>
      </c>
      <c r="MZD92">
        <v>1</v>
      </c>
      <c r="MZE92" t="s">
        <v>438</v>
      </c>
      <c r="MZF92" t="s">
        <v>439</v>
      </c>
      <c r="MZG92" t="s">
        <v>428</v>
      </c>
      <c r="MZI92" t="s">
        <v>104</v>
      </c>
      <c r="MZJ92" t="s">
        <v>103</v>
      </c>
      <c r="MZK92" t="s">
        <v>398</v>
      </c>
      <c r="MZL92">
        <v>1</v>
      </c>
      <c r="MZM92" t="s">
        <v>438</v>
      </c>
      <c r="MZN92" t="s">
        <v>439</v>
      </c>
      <c r="MZO92" t="s">
        <v>428</v>
      </c>
      <c r="MZQ92" t="s">
        <v>104</v>
      </c>
      <c r="MZR92" t="s">
        <v>103</v>
      </c>
      <c r="MZS92" t="s">
        <v>398</v>
      </c>
      <c r="MZT92">
        <v>1</v>
      </c>
      <c r="MZU92" t="s">
        <v>438</v>
      </c>
      <c r="MZV92" t="s">
        <v>439</v>
      </c>
      <c r="MZW92" t="s">
        <v>428</v>
      </c>
      <c r="MZY92" t="s">
        <v>104</v>
      </c>
      <c r="MZZ92" t="s">
        <v>103</v>
      </c>
      <c r="NAA92" t="s">
        <v>398</v>
      </c>
      <c r="NAB92">
        <v>1</v>
      </c>
      <c r="NAC92" t="s">
        <v>438</v>
      </c>
      <c r="NAD92" t="s">
        <v>439</v>
      </c>
      <c r="NAE92" t="s">
        <v>428</v>
      </c>
      <c r="NAG92" t="s">
        <v>104</v>
      </c>
      <c r="NAH92" t="s">
        <v>103</v>
      </c>
      <c r="NAI92" t="s">
        <v>398</v>
      </c>
      <c r="NAJ92">
        <v>1</v>
      </c>
      <c r="NAK92" t="s">
        <v>438</v>
      </c>
      <c r="NAL92" t="s">
        <v>439</v>
      </c>
      <c r="NAM92" t="s">
        <v>428</v>
      </c>
      <c r="NAO92" t="s">
        <v>104</v>
      </c>
      <c r="NAP92" t="s">
        <v>103</v>
      </c>
      <c r="NAQ92" t="s">
        <v>398</v>
      </c>
      <c r="NAR92">
        <v>1</v>
      </c>
      <c r="NAS92" t="s">
        <v>438</v>
      </c>
      <c r="NAT92" t="s">
        <v>439</v>
      </c>
      <c r="NAU92" t="s">
        <v>428</v>
      </c>
      <c r="NAW92" t="s">
        <v>104</v>
      </c>
      <c r="NAX92" t="s">
        <v>103</v>
      </c>
      <c r="NAY92" t="s">
        <v>398</v>
      </c>
      <c r="NAZ92">
        <v>1</v>
      </c>
      <c r="NBA92" t="s">
        <v>438</v>
      </c>
      <c r="NBB92" t="s">
        <v>439</v>
      </c>
      <c r="NBC92" t="s">
        <v>428</v>
      </c>
      <c r="NBE92" t="s">
        <v>104</v>
      </c>
      <c r="NBF92" t="s">
        <v>103</v>
      </c>
      <c r="NBG92" t="s">
        <v>398</v>
      </c>
      <c r="NBH92">
        <v>1</v>
      </c>
      <c r="NBI92" t="s">
        <v>438</v>
      </c>
      <c r="NBJ92" t="s">
        <v>439</v>
      </c>
      <c r="NBK92" t="s">
        <v>428</v>
      </c>
      <c r="NBM92" t="s">
        <v>104</v>
      </c>
      <c r="NBN92" t="s">
        <v>103</v>
      </c>
      <c r="NBO92" t="s">
        <v>398</v>
      </c>
      <c r="NBP92">
        <v>1</v>
      </c>
      <c r="NBQ92" t="s">
        <v>438</v>
      </c>
      <c r="NBR92" t="s">
        <v>439</v>
      </c>
      <c r="NBS92" t="s">
        <v>428</v>
      </c>
      <c r="NBU92" t="s">
        <v>104</v>
      </c>
      <c r="NBV92" t="s">
        <v>103</v>
      </c>
      <c r="NBW92" t="s">
        <v>398</v>
      </c>
      <c r="NBX92">
        <v>1</v>
      </c>
      <c r="NBY92" t="s">
        <v>438</v>
      </c>
      <c r="NBZ92" t="s">
        <v>439</v>
      </c>
      <c r="NCA92" t="s">
        <v>428</v>
      </c>
      <c r="NCC92" t="s">
        <v>104</v>
      </c>
      <c r="NCD92" t="s">
        <v>103</v>
      </c>
      <c r="NCE92" t="s">
        <v>398</v>
      </c>
      <c r="NCF92">
        <v>1</v>
      </c>
      <c r="NCG92" t="s">
        <v>438</v>
      </c>
      <c r="NCH92" t="s">
        <v>439</v>
      </c>
      <c r="NCI92" t="s">
        <v>428</v>
      </c>
      <c r="NCK92" t="s">
        <v>104</v>
      </c>
      <c r="NCL92" t="s">
        <v>103</v>
      </c>
      <c r="NCM92" t="s">
        <v>398</v>
      </c>
      <c r="NCN92">
        <v>1</v>
      </c>
      <c r="NCO92" t="s">
        <v>438</v>
      </c>
      <c r="NCP92" t="s">
        <v>439</v>
      </c>
      <c r="NCQ92" t="s">
        <v>428</v>
      </c>
      <c r="NCS92" t="s">
        <v>104</v>
      </c>
      <c r="NCT92" t="s">
        <v>103</v>
      </c>
      <c r="NCU92" t="s">
        <v>398</v>
      </c>
      <c r="NCV92">
        <v>1</v>
      </c>
      <c r="NCW92" t="s">
        <v>438</v>
      </c>
      <c r="NCX92" t="s">
        <v>439</v>
      </c>
      <c r="NCY92" t="s">
        <v>428</v>
      </c>
      <c r="NDA92" t="s">
        <v>104</v>
      </c>
      <c r="NDB92" t="s">
        <v>103</v>
      </c>
      <c r="NDC92" t="s">
        <v>398</v>
      </c>
      <c r="NDD92">
        <v>1</v>
      </c>
      <c r="NDE92" t="s">
        <v>438</v>
      </c>
      <c r="NDF92" t="s">
        <v>439</v>
      </c>
      <c r="NDG92" t="s">
        <v>428</v>
      </c>
      <c r="NDI92" t="s">
        <v>104</v>
      </c>
      <c r="NDJ92" t="s">
        <v>103</v>
      </c>
      <c r="NDK92" t="s">
        <v>398</v>
      </c>
      <c r="NDL92">
        <v>1</v>
      </c>
      <c r="NDM92" t="s">
        <v>438</v>
      </c>
      <c r="NDN92" t="s">
        <v>439</v>
      </c>
      <c r="NDO92" t="s">
        <v>428</v>
      </c>
      <c r="NDQ92" t="s">
        <v>104</v>
      </c>
      <c r="NDR92" t="s">
        <v>103</v>
      </c>
      <c r="NDS92" t="s">
        <v>398</v>
      </c>
      <c r="NDT92">
        <v>1</v>
      </c>
      <c r="NDU92" t="s">
        <v>438</v>
      </c>
      <c r="NDV92" t="s">
        <v>439</v>
      </c>
      <c r="NDW92" t="s">
        <v>428</v>
      </c>
      <c r="NDY92" t="s">
        <v>104</v>
      </c>
      <c r="NDZ92" t="s">
        <v>103</v>
      </c>
      <c r="NEA92" t="s">
        <v>398</v>
      </c>
      <c r="NEB92">
        <v>1</v>
      </c>
      <c r="NEC92" t="s">
        <v>438</v>
      </c>
      <c r="NED92" t="s">
        <v>439</v>
      </c>
      <c r="NEE92" t="s">
        <v>428</v>
      </c>
      <c r="NEG92" t="s">
        <v>104</v>
      </c>
      <c r="NEH92" t="s">
        <v>103</v>
      </c>
      <c r="NEI92" t="s">
        <v>398</v>
      </c>
      <c r="NEJ92">
        <v>1</v>
      </c>
      <c r="NEK92" t="s">
        <v>438</v>
      </c>
      <c r="NEL92" t="s">
        <v>439</v>
      </c>
      <c r="NEM92" t="s">
        <v>428</v>
      </c>
      <c r="NEO92" t="s">
        <v>104</v>
      </c>
      <c r="NEP92" t="s">
        <v>103</v>
      </c>
      <c r="NEQ92" t="s">
        <v>398</v>
      </c>
      <c r="NER92">
        <v>1</v>
      </c>
      <c r="NES92" t="s">
        <v>438</v>
      </c>
      <c r="NET92" t="s">
        <v>439</v>
      </c>
      <c r="NEU92" t="s">
        <v>428</v>
      </c>
      <c r="NEW92" t="s">
        <v>104</v>
      </c>
      <c r="NEX92" t="s">
        <v>103</v>
      </c>
      <c r="NEY92" t="s">
        <v>398</v>
      </c>
      <c r="NEZ92">
        <v>1</v>
      </c>
      <c r="NFA92" t="s">
        <v>438</v>
      </c>
      <c r="NFB92" t="s">
        <v>439</v>
      </c>
      <c r="NFC92" t="s">
        <v>428</v>
      </c>
      <c r="NFE92" t="s">
        <v>104</v>
      </c>
      <c r="NFF92" t="s">
        <v>103</v>
      </c>
      <c r="NFG92" t="s">
        <v>398</v>
      </c>
      <c r="NFH92">
        <v>1</v>
      </c>
      <c r="NFI92" t="s">
        <v>438</v>
      </c>
      <c r="NFJ92" t="s">
        <v>439</v>
      </c>
      <c r="NFK92" t="s">
        <v>428</v>
      </c>
      <c r="NFM92" t="s">
        <v>104</v>
      </c>
      <c r="NFN92" t="s">
        <v>103</v>
      </c>
      <c r="NFO92" t="s">
        <v>398</v>
      </c>
      <c r="NFP92">
        <v>1</v>
      </c>
      <c r="NFQ92" t="s">
        <v>438</v>
      </c>
      <c r="NFR92" t="s">
        <v>439</v>
      </c>
      <c r="NFS92" t="s">
        <v>428</v>
      </c>
      <c r="NFU92" t="s">
        <v>104</v>
      </c>
      <c r="NFV92" t="s">
        <v>103</v>
      </c>
      <c r="NFW92" t="s">
        <v>398</v>
      </c>
      <c r="NFX92">
        <v>1</v>
      </c>
      <c r="NFY92" t="s">
        <v>438</v>
      </c>
      <c r="NFZ92" t="s">
        <v>439</v>
      </c>
      <c r="NGA92" t="s">
        <v>428</v>
      </c>
      <c r="NGC92" t="s">
        <v>104</v>
      </c>
      <c r="NGD92" t="s">
        <v>103</v>
      </c>
      <c r="NGE92" t="s">
        <v>398</v>
      </c>
      <c r="NGF92">
        <v>1</v>
      </c>
      <c r="NGG92" t="s">
        <v>438</v>
      </c>
      <c r="NGH92" t="s">
        <v>439</v>
      </c>
      <c r="NGI92" t="s">
        <v>428</v>
      </c>
      <c r="NGK92" t="s">
        <v>104</v>
      </c>
      <c r="NGL92" t="s">
        <v>103</v>
      </c>
      <c r="NGM92" t="s">
        <v>398</v>
      </c>
      <c r="NGN92">
        <v>1</v>
      </c>
      <c r="NGO92" t="s">
        <v>438</v>
      </c>
      <c r="NGP92" t="s">
        <v>439</v>
      </c>
      <c r="NGQ92" t="s">
        <v>428</v>
      </c>
      <c r="NGS92" t="s">
        <v>104</v>
      </c>
      <c r="NGT92" t="s">
        <v>103</v>
      </c>
      <c r="NGU92" t="s">
        <v>398</v>
      </c>
      <c r="NGV92">
        <v>1</v>
      </c>
      <c r="NGW92" t="s">
        <v>438</v>
      </c>
      <c r="NGX92" t="s">
        <v>439</v>
      </c>
      <c r="NGY92" t="s">
        <v>428</v>
      </c>
      <c r="NHA92" t="s">
        <v>104</v>
      </c>
      <c r="NHB92" t="s">
        <v>103</v>
      </c>
      <c r="NHC92" t="s">
        <v>398</v>
      </c>
      <c r="NHD92">
        <v>1</v>
      </c>
      <c r="NHE92" t="s">
        <v>438</v>
      </c>
      <c r="NHF92" t="s">
        <v>439</v>
      </c>
      <c r="NHG92" t="s">
        <v>428</v>
      </c>
      <c r="NHI92" t="s">
        <v>104</v>
      </c>
      <c r="NHJ92" t="s">
        <v>103</v>
      </c>
      <c r="NHK92" t="s">
        <v>398</v>
      </c>
      <c r="NHL92">
        <v>1</v>
      </c>
      <c r="NHM92" t="s">
        <v>438</v>
      </c>
      <c r="NHN92" t="s">
        <v>439</v>
      </c>
      <c r="NHO92" t="s">
        <v>428</v>
      </c>
      <c r="NHQ92" t="s">
        <v>104</v>
      </c>
      <c r="NHR92" t="s">
        <v>103</v>
      </c>
      <c r="NHS92" t="s">
        <v>398</v>
      </c>
      <c r="NHT92">
        <v>1</v>
      </c>
      <c r="NHU92" t="s">
        <v>438</v>
      </c>
      <c r="NHV92" t="s">
        <v>439</v>
      </c>
      <c r="NHW92" t="s">
        <v>428</v>
      </c>
      <c r="NHY92" t="s">
        <v>104</v>
      </c>
      <c r="NHZ92" t="s">
        <v>103</v>
      </c>
      <c r="NIA92" t="s">
        <v>398</v>
      </c>
      <c r="NIB92">
        <v>1</v>
      </c>
      <c r="NIC92" t="s">
        <v>438</v>
      </c>
      <c r="NID92" t="s">
        <v>439</v>
      </c>
      <c r="NIE92" t="s">
        <v>428</v>
      </c>
      <c r="NIG92" t="s">
        <v>104</v>
      </c>
      <c r="NIH92" t="s">
        <v>103</v>
      </c>
      <c r="NII92" t="s">
        <v>398</v>
      </c>
      <c r="NIJ92">
        <v>1</v>
      </c>
      <c r="NIK92" t="s">
        <v>438</v>
      </c>
      <c r="NIL92" t="s">
        <v>439</v>
      </c>
      <c r="NIM92" t="s">
        <v>428</v>
      </c>
      <c r="NIO92" t="s">
        <v>104</v>
      </c>
      <c r="NIP92" t="s">
        <v>103</v>
      </c>
      <c r="NIQ92" t="s">
        <v>398</v>
      </c>
      <c r="NIR92">
        <v>1</v>
      </c>
      <c r="NIS92" t="s">
        <v>438</v>
      </c>
      <c r="NIT92" t="s">
        <v>439</v>
      </c>
      <c r="NIU92" t="s">
        <v>428</v>
      </c>
      <c r="NIW92" t="s">
        <v>104</v>
      </c>
      <c r="NIX92" t="s">
        <v>103</v>
      </c>
      <c r="NIY92" t="s">
        <v>398</v>
      </c>
      <c r="NIZ92">
        <v>1</v>
      </c>
      <c r="NJA92" t="s">
        <v>438</v>
      </c>
      <c r="NJB92" t="s">
        <v>439</v>
      </c>
      <c r="NJC92" t="s">
        <v>428</v>
      </c>
      <c r="NJE92" t="s">
        <v>104</v>
      </c>
      <c r="NJF92" t="s">
        <v>103</v>
      </c>
      <c r="NJG92" t="s">
        <v>398</v>
      </c>
      <c r="NJH92">
        <v>1</v>
      </c>
      <c r="NJI92" t="s">
        <v>438</v>
      </c>
      <c r="NJJ92" t="s">
        <v>439</v>
      </c>
      <c r="NJK92" t="s">
        <v>428</v>
      </c>
      <c r="NJM92" t="s">
        <v>104</v>
      </c>
      <c r="NJN92" t="s">
        <v>103</v>
      </c>
      <c r="NJO92" t="s">
        <v>398</v>
      </c>
      <c r="NJP92">
        <v>1</v>
      </c>
      <c r="NJQ92" t="s">
        <v>438</v>
      </c>
      <c r="NJR92" t="s">
        <v>439</v>
      </c>
      <c r="NJS92" t="s">
        <v>428</v>
      </c>
      <c r="NJU92" t="s">
        <v>104</v>
      </c>
      <c r="NJV92" t="s">
        <v>103</v>
      </c>
      <c r="NJW92" t="s">
        <v>398</v>
      </c>
      <c r="NJX92">
        <v>1</v>
      </c>
      <c r="NJY92" t="s">
        <v>438</v>
      </c>
      <c r="NJZ92" t="s">
        <v>439</v>
      </c>
      <c r="NKA92" t="s">
        <v>428</v>
      </c>
      <c r="NKC92" t="s">
        <v>104</v>
      </c>
      <c r="NKD92" t="s">
        <v>103</v>
      </c>
      <c r="NKE92" t="s">
        <v>398</v>
      </c>
      <c r="NKF92">
        <v>1</v>
      </c>
      <c r="NKG92" t="s">
        <v>438</v>
      </c>
      <c r="NKH92" t="s">
        <v>439</v>
      </c>
      <c r="NKI92" t="s">
        <v>428</v>
      </c>
      <c r="NKK92" t="s">
        <v>104</v>
      </c>
      <c r="NKL92" t="s">
        <v>103</v>
      </c>
      <c r="NKM92" t="s">
        <v>398</v>
      </c>
      <c r="NKN92">
        <v>1</v>
      </c>
      <c r="NKO92" t="s">
        <v>438</v>
      </c>
      <c r="NKP92" t="s">
        <v>439</v>
      </c>
      <c r="NKQ92" t="s">
        <v>428</v>
      </c>
      <c r="NKS92" t="s">
        <v>104</v>
      </c>
      <c r="NKT92" t="s">
        <v>103</v>
      </c>
      <c r="NKU92" t="s">
        <v>398</v>
      </c>
      <c r="NKV92">
        <v>1</v>
      </c>
      <c r="NKW92" t="s">
        <v>438</v>
      </c>
      <c r="NKX92" t="s">
        <v>439</v>
      </c>
      <c r="NKY92" t="s">
        <v>428</v>
      </c>
      <c r="NLA92" t="s">
        <v>104</v>
      </c>
      <c r="NLB92" t="s">
        <v>103</v>
      </c>
      <c r="NLC92" t="s">
        <v>398</v>
      </c>
      <c r="NLD92">
        <v>1</v>
      </c>
      <c r="NLE92" t="s">
        <v>438</v>
      </c>
      <c r="NLF92" t="s">
        <v>439</v>
      </c>
      <c r="NLG92" t="s">
        <v>428</v>
      </c>
      <c r="NLI92" t="s">
        <v>104</v>
      </c>
      <c r="NLJ92" t="s">
        <v>103</v>
      </c>
      <c r="NLK92" t="s">
        <v>398</v>
      </c>
      <c r="NLL92">
        <v>1</v>
      </c>
      <c r="NLM92" t="s">
        <v>438</v>
      </c>
      <c r="NLN92" t="s">
        <v>439</v>
      </c>
      <c r="NLO92" t="s">
        <v>428</v>
      </c>
      <c r="NLQ92" t="s">
        <v>104</v>
      </c>
      <c r="NLR92" t="s">
        <v>103</v>
      </c>
      <c r="NLS92" t="s">
        <v>398</v>
      </c>
      <c r="NLT92">
        <v>1</v>
      </c>
      <c r="NLU92" t="s">
        <v>438</v>
      </c>
      <c r="NLV92" t="s">
        <v>439</v>
      </c>
      <c r="NLW92" t="s">
        <v>428</v>
      </c>
      <c r="NLY92" t="s">
        <v>104</v>
      </c>
      <c r="NLZ92" t="s">
        <v>103</v>
      </c>
      <c r="NMA92" t="s">
        <v>398</v>
      </c>
      <c r="NMB92">
        <v>1</v>
      </c>
      <c r="NMC92" t="s">
        <v>438</v>
      </c>
      <c r="NMD92" t="s">
        <v>439</v>
      </c>
      <c r="NME92" t="s">
        <v>428</v>
      </c>
      <c r="NMG92" t="s">
        <v>104</v>
      </c>
      <c r="NMH92" t="s">
        <v>103</v>
      </c>
      <c r="NMI92" t="s">
        <v>398</v>
      </c>
      <c r="NMJ92">
        <v>1</v>
      </c>
      <c r="NMK92" t="s">
        <v>438</v>
      </c>
      <c r="NML92" t="s">
        <v>439</v>
      </c>
      <c r="NMM92" t="s">
        <v>428</v>
      </c>
      <c r="NMO92" t="s">
        <v>104</v>
      </c>
      <c r="NMP92" t="s">
        <v>103</v>
      </c>
      <c r="NMQ92" t="s">
        <v>398</v>
      </c>
      <c r="NMR92">
        <v>1</v>
      </c>
      <c r="NMS92" t="s">
        <v>438</v>
      </c>
      <c r="NMT92" t="s">
        <v>439</v>
      </c>
      <c r="NMU92" t="s">
        <v>428</v>
      </c>
      <c r="NMW92" t="s">
        <v>104</v>
      </c>
      <c r="NMX92" t="s">
        <v>103</v>
      </c>
      <c r="NMY92" t="s">
        <v>398</v>
      </c>
      <c r="NMZ92">
        <v>1</v>
      </c>
      <c r="NNA92" t="s">
        <v>438</v>
      </c>
      <c r="NNB92" t="s">
        <v>439</v>
      </c>
      <c r="NNC92" t="s">
        <v>428</v>
      </c>
      <c r="NNE92" t="s">
        <v>104</v>
      </c>
      <c r="NNF92" t="s">
        <v>103</v>
      </c>
      <c r="NNG92" t="s">
        <v>398</v>
      </c>
      <c r="NNH92">
        <v>1</v>
      </c>
      <c r="NNI92" t="s">
        <v>438</v>
      </c>
      <c r="NNJ92" t="s">
        <v>439</v>
      </c>
      <c r="NNK92" t="s">
        <v>428</v>
      </c>
      <c r="NNM92" t="s">
        <v>104</v>
      </c>
      <c r="NNN92" t="s">
        <v>103</v>
      </c>
      <c r="NNO92" t="s">
        <v>398</v>
      </c>
      <c r="NNP92">
        <v>1</v>
      </c>
      <c r="NNQ92" t="s">
        <v>438</v>
      </c>
      <c r="NNR92" t="s">
        <v>439</v>
      </c>
      <c r="NNS92" t="s">
        <v>428</v>
      </c>
      <c r="NNU92" t="s">
        <v>104</v>
      </c>
      <c r="NNV92" t="s">
        <v>103</v>
      </c>
      <c r="NNW92" t="s">
        <v>398</v>
      </c>
      <c r="NNX92">
        <v>1</v>
      </c>
      <c r="NNY92" t="s">
        <v>438</v>
      </c>
      <c r="NNZ92" t="s">
        <v>439</v>
      </c>
      <c r="NOA92" t="s">
        <v>428</v>
      </c>
      <c r="NOC92" t="s">
        <v>104</v>
      </c>
      <c r="NOD92" t="s">
        <v>103</v>
      </c>
      <c r="NOE92" t="s">
        <v>398</v>
      </c>
      <c r="NOF92">
        <v>1</v>
      </c>
      <c r="NOG92" t="s">
        <v>438</v>
      </c>
      <c r="NOH92" t="s">
        <v>439</v>
      </c>
      <c r="NOI92" t="s">
        <v>428</v>
      </c>
      <c r="NOK92" t="s">
        <v>104</v>
      </c>
      <c r="NOL92" t="s">
        <v>103</v>
      </c>
      <c r="NOM92" t="s">
        <v>398</v>
      </c>
      <c r="NON92">
        <v>1</v>
      </c>
      <c r="NOO92" t="s">
        <v>438</v>
      </c>
      <c r="NOP92" t="s">
        <v>439</v>
      </c>
      <c r="NOQ92" t="s">
        <v>428</v>
      </c>
      <c r="NOS92" t="s">
        <v>104</v>
      </c>
      <c r="NOT92" t="s">
        <v>103</v>
      </c>
      <c r="NOU92" t="s">
        <v>398</v>
      </c>
      <c r="NOV92">
        <v>1</v>
      </c>
      <c r="NOW92" t="s">
        <v>438</v>
      </c>
      <c r="NOX92" t="s">
        <v>439</v>
      </c>
      <c r="NOY92" t="s">
        <v>428</v>
      </c>
      <c r="NPA92" t="s">
        <v>104</v>
      </c>
      <c r="NPB92" t="s">
        <v>103</v>
      </c>
      <c r="NPC92" t="s">
        <v>398</v>
      </c>
      <c r="NPD92">
        <v>1</v>
      </c>
      <c r="NPE92" t="s">
        <v>438</v>
      </c>
      <c r="NPF92" t="s">
        <v>439</v>
      </c>
      <c r="NPG92" t="s">
        <v>428</v>
      </c>
      <c r="NPI92" t="s">
        <v>104</v>
      </c>
      <c r="NPJ92" t="s">
        <v>103</v>
      </c>
      <c r="NPK92" t="s">
        <v>398</v>
      </c>
      <c r="NPL92">
        <v>1</v>
      </c>
      <c r="NPM92" t="s">
        <v>438</v>
      </c>
      <c r="NPN92" t="s">
        <v>439</v>
      </c>
      <c r="NPO92" t="s">
        <v>428</v>
      </c>
      <c r="NPQ92" t="s">
        <v>104</v>
      </c>
      <c r="NPR92" t="s">
        <v>103</v>
      </c>
      <c r="NPS92" t="s">
        <v>398</v>
      </c>
      <c r="NPT92">
        <v>1</v>
      </c>
      <c r="NPU92" t="s">
        <v>438</v>
      </c>
      <c r="NPV92" t="s">
        <v>439</v>
      </c>
      <c r="NPW92" t="s">
        <v>428</v>
      </c>
      <c r="NPY92" t="s">
        <v>104</v>
      </c>
      <c r="NPZ92" t="s">
        <v>103</v>
      </c>
      <c r="NQA92" t="s">
        <v>398</v>
      </c>
      <c r="NQB92">
        <v>1</v>
      </c>
      <c r="NQC92" t="s">
        <v>438</v>
      </c>
      <c r="NQD92" t="s">
        <v>439</v>
      </c>
      <c r="NQE92" t="s">
        <v>428</v>
      </c>
      <c r="NQG92" t="s">
        <v>104</v>
      </c>
      <c r="NQH92" t="s">
        <v>103</v>
      </c>
      <c r="NQI92" t="s">
        <v>398</v>
      </c>
      <c r="NQJ92">
        <v>1</v>
      </c>
      <c r="NQK92" t="s">
        <v>438</v>
      </c>
      <c r="NQL92" t="s">
        <v>439</v>
      </c>
      <c r="NQM92" t="s">
        <v>428</v>
      </c>
      <c r="NQO92" t="s">
        <v>104</v>
      </c>
      <c r="NQP92" t="s">
        <v>103</v>
      </c>
      <c r="NQQ92" t="s">
        <v>398</v>
      </c>
      <c r="NQR92">
        <v>1</v>
      </c>
      <c r="NQS92" t="s">
        <v>438</v>
      </c>
      <c r="NQT92" t="s">
        <v>439</v>
      </c>
      <c r="NQU92" t="s">
        <v>428</v>
      </c>
      <c r="NQW92" t="s">
        <v>104</v>
      </c>
      <c r="NQX92" t="s">
        <v>103</v>
      </c>
      <c r="NQY92" t="s">
        <v>398</v>
      </c>
      <c r="NQZ92">
        <v>1</v>
      </c>
      <c r="NRA92" t="s">
        <v>438</v>
      </c>
      <c r="NRB92" t="s">
        <v>439</v>
      </c>
      <c r="NRC92" t="s">
        <v>428</v>
      </c>
      <c r="NRE92" t="s">
        <v>104</v>
      </c>
      <c r="NRF92" t="s">
        <v>103</v>
      </c>
      <c r="NRG92" t="s">
        <v>398</v>
      </c>
      <c r="NRH92">
        <v>1</v>
      </c>
      <c r="NRI92" t="s">
        <v>438</v>
      </c>
      <c r="NRJ92" t="s">
        <v>439</v>
      </c>
      <c r="NRK92" t="s">
        <v>428</v>
      </c>
      <c r="NRM92" t="s">
        <v>104</v>
      </c>
      <c r="NRN92" t="s">
        <v>103</v>
      </c>
      <c r="NRO92" t="s">
        <v>398</v>
      </c>
      <c r="NRP92">
        <v>1</v>
      </c>
      <c r="NRQ92" t="s">
        <v>438</v>
      </c>
      <c r="NRR92" t="s">
        <v>439</v>
      </c>
      <c r="NRS92" t="s">
        <v>428</v>
      </c>
      <c r="NRU92" t="s">
        <v>104</v>
      </c>
      <c r="NRV92" t="s">
        <v>103</v>
      </c>
      <c r="NRW92" t="s">
        <v>398</v>
      </c>
      <c r="NRX92">
        <v>1</v>
      </c>
      <c r="NRY92" t="s">
        <v>438</v>
      </c>
      <c r="NRZ92" t="s">
        <v>439</v>
      </c>
      <c r="NSA92" t="s">
        <v>428</v>
      </c>
      <c r="NSC92" t="s">
        <v>104</v>
      </c>
      <c r="NSD92" t="s">
        <v>103</v>
      </c>
      <c r="NSE92" t="s">
        <v>398</v>
      </c>
      <c r="NSF92">
        <v>1</v>
      </c>
      <c r="NSG92" t="s">
        <v>438</v>
      </c>
      <c r="NSH92" t="s">
        <v>439</v>
      </c>
      <c r="NSI92" t="s">
        <v>428</v>
      </c>
      <c r="NSK92" t="s">
        <v>104</v>
      </c>
      <c r="NSL92" t="s">
        <v>103</v>
      </c>
      <c r="NSM92" t="s">
        <v>398</v>
      </c>
      <c r="NSN92">
        <v>1</v>
      </c>
      <c r="NSO92" t="s">
        <v>438</v>
      </c>
      <c r="NSP92" t="s">
        <v>439</v>
      </c>
      <c r="NSQ92" t="s">
        <v>428</v>
      </c>
      <c r="NSS92" t="s">
        <v>104</v>
      </c>
      <c r="NST92" t="s">
        <v>103</v>
      </c>
      <c r="NSU92" t="s">
        <v>398</v>
      </c>
      <c r="NSV92">
        <v>1</v>
      </c>
      <c r="NSW92" t="s">
        <v>438</v>
      </c>
      <c r="NSX92" t="s">
        <v>439</v>
      </c>
      <c r="NSY92" t="s">
        <v>428</v>
      </c>
      <c r="NTA92" t="s">
        <v>104</v>
      </c>
      <c r="NTB92" t="s">
        <v>103</v>
      </c>
      <c r="NTC92" t="s">
        <v>398</v>
      </c>
      <c r="NTD92">
        <v>1</v>
      </c>
      <c r="NTE92" t="s">
        <v>438</v>
      </c>
      <c r="NTF92" t="s">
        <v>439</v>
      </c>
      <c r="NTG92" t="s">
        <v>428</v>
      </c>
      <c r="NTI92" t="s">
        <v>104</v>
      </c>
      <c r="NTJ92" t="s">
        <v>103</v>
      </c>
      <c r="NTK92" t="s">
        <v>398</v>
      </c>
      <c r="NTL92">
        <v>1</v>
      </c>
      <c r="NTM92" t="s">
        <v>438</v>
      </c>
      <c r="NTN92" t="s">
        <v>439</v>
      </c>
      <c r="NTO92" t="s">
        <v>428</v>
      </c>
      <c r="NTQ92" t="s">
        <v>104</v>
      </c>
      <c r="NTR92" t="s">
        <v>103</v>
      </c>
      <c r="NTS92" t="s">
        <v>398</v>
      </c>
      <c r="NTT92">
        <v>1</v>
      </c>
      <c r="NTU92" t="s">
        <v>438</v>
      </c>
      <c r="NTV92" t="s">
        <v>439</v>
      </c>
      <c r="NTW92" t="s">
        <v>428</v>
      </c>
      <c r="NTY92" t="s">
        <v>104</v>
      </c>
      <c r="NTZ92" t="s">
        <v>103</v>
      </c>
      <c r="NUA92" t="s">
        <v>398</v>
      </c>
      <c r="NUB92">
        <v>1</v>
      </c>
      <c r="NUC92" t="s">
        <v>438</v>
      </c>
      <c r="NUD92" t="s">
        <v>439</v>
      </c>
      <c r="NUE92" t="s">
        <v>428</v>
      </c>
      <c r="NUG92" t="s">
        <v>104</v>
      </c>
      <c r="NUH92" t="s">
        <v>103</v>
      </c>
      <c r="NUI92" t="s">
        <v>398</v>
      </c>
      <c r="NUJ92">
        <v>1</v>
      </c>
      <c r="NUK92" t="s">
        <v>438</v>
      </c>
      <c r="NUL92" t="s">
        <v>439</v>
      </c>
      <c r="NUM92" t="s">
        <v>428</v>
      </c>
      <c r="NUO92" t="s">
        <v>104</v>
      </c>
      <c r="NUP92" t="s">
        <v>103</v>
      </c>
      <c r="NUQ92" t="s">
        <v>398</v>
      </c>
      <c r="NUR92">
        <v>1</v>
      </c>
      <c r="NUS92" t="s">
        <v>438</v>
      </c>
      <c r="NUT92" t="s">
        <v>439</v>
      </c>
      <c r="NUU92" t="s">
        <v>428</v>
      </c>
      <c r="NUW92" t="s">
        <v>104</v>
      </c>
      <c r="NUX92" t="s">
        <v>103</v>
      </c>
      <c r="NUY92" t="s">
        <v>398</v>
      </c>
      <c r="NUZ92">
        <v>1</v>
      </c>
      <c r="NVA92" t="s">
        <v>438</v>
      </c>
      <c r="NVB92" t="s">
        <v>439</v>
      </c>
      <c r="NVC92" t="s">
        <v>428</v>
      </c>
      <c r="NVE92" t="s">
        <v>104</v>
      </c>
      <c r="NVF92" t="s">
        <v>103</v>
      </c>
      <c r="NVG92" t="s">
        <v>398</v>
      </c>
      <c r="NVH92">
        <v>1</v>
      </c>
      <c r="NVI92" t="s">
        <v>438</v>
      </c>
      <c r="NVJ92" t="s">
        <v>439</v>
      </c>
      <c r="NVK92" t="s">
        <v>428</v>
      </c>
      <c r="NVM92" t="s">
        <v>104</v>
      </c>
      <c r="NVN92" t="s">
        <v>103</v>
      </c>
      <c r="NVO92" t="s">
        <v>398</v>
      </c>
      <c r="NVP92">
        <v>1</v>
      </c>
      <c r="NVQ92" t="s">
        <v>438</v>
      </c>
      <c r="NVR92" t="s">
        <v>439</v>
      </c>
      <c r="NVS92" t="s">
        <v>428</v>
      </c>
      <c r="NVU92" t="s">
        <v>104</v>
      </c>
      <c r="NVV92" t="s">
        <v>103</v>
      </c>
      <c r="NVW92" t="s">
        <v>398</v>
      </c>
      <c r="NVX92">
        <v>1</v>
      </c>
      <c r="NVY92" t="s">
        <v>438</v>
      </c>
      <c r="NVZ92" t="s">
        <v>439</v>
      </c>
      <c r="NWA92" t="s">
        <v>428</v>
      </c>
      <c r="NWC92" t="s">
        <v>104</v>
      </c>
      <c r="NWD92" t="s">
        <v>103</v>
      </c>
      <c r="NWE92" t="s">
        <v>398</v>
      </c>
      <c r="NWF92">
        <v>1</v>
      </c>
      <c r="NWG92" t="s">
        <v>438</v>
      </c>
      <c r="NWH92" t="s">
        <v>439</v>
      </c>
      <c r="NWI92" t="s">
        <v>428</v>
      </c>
      <c r="NWK92" t="s">
        <v>104</v>
      </c>
      <c r="NWL92" t="s">
        <v>103</v>
      </c>
      <c r="NWM92" t="s">
        <v>398</v>
      </c>
      <c r="NWN92">
        <v>1</v>
      </c>
      <c r="NWO92" t="s">
        <v>438</v>
      </c>
      <c r="NWP92" t="s">
        <v>439</v>
      </c>
      <c r="NWQ92" t="s">
        <v>428</v>
      </c>
      <c r="NWS92" t="s">
        <v>104</v>
      </c>
      <c r="NWT92" t="s">
        <v>103</v>
      </c>
      <c r="NWU92" t="s">
        <v>398</v>
      </c>
      <c r="NWV92">
        <v>1</v>
      </c>
      <c r="NWW92" t="s">
        <v>438</v>
      </c>
      <c r="NWX92" t="s">
        <v>439</v>
      </c>
      <c r="NWY92" t="s">
        <v>428</v>
      </c>
      <c r="NXA92" t="s">
        <v>104</v>
      </c>
      <c r="NXB92" t="s">
        <v>103</v>
      </c>
      <c r="NXC92" t="s">
        <v>398</v>
      </c>
      <c r="NXD92">
        <v>1</v>
      </c>
      <c r="NXE92" t="s">
        <v>438</v>
      </c>
      <c r="NXF92" t="s">
        <v>439</v>
      </c>
      <c r="NXG92" t="s">
        <v>428</v>
      </c>
      <c r="NXI92" t="s">
        <v>104</v>
      </c>
      <c r="NXJ92" t="s">
        <v>103</v>
      </c>
      <c r="NXK92" t="s">
        <v>398</v>
      </c>
      <c r="NXL92">
        <v>1</v>
      </c>
      <c r="NXM92" t="s">
        <v>438</v>
      </c>
      <c r="NXN92" t="s">
        <v>439</v>
      </c>
      <c r="NXO92" t="s">
        <v>428</v>
      </c>
      <c r="NXQ92" t="s">
        <v>104</v>
      </c>
      <c r="NXR92" t="s">
        <v>103</v>
      </c>
      <c r="NXS92" t="s">
        <v>398</v>
      </c>
      <c r="NXT92">
        <v>1</v>
      </c>
      <c r="NXU92" t="s">
        <v>438</v>
      </c>
      <c r="NXV92" t="s">
        <v>439</v>
      </c>
      <c r="NXW92" t="s">
        <v>428</v>
      </c>
      <c r="NXY92" t="s">
        <v>104</v>
      </c>
      <c r="NXZ92" t="s">
        <v>103</v>
      </c>
      <c r="NYA92" t="s">
        <v>398</v>
      </c>
      <c r="NYB92">
        <v>1</v>
      </c>
      <c r="NYC92" t="s">
        <v>438</v>
      </c>
      <c r="NYD92" t="s">
        <v>439</v>
      </c>
      <c r="NYE92" t="s">
        <v>428</v>
      </c>
      <c r="NYG92" t="s">
        <v>104</v>
      </c>
      <c r="NYH92" t="s">
        <v>103</v>
      </c>
      <c r="NYI92" t="s">
        <v>398</v>
      </c>
      <c r="NYJ92">
        <v>1</v>
      </c>
      <c r="NYK92" t="s">
        <v>438</v>
      </c>
      <c r="NYL92" t="s">
        <v>439</v>
      </c>
      <c r="NYM92" t="s">
        <v>428</v>
      </c>
      <c r="NYO92" t="s">
        <v>104</v>
      </c>
      <c r="NYP92" t="s">
        <v>103</v>
      </c>
      <c r="NYQ92" t="s">
        <v>398</v>
      </c>
      <c r="NYR92">
        <v>1</v>
      </c>
      <c r="NYS92" t="s">
        <v>438</v>
      </c>
      <c r="NYT92" t="s">
        <v>439</v>
      </c>
      <c r="NYU92" t="s">
        <v>428</v>
      </c>
      <c r="NYW92" t="s">
        <v>104</v>
      </c>
      <c r="NYX92" t="s">
        <v>103</v>
      </c>
      <c r="NYY92" t="s">
        <v>398</v>
      </c>
      <c r="NYZ92">
        <v>1</v>
      </c>
      <c r="NZA92" t="s">
        <v>438</v>
      </c>
      <c r="NZB92" t="s">
        <v>439</v>
      </c>
      <c r="NZC92" t="s">
        <v>428</v>
      </c>
      <c r="NZE92" t="s">
        <v>104</v>
      </c>
      <c r="NZF92" t="s">
        <v>103</v>
      </c>
      <c r="NZG92" t="s">
        <v>398</v>
      </c>
      <c r="NZH92">
        <v>1</v>
      </c>
      <c r="NZI92" t="s">
        <v>438</v>
      </c>
      <c r="NZJ92" t="s">
        <v>439</v>
      </c>
      <c r="NZK92" t="s">
        <v>428</v>
      </c>
      <c r="NZM92" t="s">
        <v>104</v>
      </c>
      <c r="NZN92" t="s">
        <v>103</v>
      </c>
      <c r="NZO92" t="s">
        <v>398</v>
      </c>
      <c r="NZP92">
        <v>1</v>
      </c>
      <c r="NZQ92" t="s">
        <v>438</v>
      </c>
      <c r="NZR92" t="s">
        <v>439</v>
      </c>
      <c r="NZS92" t="s">
        <v>428</v>
      </c>
      <c r="NZU92" t="s">
        <v>104</v>
      </c>
      <c r="NZV92" t="s">
        <v>103</v>
      </c>
      <c r="NZW92" t="s">
        <v>398</v>
      </c>
      <c r="NZX92">
        <v>1</v>
      </c>
      <c r="NZY92" t="s">
        <v>438</v>
      </c>
      <c r="NZZ92" t="s">
        <v>439</v>
      </c>
      <c r="OAA92" t="s">
        <v>428</v>
      </c>
      <c r="OAC92" t="s">
        <v>104</v>
      </c>
      <c r="OAD92" t="s">
        <v>103</v>
      </c>
      <c r="OAE92" t="s">
        <v>398</v>
      </c>
      <c r="OAF92">
        <v>1</v>
      </c>
      <c r="OAG92" t="s">
        <v>438</v>
      </c>
      <c r="OAH92" t="s">
        <v>439</v>
      </c>
      <c r="OAI92" t="s">
        <v>428</v>
      </c>
      <c r="OAK92" t="s">
        <v>104</v>
      </c>
      <c r="OAL92" t="s">
        <v>103</v>
      </c>
      <c r="OAM92" t="s">
        <v>398</v>
      </c>
      <c r="OAN92">
        <v>1</v>
      </c>
      <c r="OAO92" t="s">
        <v>438</v>
      </c>
      <c r="OAP92" t="s">
        <v>439</v>
      </c>
      <c r="OAQ92" t="s">
        <v>428</v>
      </c>
      <c r="OAS92" t="s">
        <v>104</v>
      </c>
      <c r="OAT92" t="s">
        <v>103</v>
      </c>
      <c r="OAU92" t="s">
        <v>398</v>
      </c>
      <c r="OAV92">
        <v>1</v>
      </c>
      <c r="OAW92" t="s">
        <v>438</v>
      </c>
      <c r="OAX92" t="s">
        <v>439</v>
      </c>
      <c r="OAY92" t="s">
        <v>428</v>
      </c>
      <c r="OBA92" t="s">
        <v>104</v>
      </c>
      <c r="OBB92" t="s">
        <v>103</v>
      </c>
      <c r="OBC92" t="s">
        <v>398</v>
      </c>
      <c r="OBD92">
        <v>1</v>
      </c>
      <c r="OBE92" t="s">
        <v>438</v>
      </c>
      <c r="OBF92" t="s">
        <v>439</v>
      </c>
      <c r="OBG92" t="s">
        <v>428</v>
      </c>
      <c r="OBI92" t="s">
        <v>104</v>
      </c>
      <c r="OBJ92" t="s">
        <v>103</v>
      </c>
      <c r="OBK92" t="s">
        <v>398</v>
      </c>
      <c r="OBL92">
        <v>1</v>
      </c>
      <c r="OBM92" t="s">
        <v>438</v>
      </c>
      <c r="OBN92" t="s">
        <v>439</v>
      </c>
      <c r="OBO92" t="s">
        <v>428</v>
      </c>
      <c r="OBQ92" t="s">
        <v>104</v>
      </c>
      <c r="OBR92" t="s">
        <v>103</v>
      </c>
      <c r="OBS92" t="s">
        <v>398</v>
      </c>
      <c r="OBT92">
        <v>1</v>
      </c>
      <c r="OBU92" t="s">
        <v>438</v>
      </c>
      <c r="OBV92" t="s">
        <v>439</v>
      </c>
      <c r="OBW92" t="s">
        <v>428</v>
      </c>
      <c r="OBY92" t="s">
        <v>104</v>
      </c>
      <c r="OBZ92" t="s">
        <v>103</v>
      </c>
      <c r="OCA92" t="s">
        <v>398</v>
      </c>
      <c r="OCB92">
        <v>1</v>
      </c>
      <c r="OCC92" t="s">
        <v>438</v>
      </c>
      <c r="OCD92" t="s">
        <v>439</v>
      </c>
      <c r="OCE92" t="s">
        <v>428</v>
      </c>
      <c r="OCG92" t="s">
        <v>104</v>
      </c>
      <c r="OCH92" t="s">
        <v>103</v>
      </c>
      <c r="OCI92" t="s">
        <v>398</v>
      </c>
      <c r="OCJ92">
        <v>1</v>
      </c>
      <c r="OCK92" t="s">
        <v>438</v>
      </c>
      <c r="OCL92" t="s">
        <v>439</v>
      </c>
      <c r="OCM92" t="s">
        <v>428</v>
      </c>
      <c r="OCO92" t="s">
        <v>104</v>
      </c>
      <c r="OCP92" t="s">
        <v>103</v>
      </c>
      <c r="OCQ92" t="s">
        <v>398</v>
      </c>
      <c r="OCR92">
        <v>1</v>
      </c>
      <c r="OCS92" t="s">
        <v>438</v>
      </c>
      <c r="OCT92" t="s">
        <v>439</v>
      </c>
      <c r="OCU92" t="s">
        <v>428</v>
      </c>
      <c r="OCW92" t="s">
        <v>104</v>
      </c>
      <c r="OCX92" t="s">
        <v>103</v>
      </c>
      <c r="OCY92" t="s">
        <v>398</v>
      </c>
      <c r="OCZ92">
        <v>1</v>
      </c>
      <c r="ODA92" t="s">
        <v>438</v>
      </c>
      <c r="ODB92" t="s">
        <v>439</v>
      </c>
      <c r="ODC92" t="s">
        <v>428</v>
      </c>
      <c r="ODE92" t="s">
        <v>104</v>
      </c>
      <c r="ODF92" t="s">
        <v>103</v>
      </c>
      <c r="ODG92" t="s">
        <v>398</v>
      </c>
      <c r="ODH92">
        <v>1</v>
      </c>
      <c r="ODI92" t="s">
        <v>438</v>
      </c>
      <c r="ODJ92" t="s">
        <v>439</v>
      </c>
      <c r="ODK92" t="s">
        <v>428</v>
      </c>
      <c r="ODM92" t="s">
        <v>104</v>
      </c>
      <c r="ODN92" t="s">
        <v>103</v>
      </c>
      <c r="ODO92" t="s">
        <v>398</v>
      </c>
      <c r="ODP92">
        <v>1</v>
      </c>
      <c r="ODQ92" t="s">
        <v>438</v>
      </c>
      <c r="ODR92" t="s">
        <v>439</v>
      </c>
      <c r="ODS92" t="s">
        <v>428</v>
      </c>
      <c r="ODU92" t="s">
        <v>104</v>
      </c>
      <c r="ODV92" t="s">
        <v>103</v>
      </c>
      <c r="ODW92" t="s">
        <v>398</v>
      </c>
      <c r="ODX92">
        <v>1</v>
      </c>
      <c r="ODY92" t="s">
        <v>438</v>
      </c>
      <c r="ODZ92" t="s">
        <v>439</v>
      </c>
      <c r="OEA92" t="s">
        <v>428</v>
      </c>
      <c r="OEC92" t="s">
        <v>104</v>
      </c>
      <c r="OED92" t="s">
        <v>103</v>
      </c>
      <c r="OEE92" t="s">
        <v>398</v>
      </c>
      <c r="OEF92">
        <v>1</v>
      </c>
      <c r="OEG92" t="s">
        <v>438</v>
      </c>
      <c r="OEH92" t="s">
        <v>439</v>
      </c>
      <c r="OEI92" t="s">
        <v>428</v>
      </c>
      <c r="OEK92" t="s">
        <v>104</v>
      </c>
      <c r="OEL92" t="s">
        <v>103</v>
      </c>
      <c r="OEM92" t="s">
        <v>398</v>
      </c>
      <c r="OEN92">
        <v>1</v>
      </c>
      <c r="OEO92" t="s">
        <v>438</v>
      </c>
      <c r="OEP92" t="s">
        <v>439</v>
      </c>
      <c r="OEQ92" t="s">
        <v>428</v>
      </c>
      <c r="OES92" t="s">
        <v>104</v>
      </c>
      <c r="OET92" t="s">
        <v>103</v>
      </c>
      <c r="OEU92" t="s">
        <v>398</v>
      </c>
      <c r="OEV92">
        <v>1</v>
      </c>
      <c r="OEW92" t="s">
        <v>438</v>
      </c>
      <c r="OEX92" t="s">
        <v>439</v>
      </c>
      <c r="OEY92" t="s">
        <v>428</v>
      </c>
      <c r="OFA92" t="s">
        <v>104</v>
      </c>
      <c r="OFB92" t="s">
        <v>103</v>
      </c>
      <c r="OFC92" t="s">
        <v>398</v>
      </c>
      <c r="OFD92">
        <v>1</v>
      </c>
      <c r="OFE92" t="s">
        <v>438</v>
      </c>
      <c r="OFF92" t="s">
        <v>439</v>
      </c>
      <c r="OFG92" t="s">
        <v>428</v>
      </c>
      <c r="OFI92" t="s">
        <v>104</v>
      </c>
      <c r="OFJ92" t="s">
        <v>103</v>
      </c>
      <c r="OFK92" t="s">
        <v>398</v>
      </c>
      <c r="OFL92">
        <v>1</v>
      </c>
      <c r="OFM92" t="s">
        <v>438</v>
      </c>
      <c r="OFN92" t="s">
        <v>439</v>
      </c>
      <c r="OFO92" t="s">
        <v>428</v>
      </c>
      <c r="OFQ92" t="s">
        <v>104</v>
      </c>
      <c r="OFR92" t="s">
        <v>103</v>
      </c>
      <c r="OFS92" t="s">
        <v>398</v>
      </c>
      <c r="OFT92">
        <v>1</v>
      </c>
      <c r="OFU92" t="s">
        <v>438</v>
      </c>
      <c r="OFV92" t="s">
        <v>439</v>
      </c>
      <c r="OFW92" t="s">
        <v>428</v>
      </c>
      <c r="OFY92" t="s">
        <v>104</v>
      </c>
      <c r="OFZ92" t="s">
        <v>103</v>
      </c>
      <c r="OGA92" t="s">
        <v>398</v>
      </c>
      <c r="OGB92">
        <v>1</v>
      </c>
      <c r="OGC92" t="s">
        <v>438</v>
      </c>
      <c r="OGD92" t="s">
        <v>439</v>
      </c>
      <c r="OGE92" t="s">
        <v>428</v>
      </c>
      <c r="OGG92" t="s">
        <v>104</v>
      </c>
      <c r="OGH92" t="s">
        <v>103</v>
      </c>
      <c r="OGI92" t="s">
        <v>398</v>
      </c>
      <c r="OGJ92">
        <v>1</v>
      </c>
      <c r="OGK92" t="s">
        <v>438</v>
      </c>
      <c r="OGL92" t="s">
        <v>439</v>
      </c>
      <c r="OGM92" t="s">
        <v>428</v>
      </c>
      <c r="OGO92" t="s">
        <v>104</v>
      </c>
      <c r="OGP92" t="s">
        <v>103</v>
      </c>
      <c r="OGQ92" t="s">
        <v>398</v>
      </c>
      <c r="OGR92">
        <v>1</v>
      </c>
      <c r="OGS92" t="s">
        <v>438</v>
      </c>
      <c r="OGT92" t="s">
        <v>439</v>
      </c>
      <c r="OGU92" t="s">
        <v>428</v>
      </c>
      <c r="OGW92" t="s">
        <v>104</v>
      </c>
      <c r="OGX92" t="s">
        <v>103</v>
      </c>
      <c r="OGY92" t="s">
        <v>398</v>
      </c>
      <c r="OGZ92">
        <v>1</v>
      </c>
      <c r="OHA92" t="s">
        <v>438</v>
      </c>
      <c r="OHB92" t="s">
        <v>439</v>
      </c>
      <c r="OHC92" t="s">
        <v>428</v>
      </c>
      <c r="OHE92" t="s">
        <v>104</v>
      </c>
      <c r="OHF92" t="s">
        <v>103</v>
      </c>
      <c r="OHG92" t="s">
        <v>398</v>
      </c>
      <c r="OHH92">
        <v>1</v>
      </c>
      <c r="OHI92" t="s">
        <v>438</v>
      </c>
      <c r="OHJ92" t="s">
        <v>439</v>
      </c>
      <c r="OHK92" t="s">
        <v>428</v>
      </c>
      <c r="OHM92" t="s">
        <v>104</v>
      </c>
      <c r="OHN92" t="s">
        <v>103</v>
      </c>
      <c r="OHO92" t="s">
        <v>398</v>
      </c>
      <c r="OHP92">
        <v>1</v>
      </c>
      <c r="OHQ92" t="s">
        <v>438</v>
      </c>
      <c r="OHR92" t="s">
        <v>439</v>
      </c>
      <c r="OHS92" t="s">
        <v>428</v>
      </c>
      <c r="OHU92" t="s">
        <v>104</v>
      </c>
      <c r="OHV92" t="s">
        <v>103</v>
      </c>
      <c r="OHW92" t="s">
        <v>398</v>
      </c>
      <c r="OHX92">
        <v>1</v>
      </c>
      <c r="OHY92" t="s">
        <v>438</v>
      </c>
      <c r="OHZ92" t="s">
        <v>439</v>
      </c>
      <c r="OIA92" t="s">
        <v>428</v>
      </c>
      <c r="OIC92" t="s">
        <v>104</v>
      </c>
      <c r="OID92" t="s">
        <v>103</v>
      </c>
      <c r="OIE92" t="s">
        <v>398</v>
      </c>
      <c r="OIF92">
        <v>1</v>
      </c>
      <c r="OIG92" t="s">
        <v>438</v>
      </c>
      <c r="OIH92" t="s">
        <v>439</v>
      </c>
      <c r="OII92" t="s">
        <v>428</v>
      </c>
      <c r="OIK92" t="s">
        <v>104</v>
      </c>
      <c r="OIL92" t="s">
        <v>103</v>
      </c>
      <c r="OIM92" t="s">
        <v>398</v>
      </c>
      <c r="OIN92">
        <v>1</v>
      </c>
      <c r="OIO92" t="s">
        <v>438</v>
      </c>
      <c r="OIP92" t="s">
        <v>439</v>
      </c>
      <c r="OIQ92" t="s">
        <v>428</v>
      </c>
      <c r="OIS92" t="s">
        <v>104</v>
      </c>
      <c r="OIT92" t="s">
        <v>103</v>
      </c>
      <c r="OIU92" t="s">
        <v>398</v>
      </c>
      <c r="OIV92">
        <v>1</v>
      </c>
      <c r="OIW92" t="s">
        <v>438</v>
      </c>
      <c r="OIX92" t="s">
        <v>439</v>
      </c>
      <c r="OIY92" t="s">
        <v>428</v>
      </c>
      <c r="OJA92" t="s">
        <v>104</v>
      </c>
      <c r="OJB92" t="s">
        <v>103</v>
      </c>
      <c r="OJC92" t="s">
        <v>398</v>
      </c>
      <c r="OJD92">
        <v>1</v>
      </c>
      <c r="OJE92" t="s">
        <v>438</v>
      </c>
      <c r="OJF92" t="s">
        <v>439</v>
      </c>
      <c r="OJG92" t="s">
        <v>428</v>
      </c>
      <c r="OJI92" t="s">
        <v>104</v>
      </c>
      <c r="OJJ92" t="s">
        <v>103</v>
      </c>
      <c r="OJK92" t="s">
        <v>398</v>
      </c>
      <c r="OJL92">
        <v>1</v>
      </c>
      <c r="OJM92" t="s">
        <v>438</v>
      </c>
      <c r="OJN92" t="s">
        <v>439</v>
      </c>
      <c r="OJO92" t="s">
        <v>428</v>
      </c>
      <c r="OJQ92" t="s">
        <v>104</v>
      </c>
      <c r="OJR92" t="s">
        <v>103</v>
      </c>
      <c r="OJS92" t="s">
        <v>398</v>
      </c>
      <c r="OJT92">
        <v>1</v>
      </c>
      <c r="OJU92" t="s">
        <v>438</v>
      </c>
      <c r="OJV92" t="s">
        <v>439</v>
      </c>
      <c r="OJW92" t="s">
        <v>428</v>
      </c>
      <c r="OJY92" t="s">
        <v>104</v>
      </c>
      <c r="OJZ92" t="s">
        <v>103</v>
      </c>
      <c r="OKA92" t="s">
        <v>398</v>
      </c>
      <c r="OKB92">
        <v>1</v>
      </c>
      <c r="OKC92" t="s">
        <v>438</v>
      </c>
      <c r="OKD92" t="s">
        <v>439</v>
      </c>
      <c r="OKE92" t="s">
        <v>428</v>
      </c>
      <c r="OKG92" t="s">
        <v>104</v>
      </c>
      <c r="OKH92" t="s">
        <v>103</v>
      </c>
      <c r="OKI92" t="s">
        <v>398</v>
      </c>
      <c r="OKJ92">
        <v>1</v>
      </c>
      <c r="OKK92" t="s">
        <v>438</v>
      </c>
      <c r="OKL92" t="s">
        <v>439</v>
      </c>
      <c r="OKM92" t="s">
        <v>428</v>
      </c>
      <c r="OKO92" t="s">
        <v>104</v>
      </c>
      <c r="OKP92" t="s">
        <v>103</v>
      </c>
      <c r="OKQ92" t="s">
        <v>398</v>
      </c>
      <c r="OKR92">
        <v>1</v>
      </c>
      <c r="OKS92" t="s">
        <v>438</v>
      </c>
      <c r="OKT92" t="s">
        <v>439</v>
      </c>
      <c r="OKU92" t="s">
        <v>428</v>
      </c>
      <c r="OKW92" t="s">
        <v>104</v>
      </c>
      <c r="OKX92" t="s">
        <v>103</v>
      </c>
      <c r="OKY92" t="s">
        <v>398</v>
      </c>
      <c r="OKZ92">
        <v>1</v>
      </c>
      <c r="OLA92" t="s">
        <v>438</v>
      </c>
      <c r="OLB92" t="s">
        <v>439</v>
      </c>
      <c r="OLC92" t="s">
        <v>428</v>
      </c>
      <c r="OLE92" t="s">
        <v>104</v>
      </c>
      <c r="OLF92" t="s">
        <v>103</v>
      </c>
      <c r="OLG92" t="s">
        <v>398</v>
      </c>
      <c r="OLH92">
        <v>1</v>
      </c>
      <c r="OLI92" t="s">
        <v>438</v>
      </c>
      <c r="OLJ92" t="s">
        <v>439</v>
      </c>
      <c r="OLK92" t="s">
        <v>428</v>
      </c>
      <c r="OLM92" t="s">
        <v>104</v>
      </c>
      <c r="OLN92" t="s">
        <v>103</v>
      </c>
      <c r="OLO92" t="s">
        <v>398</v>
      </c>
      <c r="OLP92">
        <v>1</v>
      </c>
      <c r="OLQ92" t="s">
        <v>438</v>
      </c>
      <c r="OLR92" t="s">
        <v>439</v>
      </c>
      <c r="OLS92" t="s">
        <v>428</v>
      </c>
      <c r="OLU92" t="s">
        <v>104</v>
      </c>
      <c r="OLV92" t="s">
        <v>103</v>
      </c>
      <c r="OLW92" t="s">
        <v>398</v>
      </c>
      <c r="OLX92">
        <v>1</v>
      </c>
      <c r="OLY92" t="s">
        <v>438</v>
      </c>
      <c r="OLZ92" t="s">
        <v>439</v>
      </c>
      <c r="OMA92" t="s">
        <v>428</v>
      </c>
      <c r="OMC92" t="s">
        <v>104</v>
      </c>
      <c r="OMD92" t="s">
        <v>103</v>
      </c>
      <c r="OME92" t="s">
        <v>398</v>
      </c>
      <c r="OMF92">
        <v>1</v>
      </c>
      <c r="OMG92" t="s">
        <v>438</v>
      </c>
      <c r="OMH92" t="s">
        <v>439</v>
      </c>
      <c r="OMI92" t="s">
        <v>428</v>
      </c>
      <c r="OMK92" t="s">
        <v>104</v>
      </c>
      <c r="OML92" t="s">
        <v>103</v>
      </c>
      <c r="OMM92" t="s">
        <v>398</v>
      </c>
      <c r="OMN92">
        <v>1</v>
      </c>
      <c r="OMO92" t="s">
        <v>438</v>
      </c>
      <c r="OMP92" t="s">
        <v>439</v>
      </c>
      <c r="OMQ92" t="s">
        <v>428</v>
      </c>
      <c r="OMS92" t="s">
        <v>104</v>
      </c>
      <c r="OMT92" t="s">
        <v>103</v>
      </c>
      <c r="OMU92" t="s">
        <v>398</v>
      </c>
      <c r="OMV92">
        <v>1</v>
      </c>
      <c r="OMW92" t="s">
        <v>438</v>
      </c>
      <c r="OMX92" t="s">
        <v>439</v>
      </c>
      <c r="OMY92" t="s">
        <v>428</v>
      </c>
      <c r="ONA92" t="s">
        <v>104</v>
      </c>
      <c r="ONB92" t="s">
        <v>103</v>
      </c>
      <c r="ONC92" t="s">
        <v>398</v>
      </c>
      <c r="OND92">
        <v>1</v>
      </c>
      <c r="ONE92" t="s">
        <v>438</v>
      </c>
      <c r="ONF92" t="s">
        <v>439</v>
      </c>
      <c r="ONG92" t="s">
        <v>428</v>
      </c>
      <c r="ONI92" t="s">
        <v>104</v>
      </c>
      <c r="ONJ92" t="s">
        <v>103</v>
      </c>
      <c r="ONK92" t="s">
        <v>398</v>
      </c>
      <c r="ONL92">
        <v>1</v>
      </c>
      <c r="ONM92" t="s">
        <v>438</v>
      </c>
      <c r="ONN92" t="s">
        <v>439</v>
      </c>
      <c r="ONO92" t="s">
        <v>428</v>
      </c>
      <c r="ONQ92" t="s">
        <v>104</v>
      </c>
      <c r="ONR92" t="s">
        <v>103</v>
      </c>
      <c r="ONS92" t="s">
        <v>398</v>
      </c>
      <c r="ONT92">
        <v>1</v>
      </c>
      <c r="ONU92" t="s">
        <v>438</v>
      </c>
      <c r="ONV92" t="s">
        <v>439</v>
      </c>
      <c r="ONW92" t="s">
        <v>428</v>
      </c>
      <c r="ONY92" t="s">
        <v>104</v>
      </c>
      <c r="ONZ92" t="s">
        <v>103</v>
      </c>
      <c r="OOA92" t="s">
        <v>398</v>
      </c>
      <c r="OOB92">
        <v>1</v>
      </c>
      <c r="OOC92" t="s">
        <v>438</v>
      </c>
      <c r="OOD92" t="s">
        <v>439</v>
      </c>
      <c r="OOE92" t="s">
        <v>428</v>
      </c>
      <c r="OOG92" t="s">
        <v>104</v>
      </c>
      <c r="OOH92" t="s">
        <v>103</v>
      </c>
      <c r="OOI92" t="s">
        <v>398</v>
      </c>
      <c r="OOJ92">
        <v>1</v>
      </c>
      <c r="OOK92" t="s">
        <v>438</v>
      </c>
      <c r="OOL92" t="s">
        <v>439</v>
      </c>
      <c r="OOM92" t="s">
        <v>428</v>
      </c>
      <c r="OOO92" t="s">
        <v>104</v>
      </c>
      <c r="OOP92" t="s">
        <v>103</v>
      </c>
      <c r="OOQ92" t="s">
        <v>398</v>
      </c>
      <c r="OOR92">
        <v>1</v>
      </c>
      <c r="OOS92" t="s">
        <v>438</v>
      </c>
      <c r="OOT92" t="s">
        <v>439</v>
      </c>
      <c r="OOU92" t="s">
        <v>428</v>
      </c>
      <c r="OOW92" t="s">
        <v>104</v>
      </c>
      <c r="OOX92" t="s">
        <v>103</v>
      </c>
      <c r="OOY92" t="s">
        <v>398</v>
      </c>
      <c r="OOZ92">
        <v>1</v>
      </c>
      <c r="OPA92" t="s">
        <v>438</v>
      </c>
      <c r="OPB92" t="s">
        <v>439</v>
      </c>
      <c r="OPC92" t="s">
        <v>428</v>
      </c>
      <c r="OPE92" t="s">
        <v>104</v>
      </c>
      <c r="OPF92" t="s">
        <v>103</v>
      </c>
      <c r="OPG92" t="s">
        <v>398</v>
      </c>
      <c r="OPH92">
        <v>1</v>
      </c>
      <c r="OPI92" t="s">
        <v>438</v>
      </c>
      <c r="OPJ92" t="s">
        <v>439</v>
      </c>
      <c r="OPK92" t="s">
        <v>428</v>
      </c>
      <c r="OPM92" t="s">
        <v>104</v>
      </c>
      <c r="OPN92" t="s">
        <v>103</v>
      </c>
      <c r="OPO92" t="s">
        <v>398</v>
      </c>
      <c r="OPP92">
        <v>1</v>
      </c>
      <c r="OPQ92" t="s">
        <v>438</v>
      </c>
      <c r="OPR92" t="s">
        <v>439</v>
      </c>
      <c r="OPS92" t="s">
        <v>428</v>
      </c>
      <c r="OPU92" t="s">
        <v>104</v>
      </c>
      <c r="OPV92" t="s">
        <v>103</v>
      </c>
      <c r="OPW92" t="s">
        <v>398</v>
      </c>
      <c r="OPX92">
        <v>1</v>
      </c>
      <c r="OPY92" t="s">
        <v>438</v>
      </c>
      <c r="OPZ92" t="s">
        <v>439</v>
      </c>
      <c r="OQA92" t="s">
        <v>428</v>
      </c>
      <c r="OQC92" t="s">
        <v>104</v>
      </c>
      <c r="OQD92" t="s">
        <v>103</v>
      </c>
      <c r="OQE92" t="s">
        <v>398</v>
      </c>
      <c r="OQF92">
        <v>1</v>
      </c>
      <c r="OQG92" t="s">
        <v>438</v>
      </c>
      <c r="OQH92" t="s">
        <v>439</v>
      </c>
      <c r="OQI92" t="s">
        <v>428</v>
      </c>
      <c r="OQK92" t="s">
        <v>104</v>
      </c>
      <c r="OQL92" t="s">
        <v>103</v>
      </c>
      <c r="OQM92" t="s">
        <v>398</v>
      </c>
      <c r="OQN92">
        <v>1</v>
      </c>
      <c r="OQO92" t="s">
        <v>438</v>
      </c>
      <c r="OQP92" t="s">
        <v>439</v>
      </c>
      <c r="OQQ92" t="s">
        <v>428</v>
      </c>
      <c r="OQS92" t="s">
        <v>104</v>
      </c>
      <c r="OQT92" t="s">
        <v>103</v>
      </c>
      <c r="OQU92" t="s">
        <v>398</v>
      </c>
      <c r="OQV92">
        <v>1</v>
      </c>
      <c r="OQW92" t="s">
        <v>438</v>
      </c>
      <c r="OQX92" t="s">
        <v>439</v>
      </c>
      <c r="OQY92" t="s">
        <v>428</v>
      </c>
      <c r="ORA92" t="s">
        <v>104</v>
      </c>
      <c r="ORB92" t="s">
        <v>103</v>
      </c>
      <c r="ORC92" t="s">
        <v>398</v>
      </c>
      <c r="ORD92">
        <v>1</v>
      </c>
      <c r="ORE92" t="s">
        <v>438</v>
      </c>
      <c r="ORF92" t="s">
        <v>439</v>
      </c>
      <c r="ORG92" t="s">
        <v>428</v>
      </c>
      <c r="ORI92" t="s">
        <v>104</v>
      </c>
      <c r="ORJ92" t="s">
        <v>103</v>
      </c>
      <c r="ORK92" t="s">
        <v>398</v>
      </c>
      <c r="ORL92">
        <v>1</v>
      </c>
      <c r="ORM92" t="s">
        <v>438</v>
      </c>
      <c r="ORN92" t="s">
        <v>439</v>
      </c>
      <c r="ORO92" t="s">
        <v>428</v>
      </c>
      <c r="ORQ92" t="s">
        <v>104</v>
      </c>
      <c r="ORR92" t="s">
        <v>103</v>
      </c>
      <c r="ORS92" t="s">
        <v>398</v>
      </c>
      <c r="ORT92">
        <v>1</v>
      </c>
      <c r="ORU92" t="s">
        <v>438</v>
      </c>
      <c r="ORV92" t="s">
        <v>439</v>
      </c>
      <c r="ORW92" t="s">
        <v>428</v>
      </c>
      <c r="ORY92" t="s">
        <v>104</v>
      </c>
      <c r="ORZ92" t="s">
        <v>103</v>
      </c>
      <c r="OSA92" t="s">
        <v>398</v>
      </c>
      <c r="OSB92">
        <v>1</v>
      </c>
      <c r="OSC92" t="s">
        <v>438</v>
      </c>
      <c r="OSD92" t="s">
        <v>439</v>
      </c>
      <c r="OSE92" t="s">
        <v>428</v>
      </c>
      <c r="OSG92" t="s">
        <v>104</v>
      </c>
      <c r="OSH92" t="s">
        <v>103</v>
      </c>
      <c r="OSI92" t="s">
        <v>398</v>
      </c>
      <c r="OSJ92">
        <v>1</v>
      </c>
      <c r="OSK92" t="s">
        <v>438</v>
      </c>
      <c r="OSL92" t="s">
        <v>439</v>
      </c>
      <c r="OSM92" t="s">
        <v>428</v>
      </c>
      <c r="OSO92" t="s">
        <v>104</v>
      </c>
      <c r="OSP92" t="s">
        <v>103</v>
      </c>
      <c r="OSQ92" t="s">
        <v>398</v>
      </c>
      <c r="OSR92">
        <v>1</v>
      </c>
      <c r="OSS92" t="s">
        <v>438</v>
      </c>
      <c r="OST92" t="s">
        <v>439</v>
      </c>
      <c r="OSU92" t="s">
        <v>428</v>
      </c>
      <c r="OSW92" t="s">
        <v>104</v>
      </c>
      <c r="OSX92" t="s">
        <v>103</v>
      </c>
      <c r="OSY92" t="s">
        <v>398</v>
      </c>
      <c r="OSZ92">
        <v>1</v>
      </c>
      <c r="OTA92" t="s">
        <v>438</v>
      </c>
      <c r="OTB92" t="s">
        <v>439</v>
      </c>
      <c r="OTC92" t="s">
        <v>428</v>
      </c>
      <c r="OTE92" t="s">
        <v>104</v>
      </c>
      <c r="OTF92" t="s">
        <v>103</v>
      </c>
      <c r="OTG92" t="s">
        <v>398</v>
      </c>
      <c r="OTH92">
        <v>1</v>
      </c>
      <c r="OTI92" t="s">
        <v>438</v>
      </c>
      <c r="OTJ92" t="s">
        <v>439</v>
      </c>
      <c r="OTK92" t="s">
        <v>428</v>
      </c>
      <c r="OTM92" t="s">
        <v>104</v>
      </c>
      <c r="OTN92" t="s">
        <v>103</v>
      </c>
      <c r="OTO92" t="s">
        <v>398</v>
      </c>
      <c r="OTP92">
        <v>1</v>
      </c>
      <c r="OTQ92" t="s">
        <v>438</v>
      </c>
      <c r="OTR92" t="s">
        <v>439</v>
      </c>
      <c r="OTS92" t="s">
        <v>428</v>
      </c>
      <c r="OTU92" t="s">
        <v>104</v>
      </c>
      <c r="OTV92" t="s">
        <v>103</v>
      </c>
      <c r="OTW92" t="s">
        <v>398</v>
      </c>
      <c r="OTX92">
        <v>1</v>
      </c>
      <c r="OTY92" t="s">
        <v>438</v>
      </c>
      <c r="OTZ92" t="s">
        <v>439</v>
      </c>
      <c r="OUA92" t="s">
        <v>428</v>
      </c>
      <c r="OUC92" t="s">
        <v>104</v>
      </c>
      <c r="OUD92" t="s">
        <v>103</v>
      </c>
      <c r="OUE92" t="s">
        <v>398</v>
      </c>
      <c r="OUF92">
        <v>1</v>
      </c>
      <c r="OUG92" t="s">
        <v>438</v>
      </c>
      <c r="OUH92" t="s">
        <v>439</v>
      </c>
      <c r="OUI92" t="s">
        <v>428</v>
      </c>
      <c r="OUK92" t="s">
        <v>104</v>
      </c>
      <c r="OUL92" t="s">
        <v>103</v>
      </c>
      <c r="OUM92" t="s">
        <v>398</v>
      </c>
      <c r="OUN92">
        <v>1</v>
      </c>
      <c r="OUO92" t="s">
        <v>438</v>
      </c>
      <c r="OUP92" t="s">
        <v>439</v>
      </c>
      <c r="OUQ92" t="s">
        <v>428</v>
      </c>
      <c r="OUS92" t="s">
        <v>104</v>
      </c>
      <c r="OUT92" t="s">
        <v>103</v>
      </c>
      <c r="OUU92" t="s">
        <v>398</v>
      </c>
      <c r="OUV92">
        <v>1</v>
      </c>
      <c r="OUW92" t="s">
        <v>438</v>
      </c>
      <c r="OUX92" t="s">
        <v>439</v>
      </c>
      <c r="OUY92" t="s">
        <v>428</v>
      </c>
      <c r="OVA92" t="s">
        <v>104</v>
      </c>
      <c r="OVB92" t="s">
        <v>103</v>
      </c>
      <c r="OVC92" t="s">
        <v>398</v>
      </c>
      <c r="OVD92">
        <v>1</v>
      </c>
      <c r="OVE92" t="s">
        <v>438</v>
      </c>
      <c r="OVF92" t="s">
        <v>439</v>
      </c>
      <c r="OVG92" t="s">
        <v>428</v>
      </c>
      <c r="OVI92" t="s">
        <v>104</v>
      </c>
      <c r="OVJ92" t="s">
        <v>103</v>
      </c>
      <c r="OVK92" t="s">
        <v>398</v>
      </c>
      <c r="OVL92">
        <v>1</v>
      </c>
      <c r="OVM92" t="s">
        <v>438</v>
      </c>
      <c r="OVN92" t="s">
        <v>439</v>
      </c>
      <c r="OVO92" t="s">
        <v>428</v>
      </c>
      <c r="OVQ92" t="s">
        <v>104</v>
      </c>
      <c r="OVR92" t="s">
        <v>103</v>
      </c>
      <c r="OVS92" t="s">
        <v>398</v>
      </c>
      <c r="OVT92">
        <v>1</v>
      </c>
      <c r="OVU92" t="s">
        <v>438</v>
      </c>
      <c r="OVV92" t="s">
        <v>439</v>
      </c>
      <c r="OVW92" t="s">
        <v>428</v>
      </c>
      <c r="OVY92" t="s">
        <v>104</v>
      </c>
      <c r="OVZ92" t="s">
        <v>103</v>
      </c>
      <c r="OWA92" t="s">
        <v>398</v>
      </c>
      <c r="OWB92">
        <v>1</v>
      </c>
      <c r="OWC92" t="s">
        <v>438</v>
      </c>
      <c r="OWD92" t="s">
        <v>439</v>
      </c>
      <c r="OWE92" t="s">
        <v>428</v>
      </c>
      <c r="OWG92" t="s">
        <v>104</v>
      </c>
      <c r="OWH92" t="s">
        <v>103</v>
      </c>
      <c r="OWI92" t="s">
        <v>398</v>
      </c>
      <c r="OWJ92">
        <v>1</v>
      </c>
      <c r="OWK92" t="s">
        <v>438</v>
      </c>
      <c r="OWL92" t="s">
        <v>439</v>
      </c>
      <c r="OWM92" t="s">
        <v>428</v>
      </c>
      <c r="OWO92" t="s">
        <v>104</v>
      </c>
      <c r="OWP92" t="s">
        <v>103</v>
      </c>
      <c r="OWQ92" t="s">
        <v>398</v>
      </c>
      <c r="OWR92">
        <v>1</v>
      </c>
      <c r="OWS92" t="s">
        <v>438</v>
      </c>
      <c r="OWT92" t="s">
        <v>439</v>
      </c>
      <c r="OWU92" t="s">
        <v>428</v>
      </c>
      <c r="OWW92" t="s">
        <v>104</v>
      </c>
      <c r="OWX92" t="s">
        <v>103</v>
      </c>
      <c r="OWY92" t="s">
        <v>398</v>
      </c>
      <c r="OWZ92">
        <v>1</v>
      </c>
      <c r="OXA92" t="s">
        <v>438</v>
      </c>
      <c r="OXB92" t="s">
        <v>439</v>
      </c>
      <c r="OXC92" t="s">
        <v>428</v>
      </c>
      <c r="OXE92" t="s">
        <v>104</v>
      </c>
      <c r="OXF92" t="s">
        <v>103</v>
      </c>
      <c r="OXG92" t="s">
        <v>398</v>
      </c>
      <c r="OXH92">
        <v>1</v>
      </c>
      <c r="OXI92" t="s">
        <v>438</v>
      </c>
      <c r="OXJ92" t="s">
        <v>439</v>
      </c>
      <c r="OXK92" t="s">
        <v>428</v>
      </c>
      <c r="OXM92" t="s">
        <v>104</v>
      </c>
      <c r="OXN92" t="s">
        <v>103</v>
      </c>
      <c r="OXO92" t="s">
        <v>398</v>
      </c>
      <c r="OXP92">
        <v>1</v>
      </c>
      <c r="OXQ92" t="s">
        <v>438</v>
      </c>
      <c r="OXR92" t="s">
        <v>439</v>
      </c>
      <c r="OXS92" t="s">
        <v>428</v>
      </c>
      <c r="OXU92" t="s">
        <v>104</v>
      </c>
      <c r="OXV92" t="s">
        <v>103</v>
      </c>
      <c r="OXW92" t="s">
        <v>398</v>
      </c>
      <c r="OXX92">
        <v>1</v>
      </c>
      <c r="OXY92" t="s">
        <v>438</v>
      </c>
      <c r="OXZ92" t="s">
        <v>439</v>
      </c>
      <c r="OYA92" t="s">
        <v>428</v>
      </c>
      <c r="OYC92" t="s">
        <v>104</v>
      </c>
      <c r="OYD92" t="s">
        <v>103</v>
      </c>
      <c r="OYE92" t="s">
        <v>398</v>
      </c>
      <c r="OYF92">
        <v>1</v>
      </c>
      <c r="OYG92" t="s">
        <v>438</v>
      </c>
      <c r="OYH92" t="s">
        <v>439</v>
      </c>
      <c r="OYI92" t="s">
        <v>428</v>
      </c>
      <c r="OYK92" t="s">
        <v>104</v>
      </c>
      <c r="OYL92" t="s">
        <v>103</v>
      </c>
      <c r="OYM92" t="s">
        <v>398</v>
      </c>
      <c r="OYN92">
        <v>1</v>
      </c>
      <c r="OYO92" t="s">
        <v>438</v>
      </c>
      <c r="OYP92" t="s">
        <v>439</v>
      </c>
      <c r="OYQ92" t="s">
        <v>428</v>
      </c>
      <c r="OYS92" t="s">
        <v>104</v>
      </c>
      <c r="OYT92" t="s">
        <v>103</v>
      </c>
      <c r="OYU92" t="s">
        <v>398</v>
      </c>
      <c r="OYV92">
        <v>1</v>
      </c>
      <c r="OYW92" t="s">
        <v>438</v>
      </c>
      <c r="OYX92" t="s">
        <v>439</v>
      </c>
      <c r="OYY92" t="s">
        <v>428</v>
      </c>
      <c r="OZA92" t="s">
        <v>104</v>
      </c>
      <c r="OZB92" t="s">
        <v>103</v>
      </c>
      <c r="OZC92" t="s">
        <v>398</v>
      </c>
      <c r="OZD92">
        <v>1</v>
      </c>
      <c r="OZE92" t="s">
        <v>438</v>
      </c>
      <c r="OZF92" t="s">
        <v>439</v>
      </c>
      <c r="OZG92" t="s">
        <v>428</v>
      </c>
      <c r="OZI92" t="s">
        <v>104</v>
      </c>
      <c r="OZJ92" t="s">
        <v>103</v>
      </c>
      <c r="OZK92" t="s">
        <v>398</v>
      </c>
      <c r="OZL92">
        <v>1</v>
      </c>
      <c r="OZM92" t="s">
        <v>438</v>
      </c>
      <c r="OZN92" t="s">
        <v>439</v>
      </c>
      <c r="OZO92" t="s">
        <v>428</v>
      </c>
      <c r="OZQ92" t="s">
        <v>104</v>
      </c>
      <c r="OZR92" t="s">
        <v>103</v>
      </c>
      <c r="OZS92" t="s">
        <v>398</v>
      </c>
      <c r="OZT92">
        <v>1</v>
      </c>
      <c r="OZU92" t="s">
        <v>438</v>
      </c>
      <c r="OZV92" t="s">
        <v>439</v>
      </c>
      <c r="OZW92" t="s">
        <v>428</v>
      </c>
      <c r="OZY92" t="s">
        <v>104</v>
      </c>
      <c r="OZZ92" t="s">
        <v>103</v>
      </c>
      <c r="PAA92" t="s">
        <v>398</v>
      </c>
      <c r="PAB92">
        <v>1</v>
      </c>
      <c r="PAC92" t="s">
        <v>438</v>
      </c>
      <c r="PAD92" t="s">
        <v>439</v>
      </c>
      <c r="PAE92" t="s">
        <v>428</v>
      </c>
      <c r="PAG92" t="s">
        <v>104</v>
      </c>
      <c r="PAH92" t="s">
        <v>103</v>
      </c>
      <c r="PAI92" t="s">
        <v>398</v>
      </c>
      <c r="PAJ92">
        <v>1</v>
      </c>
      <c r="PAK92" t="s">
        <v>438</v>
      </c>
      <c r="PAL92" t="s">
        <v>439</v>
      </c>
      <c r="PAM92" t="s">
        <v>428</v>
      </c>
      <c r="PAO92" t="s">
        <v>104</v>
      </c>
      <c r="PAP92" t="s">
        <v>103</v>
      </c>
      <c r="PAQ92" t="s">
        <v>398</v>
      </c>
      <c r="PAR92">
        <v>1</v>
      </c>
      <c r="PAS92" t="s">
        <v>438</v>
      </c>
      <c r="PAT92" t="s">
        <v>439</v>
      </c>
      <c r="PAU92" t="s">
        <v>428</v>
      </c>
      <c r="PAW92" t="s">
        <v>104</v>
      </c>
      <c r="PAX92" t="s">
        <v>103</v>
      </c>
      <c r="PAY92" t="s">
        <v>398</v>
      </c>
      <c r="PAZ92">
        <v>1</v>
      </c>
      <c r="PBA92" t="s">
        <v>438</v>
      </c>
      <c r="PBB92" t="s">
        <v>439</v>
      </c>
      <c r="PBC92" t="s">
        <v>428</v>
      </c>
      <c r="PBE92" t="s">
        <v>104</v>
      </c>
      <c r="PBF92" t="s">
        <v>103</v>
      </c>
      <c r="PBG92" t="s">
        <v>398</v>
      </c>
      <c r="PBH92">
        <v>1</v>
      </c>
      <c r="PBI92" t="s">
        <v>438</v>
      </c>
      <c r="PBJ92" t="s">
        <v>439</v>
      </c>
      <c r="PBK92" t="s">
        <v>428</v>
      </c>
      <c r="PBM92" t="s">
        <v>104</v>
      </c>
      <c r="PBN92" t="s">
        <v>103</v>
      </c>
      <c r="PBO92" t="s">
        <v>398</v>
      </c>
      <c r="PBP92">
        <v>1</v>
      </c>
      <c r="PBQ92" t="s">
        <v>438</v>
      </c>
      <c r="PBR92" t="s">
        <v>439</v>
      </c>
      <c r="PBS92" t="s">
        <v>428</v>
      </c>
      <c r="PBU92" t="s">
        <v>104</v>
      </c>
      <c r="PBV92" t="s">
        <v>103</v>
      </c>
      <c r="PBW92" t="s">
        <v>398</v>
      </c>
      <c r="PBX92">
        <v>1</v>
      </c>
      <c r="PBY92" t="s">
        <v>438</v>
      </c>
      <c r="PBZ92" t="s">
        <v>439</v>
      </c>
      <c r="PCA92" t="s">
        <v>428</v>
      </c>
      <c r="PCC92" t="s">
        <v>104</v>
      </c>
      <c r="PCD92" t="s">
        <v>103</v>
      </c>
      <c r="PCE92" t="s">
        <v>398</v>
      </c>
      <c r="PCF92">
        <v>1</v>
      </c>
      <c r="PCG92" t="s">
        <v>438</v>
      </c>
      <c r="PCH92" t="s">
        <v>439</v>
      </c>
      <c r="PCI92" t="s">
        <v>428</v>
      </c>
      <c r="PCK92" t="s">
        <v>104</v>
      </c>
      <c r="PCL92" t="s">
        <v>103</v>
      </c>
      <c r="PCM92" t="s">
        <v>398</v>
      </c>
      <c r="PCN92">
        <v>1</v>
      </c>
      <c r="PCO92" t="s">
        <v>438</v>
      </c>
      <c r="PCP92" t="s">
        <v>439</v>
      </c>
      <c r="PCQ92" t="s">
        <v>428</v>
      </c>
      <c r="PCS92" t="s">
        <v>104</v>
      </c>
      <c r="PCT92" t="s">
        <v>103</v>
      </c>
      <c r="PCU92" t="s">
        <v>398</v>
      </c>
      <c r="PCV92">
        <v>1</v>
      </c>
      <c r="PCW92" t="s">
        <v>438</v>
      </c>
      <c r="PCX92" t="s">
        <v>439</v>
      </c>
      <c r="PCY92" t="s">
        <v>428</v>
      </c>
      <c r="PDA92" t="s">
        <v>104</v>
      </c>
      <c r="PDB92" t="s">
        <v>103</v>
      </c>
      <c r="PDC92" t="s">
        <v>398</v>
      </c>
      <c r="PDD92">
        <v>1</v>
      </c>
      <c r="PDE92" t="s">
        <v>438</v>
      </c>
      <c r="PDF92" t="s">
        <v>439</v>
      </c>
      <c r="PDG92" t="s">
        <v>428</v>
      </c>
      <c r="PDI92" t="s">
        <v>104</v>
      </c>
      <c r="PDJ92" t="s">
        <v>103</v>
      </c>
      <c r="PDK92" t="s">
        <v>398</v>
      </c>
      <c r="PDL92">
        <v>1</v>
      </c>
      <c r="PDM92" t="s">
        <v>438</v>
      </c>
      <c r="PDN92" t="s">
        <v>439</v>
      </c>
      <c r="PDO92" t="s">
        <v>428</v>
      </c>
      <c r="PDQ92" t="s">
        <v>104</v>
      </c>
      <c r="PDR92" t="s">
        <v>103</v>
      </c>
      <c r="PDS92" t="s">
        <v>398</v>
      </c>
      <c r="PDT92">
        <v>1</v>
      </c>
      <c r="PDU92" t="s">
        <v>438</v>
      </c>
      <c r="PDV92" t="s">
        <v>439</v>
      </c>
      <c r="PDW92" t="s">
        <v>428</v>
      </c>
      <c r="PDY92" t="s">
        <v>104</v>
      </c>
      <c r="PDZ92" t="s">
        <v>103</v>
      </c>
      <c r="PEA92" t="s">
        <v>398</v>
      </c>
      <c r="PEB92">
        <v>1</v>
      </c>
      <c r="PEC92" t="s">
        <v>438</v>
      </c>
      <c r="PED92" t="s">
        <v>439</v>
      </c>
      <c r="PEE92" t="s">
        <v>428</v>
      </c>
      <c r="PEG92" t="s">
        <v>104</v>
      </c>
      <c r="PEH92" t="s">
        <v>103</v>
      </c>
      <c r="PEI92" t="s">
        <v>398</v>
      </c>
      <c r="PEJ92">
        <v>1</v>
      </c>
      <c r="PEK92" t="s">
        <v>438</v>
      </c>
      <c r="PEL92" t="s">
        <v>439</v>
      </c>
      <c r="PEM92" t="s">
        <v>428</v>
      </c>
      <c r="PEO92" t="s">
        <v>104</v>
      </c>
      <c r="PEP92" t="s">
        <v>103</v>
      </c>
      <c r="PEQ92" t="s">
        <v>398</v>
      </c>
      <c r="PER92">
        <v>1</v>
      </c>
      <c r="PES92" t="s">
        <v>438</v>
      </c>
      <c r="PET92" t="s">
        <v>439</v>
      </c>
      <c r="PEU92" t="s">
        <v>428</v>
      </c>
      <c r="PEW92" t="s">
        <v>104</v>
      </c>
      <c r="PEX92" t="s">
        <v>103</v>
      </c>
      <c r="PEY92" t="s">
        <v>398</v>
      </c>
      <c r="PEZ92">
        <v>1</v>
      </c>
      <c r="PFA92" t="s">
        <v>438</v>
      </c>
      <c r="PFB92" t="s">
        <v>439</v>
      </c>
      <c r="PFC92" t="s">
        <v>428</v>
      </c>
      <c r="PFE92" t="s">
        <v>104</v>
      </c>
      <c r="PFF92" t="s">
        <v>103</v>
      </c>
      <c r="PFG92" t="s">
        <v>398</v>
      </c>
      <c r="PFH92">
        <v>1</v>
      </c>
      <c r="PFI92" t="s">
        <v>438</v>
      </c>
      <c r="PFJ92" t="s">
        <v>439</v>
      </c>
      <c r="PFK92" t="s">
        <v>428</v>
      </c>
      <c r="PFM92" t="s">
        <v>104</v>
      </c>
      <c r="PFN92" t="s">
        <v>103</v>
      </c>
      <c r="PFO92" t="s">
        <v>398</v>
      </c>
      <c r="PFP92">
        <v>1</v>
      </c>
      <c r="PFQ92" t="s">
        <v>438</v>
      </c>
      <c r="PFR92" t="s">
        <v>439</v>
      </c>
      <c r="PFS92" t="s">
        <v>428</v>
      </c>
      <c r="PFU92" t="s">
        <v>104</v>
      </c>
      <c r="PFV92" t="s">
        <v>103</v>
      </c>
      <c r="PFW92" t="s">
        <v>398</v>
      </c>
      <c r="PFX92">
        <v>1</v>
      </c>
      <c r="PFY92" t="s">
        <v>438</v>
      </c>
      <c r="PFZ92" t="s">
        <v>439</v>
      </c>
      <c r="PGA92" t="s">
        <v>428</v>
      </c>
      <c r="PGC92" t="s">
        <v>104</v>
      </c>
      <c r="PGD92" t="s">
        <v>103</v>
      </c>
      <c r="PGE92" t="s">
        <v>398</v>
      </c>
      <c r="PGF92">
        <v>1</v>
      </c>
      <c r="PGG92" t="s">
        <v>438</v>
      </c>
      <c r="PGH92" t="s">
        <v>439</v>
      </c>
      <c r="PGI92" t="s">
        <v>428</v>
      </c>
      <c r="PGK92" t="s">
        <v>104</v>
      </c>
      <c r="PGL92" t="s">
        <v>103</v>
      </c>
      <c r="PGM92" t="s">
        <v>398</v>
      </c>
      <c r="PGN92">
        <v>1</v>
      </c>
      <c r="PGO92" t="s">
        <v>438</v>
      </c>
      <c r="PGP92" t="s">
        <v>439</v>
      </c>
      <c r="PGQ92" t="s">
        <v>428</v>
      </c>
      <c r="PGS92" t="s">
        <v>104</v>
      </c>
      <c r="PGT92" t="s">
        <v>103</v>
      </c>
      <c r="PGU92" t="s">
        <v>398</v>
      </c>
      <c r="PGV92">
        <v>1</v>
      </c>
      <c r="PGW92" t="s">
        <v>438</v>
      </c>
      <c r="PGX92" t="s">
        <v>439</v>
      </c>
      <c r="PGY92" t="s">
        <v>428</v>
      </c>
      <c r="PHA92" t="s">
        <v>104</v>
      </c>
      <c r="PHB92" t="s">
        <v>103</v>
      </c>
      <c r="PHC92" t="s">
        <v>398</v>
      </c>
      <c r="PHD92">
        <v>1</v>
      </c>
      <c r="PHE92" t="s">
        <v>438</v>
      </c>
      <c r="PHF92" t="s">
        <v>439</v>
      </c>
      <c r="PHG92" t="s">
        <v>428</v>
      </c>
      <c r="PHI92" t="s">
        <v>104</v>
      </c>
      <c r="PHJ92" t="s">
        <v>103</v>
      </c>
      <c r="PHK92" t="s">
        <v>398</v>
      </c>
      <c r="PHL92">
        <v>1</v>
      </c>
      <c r="PHM92" t="s">
        <v>438</v>
      </c>
      <c r="PHN92" t="s">
        <v>439</v>
      </c>
      <c r="PHO92" t="s">
        <v>428</v>
      </c>
      <c r="PHQ92" t="s">
        <v>104</v>
      </c>
      <c r="PHR92" t="s">
        <v>103</v>
      </c>
      <c r="PHS92" t="s">
        <v>398</v>
      </c>
      <c r="PHT92">
        <v>1</v>
      </c>
      <c r="PHU92" t="s">
        <v>438</v>
      </c>
      <c r="PHV92" t="s">
        <v>439</v>
      </c>
      <c r="PHW92" t="s">
        <v>428</v>
      </c>
      <c r="PHY92" t="s">
        <v>104</v>
      </c>
      <c r="PHZ92" t="s">
        <v>103</v>
      </c>
      <c r="PIA92" t="s">
        <v>398</v>
      </c>
      <c r="PIB92">
        <v>1</v>
      </c>
      <c r="PIC92" t="s">
        <v>438</v>
      </c>
      <c r="PID92" t="s">
        <v>439</v>
      </c>
      <c r="PIE92" t="s">
        <v>428</v>
      </c>
      <c r="PIG92" t="s">
        <v>104</v>
      </c>
      <c r="PIH92" t="s">
        <v>103</v>
      </c>
      <c r="PII92" t="s">
        <v>398</v>
      </c>
      <c r="PIJ92">
        <v>1</v>
      </c>
      <c r="PIK92" t="s">
        <v>438</v>
      </c>
      <c r="PIL92" t="s">
        <v>439</v>
      </c>
      <c r="PIM92" t="s">
        <v>428</v>
      </c>
      <c r="PIO92" t="s">
        <v>104</v>
      </c>
      <c r="PIP92" t="s">
        <v>103</v>
      </c>
      <c r="PIQ92" t="s">
        <v>398</v>
      </c>
      <c r="PIR92">
        <v>1</v>
      </c>
      <c r="PIS92" t="s">
        <v>438</v>
      </c>
      <c r="PIT92" t="s">
        <v>439</v>
      </c>
      <c r="PIU92" t="s">
        <v>428</v>
      </c>
      <c r="PIW92" t="s">
        <v>104</v>
      </c>
      <c r="PIX92" t="s">
        <v>103</v>
      </c>
      <c r="PIY92" t="s">
        <v>398</v>
      </c>
      <c r="PIZ92">
        <v>1</v>
      </c>
      <c r="PJA92" t="s">
        <v>438</v>
      </c>
      <c r="PJB92" t="s">
        <v>439</v>
      </c>
      <c r="PJC92" t="s">
        <v>428</v>
      </c>
      <c r="PJE92" t="s">
        <v>104</v>
      </c>
      <c r="PJF92" t="s">
        <v>103</v>
      </c>
      <c r="PJG92" t="s">
        <v>398</v>
      </c>
      <c r="PJH92">
        <v>1</v>
      </c>
      <c r="PJI92" t="s">
        <v>438</v>
      </c>
      <c r="PJJ92" t="s">
        <v>439</v>
      </c>
      <c r="PJK92" t="s">
        <v>428</v>
      </c>
      <c r="PJM92" t="s">
        <v>104</v>
      </c>
      <c r="PJN92" t="s">
        <v>103</v>
      </c>
      <c r="PJO92" t="s">
        <v>398</v>
      </c>
      <c r="PJP92">
        <v>1</v>
      </c>
      <c r="PJQ92" t="s">
        <v>438</v>
      </c>
      <c r="PJR92" t="s">
        <v>439</v>
      </c>
      <c r="PJS92" t="s">
        <v>428</v>
      </c>
      <c r="PJU92" t="s">
        <v>104</v>
      </c>
      <c r="PJV92" t="s">
        <v>103</v>
      </c>
      <c r="PJW92" t="s">
        <v>398</v>
      </c>
      <c r="PJX92">
        <v>1</v>
      </c>
      <c r="PJY92" t="s">
        <v>438</v>
      </c>
      <c r="PJZ92" t="s">
        <v>439</v>
      </c>
      <c r="PKA92" t="s">
        <v>428</v>
      </c>
      <c r="PKC92" t="s">
        <v>104</v>
      </c>
      <c r="PKD92" t="s">
        <v>103</v>
      </c>
      <c r="PKE92" t="s">
        <v>398</v>
      </c>
      <c r="PKF92">
        <v>1</v>
      </c>
      <c r="PKG92" t="s">
        <v>438</v>
      </c>
      <c r="PKH92" t="s">
        <v>439</v>
      </c>
      <c r="PKI92" t="s">
        <v>428</v>
      </c>
      <c r="PKK92" t="s">
        <v>104</v>
      </c>
      <c r="PKL92" t="s">
        <v>103</v>
      </c>
      <c r="PKM92" t="s">
        <v>398</v>
      </c>
      <c r="PKN92">
        <v>1</v>
      </c>
      <c r="PKO92" t="s">
        <v>438</v>
      </c>
      <c r="PKP92" t="s">
        <v>439</v>
      </c>
      <c r="PKQ92" t="s">
        <v>428</v>
      </c>
      <c r="PKS92" t="s">
        <v>104</v>
      </c>
      <c r="PKT92" t="s">
        <v>103</v>
      </c>
      <c r="PKU92" t="s">
        <v>398</v>
      </c>
      <c r="PKV92">
        <v>1</v>
      </c>
      <c r="PKW92" t="s">
        <v>438</v>
      </c>
      <c r="PKX92" t="s">
        <v>439</v>
      </c>
      <c r="PKY92" t="s">
        <v>428</v>
      </c>
      <c r="PLA92" t="s">
        <v>104</v>
      </c>
      <c r="PLB92" t="s">
        <v>103</v>
      </c>
      <c r="PLC92" t="s">
        <v>398</v>
      </c>
      <c r="PLD92">
        <v>1</v>
      </c>
      <c r="PLE92" t="s">
        <v>438</v>
      </c>
      <c r="PLF92" t="s">
        <v>439</v>
      </c>
      <c r="PLG92" t="s">
        <v>428</v>
      </c>
      <c r="PLI92" t="s">
        <v>104</v>
      </c>
      <c r="PLJ92" t="s">
        <v>103</v>
      </c>
      <c r="PLK92" t="s">
        <v>398</v>
      </c>
      <c r="PLL92">
        <v>1</v>
      </c>
      <c r="PLM92" t="s">
        <v>438</v>
      </c>
      <c r="PLN92" t="s">
        <v>439</v>
      </c>
      <c r="PLO92" t="s">
        <v>428</v>
      </c>
      <c r="PLQ92" t="s">
        <v>104</v>
      </c>
      <c r="PLR92" t="s">
        <v>103</v>
      </c>
      <c r="PLS92" t="s">
        <v>398</v>
      </c>
      <c r="PLT92">
        <v>1</v>
      </c>
      <c r="PLU92" t="s">
        <v>438</v>
      </c>
      <c r="PLV92" t="s">
        <v>439</v>
      </c>
      <c r="PLW92" t="s">
        <v>428</v>
      </c>
      <c r="PLY92" t="s">
        <v>104</v>
      </c>
      <c r="PLZ92" t="s">
        <v>103</v>
      </c>
      <c r="PMA92" t="s">
        <v>398</v>
      </c>
      <c r="PMB92">
        <v>1</v>
      </c>
      <c r="PMC92" t="s">
        <v>438</v>
      </c>
      <c r="PMD92" t="s">
        <v>439</v>
      </c>
      <c r="PME92" t="s">
        <v>428</v>
      </c>
      <c r="PMG92" t="s">
        <v>104</v>
      </c>
      <c r="PMH92" t="s">
        <v>103</v>
      </c>
      <c r="PMI92" t="s">
        <v>398</v>
      </c>
      <c r="PMJ92">
        <v>1</v>
      </c>
      <c r="PMK92" t="s">
        <v>438</v>
      </c>
      <c r="PML92" t="s">
        <v>439</v>
      </c>
      <c r="PMM92" t="s">
        <v>428</v>
      </c>
      <c r="PMO92" t="s">
        <v>104</v>
      </c>
      <c r="PMP92" t="s">
        <v>103</v>
      </c>
      <c r="PMQ92" t="s">
        <v>398</v>
      </c>
      <c r="PMR92">
        <v>1</v>
      </c>
      <c r="PMS92" t="s">
        <v>438</v>
      </c>
      <c r="PMT92" t="s">
        <v>439</v>
      </c>
      <c r="PMU92" t="s">
        <v>428</v>
      </c>
      <c r="PMW92" t="s">
        <v>104</v>
      </c>
      <c r="PMX92" t="s">
        <v>103</v>
      </c>
      <c r="PMY92" t="s">
        <v>398</v>
      </c>
      <c r="PMZ92">
        <v>1</v>
      </c>
      <c r="PNA92" t="s">
        <v>438</v>
      </c>
      <c r="PNB92" t="s">
        <v>439</v>
      </c>
      <c r="PNC92" t="s">
        <v>428</v>
      </c>
      <c r="PNE92" t="s">
        <v>104</v>
      </c>
      <c r="PNF92" t="s">
        <v>103</v>
      </c>
      <c r="PNG92" t="s">
        <v>398</v>
      </c>
      <c r="PNH92">
        <v>1</v>
      </c>
      <c r="PNI92" t="s">
        <v>438</v>
      </c>
      <c r="PNJ92" t="s">
        <v>439</v>
      </c>
      <c r="PNK92" t="s">
        <v>428</v>
      </c>
      <c r="PNM92" t="s">
        <v>104</v>
      </c>
      <c r="PNN92" t="s">
        <v>103</v>
      </c>
      <c r="PNO92" t="s">
        <v>398</v>
      </c>
      <c r="PNP92">
        <v>1</v>
      </c>
      <c r="PNQ92" t="s">
        <v>438</v>
      </c>
      <c r="PNR92" t="s">
        <v>439</v>
      </c>
      <c r="PNS92" t="s">
        <v>428</v>
      </c>
      <c r="PNU92" t="s">
        <v>104</v>
      </c>
      <c r="PNV92" t="s">
        <v>103</v>
      </c>
      <c r="PNW92" t="s">
        <v>398</v>
      </c>
      <c r="PNX92">
        <v>1</v>
      </c>
      <c r="PNY92" t="s">
        <v>438</v>
      </c>
      <c r="PNZ92" t="s">
        <v>439</v>
      </c>
      <c r="POA92" t="s">
        <v>428</v>
      </c>
      <c r="POC92" t="s">
        <v>104</v>
      </c>
      <c r="POD92" t="s">
        <v>103</v>
      </c>
      <c r="POE92" t="s">
        <v>398</v>
      </c>
      <c r="POF92">
        <v>1</v>
      </c>
      <c r="POG92" t="s">
        <v>438</v>
      </c>
      <c r="POH92" t="s">
        <v>439</v>
      </c>
      <c r="POI92" t="s">
        <v>428</v>
      </c>
      <c r="POK92" t="s">
        <v>104</v>
      </c>
      <c r="POL92" t="s">
        <v>103</v>
      </c>
      <c r="POM92" t="s">
        <v>398</v>
      </c>
      <c r="PON92">
        <v>1</v>
      </c>
      <c r="POO92" t="s">
        <v>438</v>
      </c>
      <c r="POP92" t="s">
        <v>439</v>
      </c>
      <c r="POQ92" t="s">
        <v>428</v>
      </c>
      <c r="POS92" t="s">
        <v>104</v>
      </c>
      <c r="POT92" t="s">
        <v>103</v>
      </c>
      <c r="POU92" t="s">
        <v>398</v>
      </c>
      <c r="POV92">
        <v>1</v>
      </c>
      <c r="POW92" t="s">
        <v>438</v>
      </c>
      <c r="POX92" t="s">
        <v>439</v>
      </c>
      <c r="POY92" t="s">
        <v>428</v>
      </c>
      <c r="PPA92" t="s">
        <v>104</v>
      </c>
      <c r="PPB92" t="s">
        <v>103</v>
      </c>
      <c r="PPC92" t="s">
        <v>398</v>
      </c>
      <c r="PPD92">
        <v>1</v>
      </c>
      <c r="PPE92" t="s">
        <v>438</v>
      </c>
      <c r="PPF92" t="s">
        <v>439</v>
      </c>
      <c r="PPG92" t="s">
        <v>428</v>
      </c>
      <c r="PPI92" t="s">
        <v>104</v>
      </c>
      <c r="PPJ92" t="s">
        <v>103</v>
      </c>
      <c r="PPK92" t="s">
        <v>398</v>
      </c>
      <c r="PPL92">
        <v>1</v>
      </c>
      <c r="PPM92" t="s">
        <v>438</v>
      </c>
      <c r="PPN92" t="s">
        <v>439</v>
      </c>
      <c r="PPO92" t="s">
        <v>428</v>
      </c>
      <c r="PPQ92" t="s">
        <v>104</v>
      </c>
      <c r="PPR92" t="s">
        <v>103</v>
      </c>
      <c r="PPS92" t="s">
        <v>398</v>
      </c>
      <c r="PPT92">
        <v>1</v>
      </c>
      <c r="PPU92" t="s">
        <v>438</v>
      </c>
      <c r="PPV92" t="s">
        <v>439</v>
      </c>
      <c r="PPW92" t="s">
        <v>428</v>
      </c>
      <c r="PPY92" t="s">
        <v>104</v>
      </c>
      <c r="PPZ92" t="s">
        <v>103</v>
      </c>
      <c r="PQA92" t="s">
        <v>398</v>
      </c>
      <c r="PQB92">
        <v>1</v>
      </c>
      <c r="PQC92" t="s">
        <v>438</v>
      </c>
      <c r="PQD92" t="s">
        <v>439</v>
      </c>
      <c r="PQE92" t="s">
        <v>428</v>
      </c>
      <c r="PQG92" t="s">
        <v>104</v>
      </c>
      <c r="PQH92" t="s">
        <v>103</v>
      </c>
      <c r="PQI92" t="s">
        <v>398</v>
      </c>
      <c r="PQJ92">
        <v>1</v>
      </c>
      <c r="PQK92" t="s">
        <v>438</v>
      </c>
      <c r="PQL92" t="s">
        <v>439</v>
      </c>
      <c r="PQM92" t="s">
        <v>428</v>
      </c>
      <c r="PQO92" t="s">
        <v>104</v>
      </c>
      <c r="PQP92" t="s">
        <v>103</v>
      </c>
      <c r="PQQ92" t="s">
        <v>398</v>
      </c>
      <c r="PQR92">
        <v>1</v>
      </c>
      <c r="PQS92" t="s">
        <v>438</v>
      </c>
      <c r="PQT92" t="s">
        <v>439</v>
      </c>
      <c r="PQU92" t="s">
        <v>428</v>
      </c>
      <c r="PQW92" t="s">
        <v>104</v>
      </c>
      <c r="PQX92" t="s">
        <v>103</v>
      </c>
      <c r="PQY92" t="s">
        <v>398</v>
      </c>
      <c r="PQZ92">
        <v>1</v>
      </c>
      <c r="PRA92" t="s">
        <v>438</v>
      </c>
      <c r="PRB92" t="s">
        <v>439</v>
      </c>
      <c r="PRC92" t="s">
        <v>428</v>
      </c>
      <c r="PRE92" t="s">
        <v>104</v>
      </c>
      <c r="PRF92" t="s">
        <v>103</v>
      </c>
      <c r="PRG92" t="s">
        <v>398</v>
      </c>
      <c r="PRH92">
        <v>1</v>
      </c>
      <c r="PRI92" t="s">
        <v>438</v>
      </c>
      <c r="PRJ92" t="s">
        <v>439</v>
      </c>
      <c r="PRK92" t="s">
        <v>428</v>
      </c>
      <c r="PRM92" t="s">
        <v>104</v>
      </c>
      <c r="PRN92" t="s">
        <v>103</v>
      </c>
      <c r="PRO92" t="s">
        <v>398</v>
      </c>
      <c r="PRP92">
        <v>1</v>
      </c>
      <c r="PRQ92" t="s">
        <v>438</v>
      </c>
      <c r="PRR92" t="s">
        <v>439</v>
      </c>
      <c r="PRS92" t="s">
        <v>428</v>
      </c>
      <c r="PRU92" t="s">
        <v>104</v>
      </c>
      <c r="PRV92" t="s">
        <v>103</v>
      </c>
      <c r="PRW92" t="s">
        <v>398</v>
      </c>
      <c r="PRX92">
        <v>1</v>
      </c>
      <c r="PRY92" t="s">
        <v>438</v>
      </c>
      <c r="PRZ92" t="s">
        <v>439</v>
      </c>
      <c r="PSA92" t="s">
        <v>428</v>
      </c>
      <c r="PSC92" t="s">
        <v>104</v>
      </c>
      <c r="PSD92" t="s">
        <v>103</v>
      </c>
      <c r="PSE92" t="s">
        <v>398</v>
      </c>
      <c r="PSF92">
        <v>1</v>
      </c>
      <c r="PSG92" t="s">
        <v>438</v>
      </c>
      <c r="PSH92" t="s">
        <v>439</v>
      </c>
      <c r="PSI92" t="s">
        <v>428</v>
      </c>
      <c r="PSK92" t="s">
        <v>104</v>
      </c>
      <c r="PSL92" t="s">
        <v>103</v>
      </c>
      <c r="PSM92" t="s">
        <v>398</v>
      </c>
      <c r="PSN92">
        <v>1</v>
      </c>
      <c r="PSO92" t="s">
        <v>438</v>
      </c>
      <c r="PSP92" t="s">
        <v>439</v>
      </c>
      <c r="PSQ92" t="s">
        <v>428</v>
      </c>
      <c r="PSS92" t="s">
        <v>104</v>
      </c>
      <c r="PST92" t="s">
        <v>103</v>
      </c>
      <c r="PSU92" t="s">
        <v>398</v>
      </c>
      <c r="PSV92">
        <v>1</v>
      </c>
      <c r="PSW92" t="s">
        <v>438</v>
      </c>
      <c r="PSX92" t="s">
        <v>439</v>
      </c>
      <c r="PSY92" t="s">
        <v>428</v>
      </c>
      <c r="PTA92" t="s">
        <v>104</v>
      </c>
      <c r="PTB92" t="s">
        <v>103</v>
      </c>
      <c r="PTC92" t="s">
        <v>398</v>
      </c>
      <c r="PTD92">
        <v>1</v>
      </c>
      <c r="PTE92" t="s">
        <v>438</v>
      </c>
      <c r="PTF92" t="s">
        <v>439</v>
      </c>
      <c r="PTG92" t="s">
        <v>428</v>
      </c>
      <c r="PTI92" t="s">
        <v>104</v>
      </c>
      <c r="PTJ92" t="s">
        <v>103</v>
      </c>
      <c r="PTK92" t="s">
        <v>398</v>
      </c>
      <c r="PTL92">
        <v>1</v>
      </c>
      <c r="PTM92" t="s">
        <v>438</v>
      </c>
      <c r="PTN92" t="s">
        <v>439</v>
      </c>
      <c r="PTO92" t="s">
        <v>428</v>
      </c>
      <c r="PTQ92" t="s">
        <v>104</v>
      </c>
      <c r="PTR92" t="s">
        <v>103</v>
      </c>
      <c r="PTS92" t="s">
        <v>398</v>
      </c>
      <c r="PTT92">
        <v>1</v>
      </c>
      <c r="PTU92" t="s">
        <v>438</v>
      </c>
      <c r="PTV92" t="s">
        <v>439</v>
      </c>
      <c r="PTW92" t="s">
        <v>428</v>
      </c>
      <c r="PTY92" t="s">
        <v>104</v>
      </c>
      <c r="PTZ92" t="s">
        <v>103</v>
      </c>
      <c r="PUA92" t="s">
        <v>398</v>
      </c>
      <c r="PUB92">
        <v>1</v>
      </c>
      <c r="PUC92" t="s">
        <v>438</v>
      </c>
      <c r="PUD92" t="s">
        <v>439</v>
      </c>
      <c r="PUE92" t="s">
        <v>428</v>
      </c>
      <c r="PUG92" t="s">
        <v>104</v>
      </c>
      <c r="PUH92" t="s">
        <v>103</v>
      </c>
      <c r="PUI92" t="s">
        <v>398</v>
      </c>
      <c r="PUJ92">
        <v>1</v>
      </c>
      <c r="PUK92" t="s">
        <v>438</v>
      </c>
      <c r="PUL92" t="s">
        <v>439</v>
      </c>
      <c r="PUM92" t="s">
        <v>428</v>
      </c>
      <c r="PUO92" t="s">
        <v>104</v>
      </c>
      <c r="PUP92" t="s">
        <v>103</v>
      </c>
      <c r="PUQ92" t="s">
        <v>398</v>
      </c>
      <c r="PUR92">
        <v>1</v>
      </c>
      <c r="PUS92" t="s">
        <v>438</v>
      </c>
      <c r="PUT92" t="s">
        <v>439</v>
      </c>
      <c r="PUU92" t="s">
        <v>428</v>
      </c>
      <c r="PUW92" t="s">
        <v>104</v>
      </c>
      <c r="PUX92" t="s">
        <v>103</v>
      </c>
      <c r="PUY92" t="s">
        <v>398</v>
      </c>
      <c r="PUZ92">
        <v>1</v>
      </c>
      <c r="PVA92" t="s">
        <v>438</v>
      </c>
      <c r="PVB92" t="s">
        <v>439</v>
      </c>
      <c r="PVC92" t="s">
        <v>428</v>
      </c>
      <c r="PVE92" t="s">
        <v>104</v>
      </c>
      <c r="PVF92" t="s">
        <v>103</v>
      </c>
      <c r="PVG92" t="s">
        <v>398</v>
      </c>
      <c r="PVH92">
        <v>1</v>
      </c>
      <c r="PVI92" t="s">
        <v>438</v>
      </c>
      <c r="PVJ92" t="s">
        <v>439</v>
      </c>
      <c r="PVK92" t="s">
        <v>428</v>
      </c>
      <c r="PVM92" t="s">
        <v>104</v>
      </c>
      <c r="PVN92" t="s">
        <v>103</v>
      </c>
      <c r="PVO92" t="s">
        <v>398</v>
      </c>
      <c r="PVP92">
        <v>1</v>
      </c>
      <c r="PVQ92" t="s">
        <v>438</v>
      </c>
      <c r="PVR92" t="s">
        <v>439</v>
      </c>
      <c r="PVS92" t="s">
        <v>428</v>
      </c>
      <c r="PVU92" t="s">
        <v>104</v>
      </c>
      <c r="PVV92" t="s">
        <v>103</v>
      </c>
      <c r="PVW92" t="s">
        <v>398</v>
      </c>
      <c r="PVX92">
        <v>1</v>
      </c>
      <c r="PVY92" t="s">
        <v>438</v>
      </c>
      <c r="PVZ92" t="s">
        <v>439</v>
      </c>
      <c r="PWA92" t="s">
        <v>428</v>
      </c>
      <c r="PWC92" t="s">
        <v>104</v>
      </c>
      <c r="PWD92" t="s">
        <v>103</v>
      </c>
      <c r="PWE92" t="s">
        <v>398</v>
      </c>
      <c r="PWF92">
        <v>1</v>
      </c>
      <c r="PWG92" t="s">
        <v>438</v>
      </c>
      <c r="PWH92" t="s">
        <v>439</v>
      </c>
      <c r="PWI92" t="s">
        <v>428</v>
      </c>
      <c r="PWK92" t="s">
        <v>104</v>
      </c>
      <c r="PWL92" t="s">
        <v>103</v>
      </c>
      <c r="PWM92" t="s">
        <v>398</v>
      </c>
      <c r="PWN92">
        <v>1</v>
      </c>
      <c r="PWO92" t="s">
        <v>438</v>
      </c>
      <c r="PWP92" t="s">
        <v>439</v>
      </c>
      <c r="PWQ92" t="s">
        <v>428</v>
      </c>
      <c r="PWS92" t="s">
        <v>104</v>
      </c>
      <c r="PWT92" t="s">
        <v>103</v>
      </c>
      <c r="PWU92" t="s">
        <v>398</v>
      </c>
      <c r="PWV92">
        <v>1</v>
      </c>
      <c r="PWW92" t="s">
        <v>438</v>
      </c>
      <c r="PWX92" t="s">
        <v>439</v>
      </c>
      <c r="PWY92" t="s">
        <v>428</v>
      </c>
      <c r="PXA92" t="s">
        <v>104</v>
      </c>
      <c r="PXB92" t="s">
        <v>103</v>
      </c>
      <c r="PXC92" t="s">
        <v>398</v>
      </c>
      <c r="PXD92">
        <v>1</v>
      </c>
      <c r="PXE92" t="s">
        <v>438</v>
      </c>
      <c r="PXF92" t="s">
        <v>439</v>
      </c>
      <c r="PXG92" t="s">
        <v>428</v>
      </c>
      <c r="PXI92" t="s">
        <v>104</v>
      </c>
      <c r="PXJ92" t="s">
        <v>103</v>
      </c>
      <c r="PXK92" t="s">
        <v>398</v>
      </c>
      <c r="PXL92">
        <v>1</v>
      </c>
      <c r="PXM92" t="s">
        <v>438</v>
      </c>
      <c r="PXN92" t="s">
        <v>439</v>
      </c>
      <c r="PXO92" t="s">
        <v>428</v>
      </c>
      <c r="PXQ92" t="s">
        <v>104</v>
      </c>
      <c r="PXR92" t="s">
        <v>103</v>
      </c>
      <c r="PXS92" t="s">
        <v>398</v>
      </c>
      <c r="PXT92">
        <v>1</v>
      </c>
      <c r="PXU92" t="s">
        <v>438</v>
      </c>
      <c r="PXV92" t="s">
        <v>439</v>
      </c>
      <c r="PXW92" t="s">
        <v>428</v>
      </c>
      <c r="PXY92" t="s">
        <v>104</v>
      </c>
      <c r="PXZ92" t="s">
        <v>103</v>
      </c>
      <c r="PYA92" t="s">
        <v>398</v>
      </c>
      <c r="PYB92">
        <v>1</v>
      </c>
      <c r="PYC92" t="s">
        <v>438</v>
      </c>
      <c r="PYD92" t="s">
        <v>439</v>
      </c>
      <c r="PYE92" t="s">
        <v>428</v>
      </c>
      <c r="PYG92" t="s">
        <v>104</v>
      </c>
      <c r="PYH92" t="s">
        <v>103</v>
      </c>
      <c r="PYI92" t="s">
        <v>398</v>
      </c>
      <c r="PYJ92">
        <v>1</v>
      </c>
      <c r="PYK92" t="s">
        <v>438</v>
      </c>
      <c r="PYL92" t="s">
        <v>439</v>
      </c>
      <c r="PYM92" t="s">
        <v>428</v>
      </c>
      <c r="PYO92" t="s">
        <v>104</v>
      </c>
      <c r="PYP92" t="s">
        <v>103</v>
      </c>
      <c r="PYQ92" t="s">
        <v>398</v>
      </c>
      <c r="PYR92">
        <v>1</v>
      </c>
      <c r="PYS92" t="s">
        <v>438</v>
      </c>
      <c r="PYT92" t="s">
        <v>439</v>
      </c>
      <c r="PYU92" t="s">
        <v>428</v>
      </c>
      <c r="PYW92" t="s">
        <v>104</v>
      </c>
      <c r="PYX92" t="s">
        <v>103</v>
      </c>
      <c r="PYY92" t="s">
        <v>398</v>
      </c>
      <c r="PYZ92">
        <v>1</v>
      </c>
      <c r="PZA92" t="s">
        <v>438</v>
      </c>
      <c r="PZB92" t="s">
        <v>439</v>
      </c>
      <c r="PZC92" t="s">
        <v>428</v>
      </c>
      <c r="PZE92" t="s">
        <v>104</v>
      </c>
      <c r="PZF92" t="s">
        <v>103</v>
      </c>
      <c r="PZG92" t="s">
        <v>398</v>
      </c>
      <c r="PZH92">
        <v>1</v>
      </c>
      <c r="PZI92" t="s">
        <v>438</v>
      </c>
      <c r="PZJ92" t="s">
        <v>439</v>
      </c>
      <c r="PZK92" t="s">
        <v>428</v>
      </c>
      <c r="PZM92" t="s">
        <v>104</v>
      </c>
      <c r="PZN92" t="s">
        <v>103</v>
      </c>
      <c r="PZO92" t="s">
        <v>398</v>
      </c>
      <c r="PZP92">
        <v>1</v>
      </c>
      <c r="PZQ92" t="s">
        <v>438</v>
      </c>
      <c r="PZR92" t="s">
        <v>439</v>
      </c>
      <c r="PZS92" t="s">
        <v>428</v>
      </c>
      <c r="PZU92" t="s">
        <v>104</v>
      </c>
      <c r="PZV92" t="s">
        <v>103</v>
      </c>
      <c r="PZW92" t="s">
        <v>398</v>
      </c>
      <c r="PZX92">
        <v>1</v>
      </c>
      <c r="PZY92" t="s">
        <v>438</v>
      </c>
      <c r="PZZ92" t="s">
        <v>439</v>
      </c>
      <c r="QAA92" t="s">
        <v>428</v>
      </c>
      <c r="QAC92" t="s">
        <v>104</v>
      </c>
      <c r="QAD92" t="s">
        <v>103</v>
      </c>
      <c r="QAE92" t="s">
        <v>398</v>
      </c>
      <c r="QAF92">
        <v>1</v>
      </c>
      <c r="QAG92" t="s">
        <v>438</v>
      </c>
      <c r="QAH92" t="s">
        <v>439</v>
      </c>
      <c r="QAI92" t="s">
        <v>428</v>
      </c>
      <c r="QAK92" t="s">
        <v>104</v>
      </c>
      <c r="QAL92" t="s">
        <v>103</v>
      </c>
      <c r="QAM92" t="s">
        <v>398</v>
      </c>
      <c r="QAN92">
        <v>1</v>
      </c>
      <c r="QAO92" t="s">
        <v>438</v>
      </c>
      <c r="QAP92" t="s">
        <v>439</v>
      </c>
      <c r="QAQ92" t="s">
        <v>428</v>
      </c>
      <c r="QAS92" t="s">
        <v>104</v>
      </c>
      <c r="QAT92" t="s">
        <v>103</v>
      </c>
      <c r="QAU92" t="s">
        <v>398</v>
      </c>
      <c r="QAV92">
        <v>1</v>
      </c>
      <c r="QAW92" t="s">
        <v>438</v>
      </c>
      <c r="QAX92" t="s">
        <v>439</v>
      </c>
      <c r="QAY92" t="s">
        <v>428</v>
      </c>
      <c r="QBA92" t="s">
        <v>104</v>
      </c>
      <c r="QBB92" t="s">
        <v>103</v>
      </c>
      <c r="QBC92" t="s">
        <v>398</v>
      </c>
      <c r="QBD92">
        <v>1</v>
      </c>
      <c r="QBE92" t="s">
        <v>438</v>
      </c>
      <c r="QBF92" t="s">
        <v>439</v>
      </c>
      <c r="QBG92" t="s">
        <v>428</v>
      </c>
      <c r="QBI92" t="s">
        <v>104</v>
      </c>
      <c r="QBJ92" t="s">
        <v>103</v>
      </c>
      <c r="QBK92" t="s">
        <v>398</v>
      </c>
      <c r="QBL92">
        <v>1</v>
      </c>
      <c r="QBM92" t="s">
        <v>438</v>
      </c>
      <c r="QBN92" t="s">
        <v>439</v>
      </c>
      <c r="QBO92" t="s">
        <v>428</v>
      </c>
      <c r="QBQ92" t="s">
        <v>104</v>
      </c>
      <c r="QBR92" t="s">
        <v>103</v>
      </c>
      <c r="QBS92" t="s">
        <v>398</v>
      </c>
      <c r="QBT92">
        <v>1</v>
      </c>
      <c r="QBU92" t="s">
        <v>438</v>
      </c>
      <c r="QBV92" t="s">
        <v>439</v>
      </c>
      <c r="QBW92" t="s">
        <v>428</v>
      </c>
      <c r="QBY92" t="s">
        <v>104</v>
      </c>
      <c r="QBZ92" t="s">
        <v>103</v>
      </c>
      <c r="QCA92" t="s">
        <v>398</v>
      </c>
      <c r="QCB92">
        <v>1</v>
      </c>
      <c r="QCC92" t="s">
        <v>438</v>
      </c>
      <c r="QCD92" t="s">
        <v>439</v>
      </c>
      <c r="QCE92" t="s">
        <v>428</v>
      </c>
      <c r="QCG92" t="s">
        <v>104</v>
      </c>
      <c r="QCH92" t="s">
        <v>103</v>
      </c>
      <c r="QCI92" t="s">
        <v>398</v>
      </c>
      <c r="QCJ92">
        <v>1</v>
      </c>
      <c r="QCK92" t="s">
        <v>438</v>
      </c>
      <c r="QCL92" t="s">
        <v>439</v>
      </c>
      <c r="QCM92" t="s">
        <v>428</v>
      </c>
      <c r="QCO92" t="s">
        <v>104</v>
      </c>
      <c r="QCP92" t="s">
        <v>103</v>
      </c>
      <c r="QCQ92" t="s">
        <v>398</v>
      </c>
      <c r="QCR92">
        <v>1</v>
      </c>
      <c r="QCS92" t="s">
        <v>438</v>
      </c>
      <c r="QCT92" t="s">
        <v>439</v>
      </c>
      <c r="QCU92" t="s">
        <v>428</v>
      </c>
      <c r="QCW92" t="s">
        <v>104</v>
      </c>
      <c r="QCX92" t="s">
        <v>103</v>
      </c>
      <c r="QCY92" t="s">
        <v>398</v>
      </c>
      <c r="QCZ92">
        <v>1</v>
      </c>
      <c r="QDA92" t="s">
        <v>438</v>
      </c>
      <c r="QDB92" t="s">
        <v>439</v>
      </c>
      <c r="QDC92" t="s">
        <v>428</v>
      </c>
      <c r="QDE92" t="s">
        <v>104</v>
      </c>
      <c r="QDF92" t="s">
        <v>103</v>
      </c>
      <c r="QDG92" t="s">
        <v>398</v>
      </c>
      <c r="QDH92">
        <v>1</v>
      </c>
      <c r="QDI92" t="s">
        <v>438</v>
      </c>
      <c r="QDJ92" t="s">
        <v>439</v>
      </c>
      <c r="QDK92" t="s">
        <v>428</v>
      </c>
      <c r="QDM92" t="s">
        <v>104</v>
      </c>
      <c r="QDN92" t="s">
        <v>103</v>
      </c>
      <c r="QDO92" t="s">
        <v>398</v>
      </c>
      <c r="QDP92">
        <v>1</v>
      </c>
      <c r="QDQ92" t="s">
        <v>438</v>
      </c>
      <c r="QDR92" t="s">
        <v>439</v>
      </c>
      <c r="QDS92" t="s">
        <v>428</v>
      </c>
      <c r="QDU92" t="s">
        <v>104</v>
      </c>
      <c r="QDV92" t="s">
        <v>103</v>
      </c>
      <c r="QDW92" t="s">
        <v>398</v>
      </c>
      <c r="QDX92">
        <v>1</v>
      </c>
      <c r="QDY92" t="s">
        <v>438</v>
      </c>
      <c r="QDZ92" t="s">
        <v>439</v>
      </c>
      <c r="QEA92" t="s">
        <v>428</v>
      </c>
      <c r="QEC92" t="s">
        <v>104</v>
      </c>
      <c r="QED92" t="s">
        <v>103</v>
      </c>
      <c r="QEE92" t="s">
        <v>398</v>
      </c>
      <c r="QEF92">
        <v>1</v>
      </c>
      <c r="QEG92" t="s">
        <v>438</v>
      </c>
      <c r="QEH92" t="s">
        <v>439</v>
      </c>
      <c r="QEI92" t="s">
        <v>428</v>
      </c>
      <c r="QEK92" t="s">
        <v>104</v>
      </c>
      <c r="QEL92" t="s">
        <v>103</v>
      </c>
      <c r="QEM92" t="s">
        <v>398</v>
      </c>
      <c r="QEN92">
        <v>1</v>
      </c>
      <c r="QEO92" t="s">
        <v>438</v>
      </c>
      <c r="QEP92" t="s">
        <v>439</v>
      </c>
      <c r="QEQ92" t="s">
        <v>428</v>
      </c>
      <c r="QES92" t="s">
        <v>104</v>
      </c>
      <c r="QET92" t="s">
        <v>103</v>
      </c>
      <c r="QEU92" t="s">
        <v>398</v>
      </c>
      <c r="QEV92">
        <v>1</v>
      </c>
      <c r="QEW92" t="s">
        <v>438</v>
      </c>
      <c r="QEX92" t="s">
        <v>439</v>
      </c>
      <c r="QEY92" t="s">
        <v>428</v>
      </c>
      <c r="QFA92" t="s">
        <v>104</v>
      </c>
      <c r="QFB92" t="s">
        <v>103</v>
      </c>
      <c r="QFC92" t="s">
        <v>398</v>
      </c>
      <c r="QFD92">
        <v>1</v>
      </c>
      <c r="QFE92" t="s">
        <v>438</v>
      </c>
      <c r="QFF92" t="s">
        <v>439</v>
      </c>
      <c r="QFG92" t="s">
        <v>428</v>
      </c>
      <c r="QFI92" t="s">
        <v>104</v>
      </c>
      <c r="QFJ92" t="s">
        <v>103</v>
      </c>
      <c r="QFK92" t="s">
        <v>398</v>
      </c>
      <c r="QFL92">
        <v>1</v>
      </c>
      <c r="QFM92" t="s">
        <v>438</v>
      </c>
      <c r="QFN92" t="s">
        <v>439</v>
      </c>
      <c r="QFO92" t="s">
        <v>428</v>
      </c>
      <c r="QFQ92" t="s">
        <v>104</v>
      </c>
      <c r="QFR92" t="s">
        <v>103</v>
      </c>
      <c r="QFS92" t="s">
        <v>398</v>
      </c>
      <c r="QFT92">
        <v>1</v>
      </c>
      <c r="QFU92" t="s">
        <v>438</v>
      </c>
      <c r="QFV92" t="s">
        <v>439</v>
      </c>
      <c r="QFW92" t="s">
        <v>428</v>
      </c>
      <c r="QFY92" t="s">
        <v>104</v>
      </c>
      <c r="QFZ92" t="s">
        <v>103</v>
      </c>
      <c r="QGA92" t="s">
        <v>398</v>
      </c>
      <c r="QGB92">
        <v>1</v>
      </c>
      <c r="QGC92" t="s">
        <v>438</v>
      </c>
      <c r="QGD92" t="s">
        <v>439</v>
      </c>
      <c r="QGE92" t="s">
        <v>428</v>
      </c>
      <c r="QGG92" t="s">
        <v>104</v>
      </c>
      <c r="QGH92" t="s">
        <v>103</v>
      </c>
      <c r="QGI92" t="s">
        <v>398</v>
      </c>
      <c r="QGJ92">
        <v>1</v>
      </c>
      <c r="QGK92" t="s">
        <v>438</v>
      </c>
      <c r="QGL92" t="s">
        <v>439</v>
      </c>
      <c r="QGM92" t="s">
        <v>428</v>
      </c>
      <c r="QGO92" t="s">
        <v>104</v>
      </c>
      <c r="QGP92" t="s">
        <v>103</v>
      </c>
      <c r="QGQ92" t="s">
        <v>398</v>
      </c>
      <c r="QGR92">
        <v>1</v>
      </c>
      <c r="QGS92" t="s">
        <v>438</v>
      </c>
      <c r="QGT92" t="s">
        <v>439</v>
      </c>
      <c r="QGU92" t="s">
        <v>428</v>
      </c>
      <c r="QGW92" t="s">
        <v>104</v>
      </c>
      <c r="QGX92" t="s">
        <v>103</v>
      </c>
      <c r="QGY92" t="s">
        <v>398</v>
      </c>
      <c r="QGZ92">
        <v>1</v>
      </c>
      <c r="QHA92" t="s">
        <v>438</v>
      </c>
      <c r="QHB92" t="s">
        <v>439</v>
      </c>
      <c r="QHC92" t="s">
        <v>428</v>
      </c>
      <c r="QHE92" t="s">
        <v>104</v>
      </c>
      <c r="QHF92" t="s">
        <v>103</v>
      </c>
      <c r="QHG92" t="s">
        <v>398</v>
      </c>
      <c r="QHH92">
        <v>1</v>
      </c>
      <c r="QHI92" t="s">
        <v>438</v>
      </c>
      <c r="QHJ92" t="s">
        <v>439</v>
      </c>
      <c r="QHK92" t="s">
        <v>428</v>
      </c>
      <c r="QHM92" t="s">
        <v>104</v>
      </c>
      <c r="QHN92" t="s">
        <v>103</v>
      </c>
      <c r="QHO92" t="s">
        <v>398</v>
      </c>
      <c r="QHP92">
        <v>1</v>
      </c>
      <c r="QHQ92" t="s">
        <v>438</v>
      </c>
      <c r="QHR92" t="s">
        <v>439</v>
      </c>
      <c r="QHS92" t="s">
        <v>428</v>
      </c>
      <c r="QHU92" t="s">
        <v>104</v>
      </c>
      <c r="QHV92" t="s">
        <v>103</v>
      </c>
      <c r="QHW92" t="s">
        <v>398</v>
      </c>
      <c r="QHX92">
        <v>1</v>
      </c>
      <c r="QHY92" t="s">
        <v>438</v>
      </c>
      <c r="QHZ92" t="s">
        <v>439</v>
      </c>
      <c r="QIA92" t="s">
        <v>428</v>
      </c>
      <c r="QIC92" t="s">
        <v>104</v>
      </c>
      <c r="QID92" t="s">
        <v>103</v>
      </c>
      <c r="QIE92" t="s">
        <v>398</v>
      </c>
      <c r="QIF92">
        <v>1</v>
      </c>
      <c r="QIG92" t="s">
        <v>438</v>
      </c>
      <c r="QIH92" t="s">
        <v>439</v>
      </c>
      <c r="QII92" t="s">
        <v>428</v>
      </c>
      <c r="QIK92" t="s">
        <v>104</v>
      </c>
      <c r="QIL92" t="s">
        <v>103</v>
      </c>
      <c r="QIM92" t="s">
        <v>398</v>
      </c>
      <c r="QIN92">
        <v>1</v>
      </c>
      <c r="QIO92" t="s">
        <v>438</v>
      </c>
      <c r="QIP92" t="s">
        <v>439</v>
      </c>
      <c r="QIQ92" t="s">
        <v>428</v>
      </c>
      <c r="QIS92" t="s">
        <v>104</v>
      </c>
      <c r="QIT92" t="s">
        <v>103</v>
      </c>
      <c r="QIU92" t="s">
        <v>398</v>
      </c>
      <c r="QIV92">
        <v>1</v>
      </c>
      <c r="QIW92" t="s">
        <v>438</v>
      </c>
      <c r="QIX92" t="s">
        <v>439</v>
      </c>
      <c r="QIY92" t="s">
        <v>428</v>
      </c>
      <c r="QJA92" t="s">
        <v>104</v>
      </c>
      <c r="QJB92" t="s">
        <v>103</v>
      </c>
      <c r="QJC92" t="s">
        <v>398</v>
      </c>
      <c r="QJD92">
        <v>1</v>
      </c>
      <c r="QJE92" t="s">
        <v>438</v>
      </c>
      <c r="QJF92" t="s">
        <v>439</v>
      </c>
      <c r="QJG92" t="s">
        <v>428</v>
      </c>
      <c r="QJI92" t="s">
        <v>104</v>
      </c>
      <c r="QJJ92" t="s">
        <v>103</v>
      </c>
      <c r="QJK92" t="s">
        <v>398</v>
      </c>
      <c r="QJL92">
        <v>1</v>
      </c>
      <c r="QJM92" t="s">
        <v>438</v>
      </c>
      <c r="QJN92" t="s">
        <v>439</v>
      </c>
      <c r="QJO92" t="s">
        <v>428</v>
      </c>
      <c r="QJQ92" t="s">
        <v>104</v>
      </c>
      <c r="QJR92" t="s">
        <v>103</v>
      </c>
      <c r="QJS92" t="s">
        <v>398</v>
      </c>
      <c r="QJT92">
        <v>1</v>
      </c>
      <c r="QJU92" t="s">
        <v>438</v>
      </c>
      <c r="QJV92" t="s">
        <v>439</v>
      </c>
      <c r="QJW92" t="s">
        <v>428</v>
      </c>
      <c r="QJY92" t="s">
        <v>104</v>
      </c>
      <c r="QJZ92" t="s">
        <v>103</v>
      </c>
      <c r="QKA92" t="s">
        <v>398</v>
      </c>
      <c r="QKB92">
        <v>1</v>
      </c>
      <c r="QKC92" t="s">
        <v>438</v>
      </c>
      <c r="QKD92" t="s">
        <v>439</v>
      </c>
      <c r="QKE92" t="s">
        <v>428</v>
      </c>
      <c r="QKG92" t="s">
        <v>104</v>
      </c>
      <c r="QKH92" t="s">
        <v>103</v>
      </c>
      <c r="QKI92" t="s">
        <v>398</v>
      </c>
      <c r="QKJ92">
        <v>1</v>
      </c>
      <c r="QKK92" t="s">
        <v>438</v>
      </c>
      <c r="QKL92" t="s">
        <v>439</v>
      </c>
      <c r="QKM92" t="s">
        <v>428</v>
      </c>
      <c r="QKO92" t="s">
        <v>104</v>
      </c>
      <c r="QKP92" t="s">
        <v>103</v>
      </c>
      <c r="QKQ92" t="s">
        <v>398</v>
      </c>
      <c r="QKR92">
        <v>1</v>
      </c>
      <c r="QKS92" t="s">
        <v>438</v>
      </c>
      <c r="QKT92" t="s">
        <v>439</v>
      </c>
      <c r="QKU92" t="s">
        <v>428</v>
      </c>
      <c r="QKW92" t="s">
        <v>104</v>
      </c>
      <c r="QKX92" t="s">
        <v>103</v>
      </c>
      <c r="QKY92" t="s">
        <v>398</v>
      </c>
      <c r="QKZ92">
        <v>1</v>
      </c>
      <c r="QLA92" t="s">
        <v>438</v>
      </c>
      <c r="QLB92" t="s">
        <v>439</v>
      </c>
      <c r="QLC92" t="s">
        <v>428</v>
      </c>
      <c r="QLE92" t="s">
        <v>104</v>
      </c>
      <c r="QLF92" t="s">
        <v>103</v>
      </c>
      <c r="QLG92" t="s">
        <v>398</v>
      </c>
      <c r="QLH92">
        <v>1</v>
      </c>
      <c r="QLI92" t="s">
        <v>438</v>
      </c>
      <c r="QLJ92" t="s">
        <v>439</v>
      </c>
      <c r="QLK92" t="s">
        <v>428</v>
      </c>
      <c r="QLM92" t="s">
        <v>104</v>
      </c>
      <c r="QLN92" t="s">
        <v>103</v>
      </c>
      <c r="QLO92" t="s">
        <v>398</v>
      </c>
      <c r="QLP92">
        <v>1</v>
      </c>
      <c r="QLQ92" t="s">
        <v>438</v>
      </c>
      <c r="QLR92" t="s">
        <v>439</v>
      </c>
      <c r="QLS92" t="s">
        <v>428</v>
      </c>
      <c r="QLU92" t="s">
        <v>104</v>
      </c>
      <c r="QLV92" t="s">
        <v>103</v>
      </c>
      <c r="QLW92" t="s">
        <v>398</v>
      </c>
      <c r="QLX92">
        <v>1</v>
      </c>
      <c r="QLY92" t="s">
        <v>438</v>
      </c>
      <c r="QLZ92" t="s">
        <v>439</v>
      </c>
      <c r="QMA92" t="s">
        <v>428</v>
      </c>
      <c r="QMC92" t="s">
        <v>104</v>
      </c>
      <c r="QMD92" t="s">
        <v>103</v>
      </c>
      <c r="QME92" t="s">
        <v>398</v>
      </c>
      <c r="QMF92">
        <v>1</v>
      </c>
      <c r="QMG92" t="s">
        <v>438</v>
      </c>
      <c r="QMH92" t="s">
        <v>439</v>
      </c>
      <c r="QMI92" t="s">
        <v>428</v>
      </c>
      <c r="QMK92" t="s">
        <v>104</v>
      </c>
      <c r="QML92" t="s">
        <v>103</v>
      </c>
      <c r="QMM92" t="s">
        <v>398</v>
      </c>
      <c r="QMN92">
        <v>1</v>
      </c>
      <c r="QMO92" t="s">
        <v>438</v>
      </c>
      <c r="QMP92" t="s">
        <v>439</v>
      </c>
      <c r="QMQ92" t="s">
        <v>428</v>
      </c>
      <c r="QMS92" t="s">
        <v>104</v>
      </c>
      <c r="QMT92" t="s">
        <v>103</v>
      </c>
      <c r="QMU92" t="s">
        <v>398</v>
      </c>
      <c r="QMV92">
        <v>1</v>
      </c>
      <c r="QMW92" t="s">
        <v>438</v>
      </c>
      <c r="QMX92" t="s">
        <v>439</v>
      </c>
      <c r="QMY92" t="s">
        <v>428</v>
      </c>
      <c r="QNA92" t="s">
        <v>104</v>
      </c>
      <c r="QNB92" t="s">
        <v>103</v>
      </c>
      <c r="QNC92" t="s">
        <v>398</v>
      </c>
      <c r="QND92">
        <v>1</v>
      </c>
      <c r="QNE92" t="s">
        <v>438</v>
      </c>
      <c r="QNF92" t="s">
        <v>439</v>
      </c>
      <c r="QNG92" t="s">
        <v>428</v>
      </c>
      <c r="QNI92" t="s">
        <v>104</v>
      </c>
      <c r="QNJ92" t="s">
        <v>103</v>
      </c>
      <c r="QNK92" t="s">
        <v>398</v>
      </c>
      <c r="QNL92">
        <v>1</v>
      </c>
      <c r="QNM92" t="s">
        <v>438</v>
      </c>
      <c r="QNN92" t="s">
        <v>439</v>
      </c>
      <c r="QNO92" t="s">
        <v>428</v>
      </c>
      <c r="QNQ92" t="s">
        <v>104</v>
      </c>
      <c r="QNR92" t="s">
        <v>103</v>
      </c>
      <c r="QNS92" t="s">
        <v>398</v>
      </c>
      <c r="QNT92">
        <v>1</v>
      </c>
      <c r="QNU92" t="s">
        <v>438</v>
      </c>
      <c r="QNV92" t="s">
        <v>439</v>
      </c>
      <c r="QNW92" t="s">
        <v>428</v>
      </c>
      <c r="QNY92" t="s">
        <v>104</v>
      </c>
      <c r="QNZ92" t="s">
        <v>103</v>
      </c>
      <c r="QOA92" t="s">
        <v>398</v>
      </c>
      <c r="QOB92">
        <v>1</v>
      </c>
      <c r="QOC92" t="s">
        <v>438</v>
      </c>
      <c r="QOD92" t="s">
        <v>439</v>
      </c>
      <c r="QOE92" t="s">
        <v>428</v>
      </c>
      <c r="QOG92" t="s">
        <v>104</v>
      </c>
      <c r="QOH92" t="s">
        <v>103</v>
      </c>
      <c r="QOI92" t="s">
        <v>398</v>
      </c>
      <c r="QOJ92">
        <v>1</v>
      </c>
      <c r="QOK92" t="s">
        <v>438</v>
      </c>
      <c r="QOL92" t="s">
        <v>439</v>
      </c>
      <c r="QOM92" t="s">
        <v>428</v>
      </c>
      <c r="QOO92" t="s">
        <v>104</v>
      </c>
      <c r="QOP92" t="s">
        <v>103</v>
      </c>
      <c r="QOQ92" t="s">
        <v>398</v>
      </c>
      <c r="QOR92">
        <v>1</v>
      </c>
      <c r="QOS92" t="s">
        <v>438</v>
      </c>
      <c r="QOT92" t="s">
        <v>439</v>
      </c>
      <c r="QOU92" t="s">
        <v>428</v>
      </c>
      <c r="QOW92" t="s">
        <v>104</v>
      </c>
      <c r="QOX92" t="s">
        <v>103</v>
      </c>
      <c r="QOY92" t="s">
        <v>398</v>
      </c>
      <c r="QOZ92">
        <v>1</v>
      </c>
      <c r="QPA92" t="s">
        <v>438</v>
      </c>
      <c r="QPB92" t="s">
        <v>439</v>
      </c>
      <c r="QPC92" t="s">
        <v>428</v>
      </c>
      <c r="QPE92" t="s">
        <v>104</v>
      </c>
      <c r="QPF92" t="s">
        <v>103</v>
      </c>
      <c r="QPG92" t="s">
        <v>398</v>
      </c>
      <c r="QPH92">
        <v>1</v>
      </c>
      <c r="QPI92" t="s">
        <v>438</v>
      </c>
      <c r="QPJ92" t="s">
        <v>439</v>
      </c>
      <c r="QPK92" t="s">
        <v>428</v>
      </c>
      <c r="QPM92" t="s">
        <v>104</v>
      </c>
      <c r="QPN92" t="s">
        <v>103</v>
      </c>
      <c r="QPO92" t="s">
        <v>398</v>
      </c>
      <c r="QPP92">
        <v>1</v>
      </c>
      <c r="QPQ92" t="s">
        <v>438</v>
      </c>
      <c r="QPR92" t="s">
        <v>439</v>
      </c>
      <c r="QPS92" t="s">
        <v>428</v>
      </c>
      <c r="QPU92" t="s">
        <v>104</v>
      </c>
      <c r="QPV92" t="s">
        <v>103</v>
      </c>
      <c r="QPW92" t="s">
        <v>398</v>
      </c>
      <c r="QPX92">
        <v>1</v>
      </c>
      <c r="QPY92" t="s">
        <v>438</v>
      </c>
      <c r="QPZ92" t="s">
        <v>439</v>
      </c>
      <c r="QQA92" t="s">
        <v>428</v>
      </c>
      <c r="QQC92" t="s">
        <v>104</v>
      </c>
      <c r="QQD92" t="s">
        <v>103</v>
      </c>
      <c r="QQE92" t="s">
        <v>398</v>
      </c>
      <c r="QQF92">
        <v>1</v>
      </c>
      <c r="QQG92" t="s">
        <v>438</v>
      </c>
      <c r="QQH92" t="s">
        <v>439</v>
      </c>
      <c r="QQI92" t="s">
        <v>428</v>
      </c>
      <c r="QQK92" t="s">
        <v>104</v>
      </c>
      <c r="QQL92" t="s">
        <v>103</v>
      </c>
      <c r="QQM92" t="s">
        <v>398</v>
      </c>
      <c r="QQN92">
        <v>1</v>
      </c>
      <c r="QQO92" t="s">
        <v>438</v>
      </c>
      <c r="QQP92" t="s">
        <v>439</v>
      </c>
      <c r="QQQ92" t="s">
        <v>428</v>
      </c>
      <c r="QQS92" t="s">
        <v>104</v>
      </c>
      <c r="QQT92" t="s">
        <v>103</v>
      </c>
      <c r="QQU92" t="s">
        <v>398</v>
      </c>
      <c r="QQV92">
        <v>1</v>
      </c>
      <c r="QQW92" t="s">
        <v>438</v>
      </c>
      <c r="QQX92" t="s">
        <v>439</v>
      </c>
      <c r="QQY92" t="s">
        <v>428</v>
      </c>
      <c r="QRA92" t="s">
        <v>104</v>
      </c>
      <c r="QRB92" t="s">
        <v>103</v>
      </c>
      <c r="QRC92" t="s">
        <v>398</v>
      </c>
      <c r="QRD92">
        <v>1</v>
      </c>
      <c r="QRE92" t="s">
        <v>438</v>
      </c>
      <c r="QRF92" t="s">
        <v>439</v>
      </c>
      <c r="QRG92" t="s">
        <v>428</v>
      </c>
      <c r="QRI92" t="s">
        <v>104</v>
      </c>
      <c r="QRJ92" t="s">
        <v>103</v>
      </c>
      <c r="QRK92" t="s">
        <v>398</v>
      </c>
      <c r="QRL92">
        <v>1</v>
      </c>
      <c r="QRM92" t="s">
        <v>438</v>
      </c>
      <c r="QRN92" t="s">
        <v>439</v>
      </c>
      <c r="QRO92" t="s">
        <v>428</v>
      </c>
      <c r="QRQ92" t="s">
        <v>104</v>
      </c>
      <c r="QRR92" t="s">
        <v>103</v>
      </c>
      <c r="QRS92" t="s">
        <v>398</v>
      </c>
      <c r="QRT92">
        <v>1</v>
      </c>
      <c r="QRU92" t="s">
        <v>438</v>
      </c>
      <c r="QRV92" t="s">
        <v>439</v>
      </c>
      <c r="QRW92" t="s">
        <v>428</v>
      </c>
      <c r="QRY92" t="s">
        <v>104</v>
      </c>
      <c r="QRZ92" t="s">
        <v>103</v>
      </c>
      <c r="QSA92" t="s">
        <v>398</v>
      </c>
      <c r="QSB92">
        <v>1</v>
      </c>
      <c r="QSC92" t="s">
        <v>438</v>
      </c>
      <c r="QSD92" t="s">
        <v>439</v>
      </c>
      <c r="QSE92" t="s">
        <v>428</v>
      </c>
      <c r="QSG92" t="s">
        <v>104</v>
      </c>
      <c r="QSH92" t="s">
        <v>103</v>
      </c>
      <c r="QSI92" t="s">
        <v>398</v>
      </c>
      <c r="QSJ92">
        <v>1</v>
      </c>
      <c r="QSK92" t="s">
        <v>438</v>
      </c>
      <c r="QSL92" t="s">
        <v>439</v>
      </c>
      <c r="QSM92" t="s">
        <v>428</v>
      </c>
      <c r="QSO92" t="s">
        <v>104</v>
      </c>
      <c r="QSP92" t="s">
        <v>103</v>
      </c>
      <c r="QSQ92" t="s">
        <v>398</v>
      </c>
      <c r="QSR92">
        <v>1</v>
      </c>
      <c r="QSS92" t="s">
        <v>438</v>
      </c>
      <c r="QST92" t="s">
        <v>439</v>
      </c>
      <c r="QSU92" t="s">
        <v>428</v>
      </c>
      <c r="QSW92" t="s">
        <v>104</v>
      </c>
      <c r="QSX92" t="s">
        <v>103</v>
      </c>
      <c r="QSY92" t="s">
        <v>398</v>
      </c>
      <c r="QSZ92">
        <v>1</v>
      </c>
      <c r="QTA92" t="s">
        <v>438</v>
      </c>
      <c r="QTB92" t="s">
        <v>439</v>
      </c>
      <c r="QTC92" t="s">
        <v>428</v>
      </c>
      <c r="QTE92" t="s">
        <v>104</v>
      </c>
      <c r="QTF92" t="s">
        <v>103</v>
      </c>
      <c r="QTG92" t="s">
        <v>398</v>
      </c>
      <c r="QTH92">
        <v>1</v>
      </c>
      <c r="QTI92" t="s">
        <v>438</v>
      </c>
      <c r="QTJ92" t="s">
        <v>439</v>
      </c>
      <c r="QTK92" t="s">
        <v>428</v>
      </c>
      <c r="QTM92" t="s">
        <v>104</v>
      </c>
      <c r="QTN92" t="s">
        <v>103</v>
      </c>
      <c r="QTO92" t="s">
        <v>398</v>
      </c>
      <c r="QTP92">
        <v>1</v>
      </c>
      <c r="QTQ92" t="s">
        <v>438</v>
      </c>
      <c r="QTR92" t="s">
        <v>439</v>
      </c>
      <c r="QTS92" t="s">
        <v>428</v>
      </c>
      <c r="QTU92" t="s">
        <v>104</v>
      </c>
      <c r="QTV92" t="s">
        <v>103</v>
      </c>
      <c r="QTW92" t="s">
        <v>398</v>
      </c>
      <c r="QTX92">
        <v>1</v>
      </c>
      <c r="QTY92" t="s">
        <v>438</v>
      </c>
      <c r="QTZ92" t="s">
        <v>439</v>
      </c>
      <c r="QUA92" t="s">
        <v>428</v>
      </c>
      <c r="QUC92" t="s">
        <v>104</v>
      </c>
      <c r="QUD92" t="s">
        <v>103</v>
      </c>
      <c r="QUE92" t="s">
        <v>398</v>
      </c>
      <c r="QUF92">
        <v>1</v>
      </c>
      <c r="QUG92" t="s">
        <v>438</v>
      </c>
      <c r="QUH92" t="s">
        <v>439</v>
      </c>
      <c r="QUI92" t="s">
        <v>428</v>
      </c>
      <c r="QUK92" t="s">
        <v>104</v>
      </c>
      <c r="QUL92" t="s">
        <v>103</v>
      </c>
      <c r="QUM92" t="s">
        <v>398</v>
      </c>
      <c r="QUN92">
        <v>1</v>
      </c>
      <c r="QUO92" t="s">
        <v>438</v>
      </c>
      <c r="QUP92" t="s">
        <v>439</v>
      </c>
      <c r="QUQ92" t="s">
        <v>428</v>
      </c>
      <c r="QUS92" t="s">
        <v>104</v>
      </c>
      <c r="QUT92" t="s">
        <v>103</v>
      </c>
      <c r="QUU92" t="s">
        <v>398</v>
      </c>
      <c r="QUV92">
        <v>1</v>
      </c>
      <c r="QUW92" t="s">
        <v>438</v>
      </c>
      <c r="QUX92" t="s">
        <v>439</v>
      </c>
      <c r="QUY92" t="s">
        <v>428</v>
      </c>
      <c r="QVA92" t="s">
        <v>104</v>
      </c>
      <c r="QVB92" t="s">
        <v>103</v>
      </c>
      <c r="QVC92" t="s">
        <v>398</v>
      </c>
      <c r="QVD92">
        <v>1</v>
      </c>
      <c r="QVE92" t="s">
        <v>438</v>
      </c>
      <c r="QVF92" t="s">
        <v>439</v>
      </c>
      <c r="QVG92" t="s">
        <v>428</v>
      </c>
      <c r="QVI92" t="s">
        <v>104</v>
      </c>
      <c r="QVJ92" t="s">
        <v>103</v>
      </c>
      <c r="QVK92" t="s">
        <v>398</v>
      </c>
      <c r="QVL92">
        <v>1</v>
      </c>
      <c r="QVM92" t="s">
        <v>438</v>
      </c>
      <c r="QVN92" t="s">
        <v>439</v>
      </c>
      <c r="QVO92" t="s">
        <v>428</v>
      </c>
      <c r="QVQ92" t="s">
        <v>104</v>
      </c>
      <c r="QVR92" t="s">
        <v>103</v>
      </c>
      <c r="QVS92" t="s">
        <v>398</v>
      </c>
      <c r="QVT92">
        <v>1</v>
      </c>
      <c r="QVU92" t="s">
        <v>438</v>
      </c>
      <c r="QVV92" t="s">
        <v>439</v>
      </c>
      <c r="QVW92" t="s">
        <v>428</v>
      </c>
      <c r="QVY92" t="s">
        <v>104</v>
      </c>
      <c r="QVZ92" t="s">
        <v>103</v>
      </c>
      <c r="QWA92" t="s">
        <v>398</v>
      </c>
      <c r="QWB92">
        <v>1</v>
      </c>
      <c r="QWC92" t="s">
        <v>438</v>
      </c>
      <c r="QWD92" t="s">
        <v>439</v>
      </c>
      <c r="QWE92" t="s">
        <v>428</v>
      </c>
      <c r="QWG92" t="s">
        <v>104</v>
      </c>
      <c r="QWH92" t="s">
        <v>103</v>
      </c>
      <c r="QWI92" t="s">
        <v>398</v>
      </c>
      <c r="QWJ92">
        <v>1</v>
      </c>
      <c r="QWK92" t="s">
        <v>438</v>
      </c>
      <c r="QWL92" t="s">
        <v>439</v>
      </c>
      <c r="QWM92" t="s">
        <v>428</v>
      </c>
      <c r="QWO92" t="s">
        <v>104</v>
      </c>
      <c r="QWP92" t="s">
        <v>103</v>
      </c>
      <c r="QWQ92" t="s">
        <v>398</v>
      </c>
      <c r="QWR92">
        <v>1</v>
      </c>
      <c r="QWS92" t="s">
        <v>438</v>
      </c>
      <c r="QWT92" t="s">
        <v>439</v>
      </c>
      <c r="QWU92" t="s">
        <v>428</v>
      </c>
      <c r="QWW92" t="s">
        <v>104</v>
      </c>
      <c r="QWX92" t="s">
        <v>103</v>
      </c>
      <c r="QWY92" t="s">
        <v>398</v>
      </c>
      <c r="QWZ92">
        <v>1</v>
      </c>
      <c r="QXA92" t="s">
        <v>438</v>
      </c>
      <c r="QXB92" t="s">
        <v>439</v>
      </c>
      <c r="QXC92" t="s">
        <v>428</v>
      </c>
      <c r="QXE92" t="s">
        <v>104</v>
      </c>
      <c r="QXF92" t="s">
        <v>103</v>
      </c>
      <c r="QXG92" t="s">
        <v>398</v>
      </c>
      <c r="QXH92">
        <v>1</v>
      </c>
      <c r="QXI92" t="s">
        <v>438</v>
      </c>
      <c r="QXJ92" t="s">
        <v>439</v>
      </c>
      <c r="QXK92" t="s">
        <v>428</v>
      </c>
      <c r="QXM92" t="s">
        <v>104</v>
      </c>
      <c r="QXN92" t="s">
        <v>103</v>
      </c>
      <c r="QXO92" t="s">
        <v>398</v>
      </c>
      <c r="QXP92">
        <v>1</v>
      </c>
      <c r="QXQ92" t="s">
        <v>438</v>
      </c>
      <c r="QXR92" t="s">
        <v>439</v>
      </c>
      <c r="QXS92" t="s">
        <v>428</v>
      </c>
      <c r="QXU92" t="s">
        <v>104</v>
      </c>
      <c r="QXV92" t="s">
        <v>103</v>
      </c>
      <c r="QXW92" t="s">
        <v>398</v>
      </c>
      <c r="QXX92">
        <v>1</v>
      </c>
      <c r="QXY92" t="s">
        <v>438</v>
      </c>
      <c r="QXZ92" t="s">
        <v>439</v>
      </c>
      <c r="QYA92" t="s">
        <v>428</v>
      </c>
      <c r="QYC92" t="s">
        <v>104</v>
      </c>
      <c r="QYD92" t="s">
        <v>103</v>
      </c>
      <c r="QYE92" t="s">
        <v>398</v>
      </c>
      <c r="QYF92">
        <v>1</v>
      </c>
      <c r="QYG92" t="s">
        <v>438</v>
      </c>
      <c r="QYH92" t="s">
        <v>439</v>
      </c>
      <c r="QYI92" t="s">
        <v>428</v>
      </c>
      <c r="QYK92" t="s">
        <v>104</v>
      </c>
      <c r="QYL92" t="s">
        <v>103</v>
      </c>
      <c r="QYM92" t="s">
        <v>398</v>
      </c>
      <c r="QYN92">
        <v>1</v>
      </c>
      <c r="QYO92" t="s">
        <v>438</v>
      </c>
      <c r="QYP92" t="s">
        <v>439</v>
      </c>
      <c r="QYQ92" t="s">
        <v>428</v>
      </c>
      <c r="QYS92" t="s">
        <v>104</v>
      </c>
      <c r="QYT92" t="s">
        <v>103</v>
      </c>
      <c r="QYU92" t="s">
        <v>398</v>
      </c>
      <c r="QYV92">
        <v>1</v>
      </c>
      <c r="QYW92" t="s">
        <v>438</v>
      </c>
      <c r="QYX92" t="s">
        <v>439</v>
      </c>
      <c r="QYY92" t="s">
        <v>428</v>
      </c>
      <c r="QZA92" t="s">
        <v>104</v>
      </c>
      <c r="QZB92" t="s">
        <v>103</v>
      </c>
      <c r="QZC92" t="s">
        <v>398</v>
      </c>
      <c r="QZD92">
        <v>1</v>
      </c>
      <c r="QZE92" t="s">
        <v>438</v>
      </c>
      <c r="QZF92" t="s">
        <v>439</v>
      </c>
      <c r="QZG92" t="s">
        <v>428</v>
      </c>
      <c r="QZI92" t="s">
        <v>104</v>
      </c>
      <c r="QZJ92" t="s">
        <v>103</v>
      </c>
      <c r="QZK92" t="s">
        <v>398</v>
      </c>
      <c r="QZL92">
        <v>1</v>
      </c>
      <c r="QZM92" t="s">
        <v>438</v>
      </c>
      <c r="QZN92" t="s">
        <v>439</v>
      </c>
      <c r="QZO92" t="s">
        <v>428</v>
      </c>
      <c r="QZQ92" t="s">
        <v>104</v>
      </c>
      <c r="QZR92" t="s">
        <v>103</v>
      </c>
      <c r="QZS92" t="s">
        <v>398</v>
      </c>
      <c r="QZT92">
        <v>1</v>
      </c>
      <c r="QZU92" t="s">
        <v>438</v>
      </c>
      <c r="QZV92" t="s">
        <v>439</v>
      </c>
      <c r="QZW92" t="s">
        <v>428</v>
      </c>
      <c r="QZY92" t="s">
        <v>104</v>
      </c>
      <c r="QZZ92" t="s">
        <v>103</v>
      </c>
      <c r="RAA92" t="s">
        <v>398</v>
      </c>
      <c r="RAB92">
        <v>1</v>
      </c>
      <c r="RAC92" t="s">
        <v>438</v>
      </c>
      <c r="RAD92" t="s">
        <v>439</v>
      </c>
      <c r="RAE92" t="s">
        <v>428</v>
      </c>
      <c r="RAG92" t="s">
        <v>104</v>
      </c>
      <c r="RAH92" t="s">
        <v>103</v>
      </c>
      <c r="RAI92" t="s">
        <v>398</v>
      </c>
      <c r="RAJ92">
        <v>1</v>
      </c>
      <c r="RAK92" t="s">
        <v>438</v>
      </c>
      <c r="RAL92" t="s">
        <v>439</v>
      </c>
      <c r="RAM92" t="s">
        <v>428</v>
      </c>
      <c r="RAO92" t="s">
        <v>104</v>
      </c>
      <c r="RAP92" t="s">
        <v>103</v>
      </c>
      <c r="RAQ92" t="s">
        <v>398</v>
      </c>
      <c r="RAR92">
        <v>1</v>
      </c>
      <c r="RAS92" t="s">
        <v>438</v>
      </c>
      <c r="RAT92" t="s">
        <v>439</v>
      </c>
      <c r="RAU92" t="s">
        <v>428</v>
      </c>
      <c r="RAW92" t="s">
        <v>104</v>
      </c>
      <c r="RAX92" t="s">
        <v>103</v>
      </c>
      <c r="RAY92" t="s">
        <v>398</v>
      </c>
      <c r="RAZ92">
        <v>1</v>
      </c>
      <c r="RBA92" t="s">
        <v>438</v>
      </c>
      <c r="RBB92" t="s">
        <v>439</v>
      </c>
      <c r="RBC92" t="s">
        <v>428</v>
      </c>
      <c r="RBE92" t="s">
        <v>104</v>
      </c>
      <c r="RBF92" t="s">
        <v>103</v>
      </c>
      <c r="RBG92" t="s">
        <v>398</v>
      </c>
      <c r="RBH92">
        <v>1</v>
      </c>
      <c r="RBI92" t="s">
        <v>438</v>
      </c>
      <c r="RBJ92" t="s">
        <v>439</v>
      </c>
      <c r="RBK92" t="s">
        <v>428</v>
      </c>
      <c r="RBM92" t="s">
        <v>104</v>
      </c>
      <c r="RBN92" t="s">
        <v>103</v>
      </c>
      <c r="RBO92" t="s">
        <v>398</v>
      </c>
      <c r="RBP92">
        <v>1</v>
      </c>
      <c r="RBQ92" t="s">
        <v>438</v>
      </c>
      <c r="RBR92" t="s">
        <v>439</v>
      </c>
      <c r="RBS92" t="s">
        <v>428</v>
      </c>
      <c r="RBU92" t="s">
        <v>104</v>
      </c>
      <c r="RBV92" t="s">
        <v>103</v>
      </c>
      <c r="RBW92" t="s">
        <v>398</v>
      </c>
      <c r="RBX92">
        <v>1</v>
      </c>
      <c r="RBY92" t="s">
        <v>438</v>
      </c>
      <c r="RBZ92" t="s">
        <v>439</v>
      </c>
      <c r="RCA92" t="s">
        <v>428</v>
      </c>
      <c r="RCC92" t="s">
        <v>104</v>
      </c>
      <c r="RCD92" t="s">
        <v>103</v>
      </c>
      <c r="RCE92" t="s">
        <v>398</v>
      </c>
      <c r="RCF92">
        <v>1</v>
      </c>
      <c r="RCG92" t="s">
        <v>438</v>
      </c>
      <c r="RCH92" t="s">
        <v>439</v>
      </c>
      <c r="RCI92" t="s">
        <v>428</v>
      </c>
      <c r="RCK92" t="s">
        <v>104</v>
      </c>
      <c r="RCL92" t="s">
        <v>103</v>
      </c>
      <c r="RCM92" t="s">
        <v>398</v>
      </c>
      <c r="RCN92">
        <v>1</v>
      </c>
      <c r="RCO92" t="s">
        <v>438</v>
      </c>
      <c r="RCP92" t="s">
        <v>439</v>
      </c>
      <c r="RCQ92" t="s">
        <v>428</v>
      </c>
      <c r="RCS92" t="s">
        <v>104</v>
      </c>
      <c r="RCT92" t="s">
        <v>103</v>
      </c>
      <c r="RCU92" t="s">
        <v>398</v>
      </c>
      <c r="RCV92">
        <v>1</v>
      </c>
      <c r="RCW92" t="s">
        <v>438</v>
      </c>
      <c r="RCX92" t="s">
        <v>439</v>
      </c>
      <c r="RCY92" t="s">
        <v>428</v>
      </c>
      <c r="RDA92" t="s">
        <v>104</v>
      </c>
      <c r="RDB92" t="s">
        <v>103</v>
      </c>
      <c r="RDC92" t="s">
        <v>398</v>
      </c>
      <c r="RDD92">
        <v>1</v>
      </c>
      <c r="RDE92" t="s">
        <v>438</v>
      </c>
      <c r="RDF92" t="s">
        <v>439</v>
      </c>
      <c r="RDG92" t="s">
        <v>428</v>
      </c>
      <c r="RDI92" t="s">
        <v>104</v>
      </c>
      <c r="RDJ92" t="s">
        <v>103</v>
      </c>
      <c r="RDK92" t="s">
        <v>398</v>
      </c>
      <c r="RDL92">
        <v>1</v>
      </c>
      <c r="RDM92" t="s">
        <v>438</v>
      </c>
      <c r="RDN92" t="s">
        <v>439</v>
      </c>
      <c r="RDO92" t="s">
        <v>428</v>
      </c>
      <c r="RDQ92" t="s">
        <v>104</v>
      </c>
      <c r="RDR92" t="s">
        <v>103</v>
      </c>
      <c r="RDS92" t="s">
        <v>398</v>
      </c>
      <c r="RDT92">
        <v>1</v>
      </c>
      <c r="RDU92" t="s">
        <v>438</v>
      </c>
      <c r="RDV92" t="s">
        <v>439</v>
      </c>
      <c r="RDW92" t="s">
        <v>428</v>
      </c>
      <c r="RDY92" t="s">
        <v>104</v>
      </c>
      <c r="RDZ92" t="s">
        <v>103</v>
      </c>
      <c r="REA92" t="s">
        <v>398</v>
      </c>
      <c r="REB92">
        <v>1</v>
      </c>
      <c r="REC92" t="s">
        <v>438</v>
      </c>
      <c r="RED92" t="s">
        <v>439</v>
      </c>
      <c r="REE92" t="s">
        <v>428</v>
      </c>
      <c r="REG92" t="s">
        <v>104</v>
      </c>
      <c r="REH92" t="s">
        <v>103</v>
      </c>
      <c r="REI92" t="s">
        <v>398</v>
      </c>
      <c r="REJ92">
        <v>1</v>
      </c>
      <c r="REK92" t="s">
        <v>438</v>
      </c>
      <c r="REL92" t="s">
        <v>439</v>
      </c>
      <c r="REM92" t="s">
        <v>428</v>
      </c>
      <c r="REO92" t="s">
        <v>104</v>
      </c>
      <c r="REP92" t="s">
        <v>103</v>
      </c>
      <c r="REQ92" t="s">
        <v>398</v>
      </c>
      <c r="RER92">
        <v>1</v>
      </c>
      <c r="RES92" t="s">
        <v>438</v>
      </c>
      <c r="RET92" t="s">
        <v>439</v>
      </c>
      <c r="REU92" t="s">
        <v>428</v>
      </c>
      <c r="REW92" t="s">
        <v>104</v>
      </c>
      <c r="REX92" t="s">
        <v>103</v>
      </c>
      <c r="REY92" t="s">
        <v>398</v>
      </c>
      <c r="REZ92">
        <v>1</v>
      </c>
      <c r="RFA92" t="s">
        <v>438</v>
      </c>
      <c r="RFB92" t="s">
        <v>439</v>
      </c>
      <c r="RFC92" t="s">
        <v>428</v>
      </c>
      <c r="RFE92" t="s">
        <v>104</v>
      </c>
      <c r="RFF92" t="s">
        <v>103</v>
      </c>
      <c r="RFG92" t="s">
        <v>398</v>
      </c>
      <c r="RFH92">
        <v>1</v>
      </c>
      <c r="RFI92" t="s">
        <v>438</v>
      </c>
      <c r="RFJ92" t="s">
        <v>439</v>
      </c>
      <c r="RFK92" t="s">
        <v>428</v>
      </c>
      <c r="RFM92" t="s">
        <v>104</v>
      </c>
      <c r="RFN92" t="s">
        <v>103</v>
      </c>
      <c r="RFO92" t="s">
        <v>398</v>
      </c>
      <c r="RFP92">
        <v>1</v>
      </c>
      <c r="RFQ92" t="s">
        <v>438</v>
      </c>
      <c r="RFR92" t="s">
        <v>439</v>
      </c>
      <c r="RFS92" t="s">
        <v>428</v>
      </c>
      <c r="RFU92" t="s">
        <v>104</v>
      </c>
      <c r="RFV92" t="s">
        <v>103</v>
      </c>
      <c r="RFW92" t="s">
        <v>398</v>
      </c>
      <c r="RFX92">
        <v>1</v>
      </c>
      <c r="RFY92" t="s">
        <v>438</v>
      </c>
      <c r="RFZ92" t="s">
        <v>439</v>
      </c>
      <c r="RGA92" t="s">
        <v>428</v>
      </c>
      <c r="RGC92" t="s">
        <v>104</v>
      </c>
      <c r="RGD92" t="s">
        <v>103</v>
      </c>
      <c r="RGE92" t="s">
        <v>398</v>
      </c>
      <c r="RGF92">
        <v>1</v>
      </c>
      <c r="RGG92" t="s">
        <v>438</v>
      </c>
      <c r="RGH92" t="s">
        <v>439</v>
      </c>
      <c r="RGI92" t="s">
        <v>428</v>
      </c>
      <c r="RGK92" t="s">
        <v>104</v>
      </c>
      <c r="RGL92" t="s">
        <v>103</v>
      </c>
      <c r="RGM92" t="s">
        <v>398</v>
      </c>
      <c r="RGN92">
        <v>1</v>
      </c>
      <c r="RGO92" t="s">
        <v>438</v>
      </c>
      <c r="RGP92" t="s">
        <v>439</v>
      </c>
      <c r="RGQ92" t="s">
        <v>428</v>
      </c>
      <c r="RGS92" t="s">
        <v>104</v>
      </c>
      <c r="RGT92" t="s">
        <v>103</v>
      </c>
      <c r="RGU92" t="s">
        <v>398</v>
      </c>
      <c r="RGV92">
        <v>1</v>
      </c>
      <c r="RGW92" t="s">
        <v>438</v>
      </c>
      <c r="RGX92" t="s">
        <v>439</v>
      </c>
      <c r="RGY92" t="s">
        <v>428</v>
      </c>
      <c r="RHA92" t="s">
        <v>104</v>
      </c>
      <c r="RHB92" t="s">
        <v>103</v>
      </c>
      <c r="RHC92" t="s">
        <v>398</v>
      </c>
      <c r="RHD92">
        <v>1</v>
      </c>
      <c r="RHE92" t="s">
        <v>438</v>
      </c>
      <c r="RHF92" t="s">
        <v>439</v>
      </c>
      <c r="RHG92" t="s">
        <v>428</v>
      </c>
      <c r="RHI92" t="s">
        <v>104</v>
      </c>
      <c r="RHJ92" t="s">
        <v>103</v>
      </c>
      <c r="RHK92" t="s">
        <v>398</v>
      </c>
      <c r="RHL92">
        <v>1</v>
      </c>
      <c r="RHM92" t="s">
        <v>438</v>
      </c>
      <c r="RHN92" t="s">
        <v>439</v>
      </c>
      <c r="RHO92" t="s">
        <v>428</v>
      </c>
      <c r="RHQ92" t="s">
        <v>104</v>
      </c>
      <c r="RHR92" t="s">
        <v>103</v>
      </c>
      <c r="RHS92" t="s">
        <v>398</v>
      </c>
      <c r="RHT92">
        <v>1</v>
      </c>
      <c r="RHU92" t="s">
        <v>438</v>
      </c>
      <c r="RHV92" t="s">
        <v>439</v>
      </c>
      <c r="RHW92" t="s">
        <v>428</v>
      </c>
      <c r="RHY92" t="s">
        <v>104</v>
      </c>
      <c r="RHZ92" t="s">
        <v>103</v>
      </c>
      <c r="RIA92" t="s">
        <v>398</v>
      </c>
      <c r="RIB92">
        <v>1</v>
      </c>
      <c r="RIC92" t="s">
        <v>438</v>
      </c>
      <c r="RID92" t="s">
        <v>439</v>
      </c>
      <c r="RIE92" t="s">
        <v>428</v>
      </c>
      <c r="RIG92" t="s">
        <v>104</v>
      </c>
      <c r="RIH92" t="s">
        <v>103</v>
      </c>
      <c r="RII92" t="s">
        <v>398</v>
      </c>
      <c r="RIJ92">
        <v>1</v>
      </c>
      <c r="RIK92" t="s">
        <v>438</v>
      </c>
      <c r="RIL92" t="s">
        <v>439</v>
      </c>
      <c r="RIM92" t="s">
        <v>428</v>
      </c>
      <c r="RIO92" t="s">
        <v>104</v>
      </c>
      <c r="RIP92" t="s">
        <v>103</v>
      </c>
      <c r="RIQ92" t="s">
        <v>398</v>
      </c>
      <c r="RIR92">
        <v>1</v>
      </c>
      <c r="RIS92" t="s">
        <v>438</v>
      </c>
      <c r="RIT92" t="s">
        <v>439</v>
      </c>
      <c r="RIU92" t="s">
        <v>428</v>
      </c>
      <c r="RIW92" t="s">
        <v>104</v>
      </c>
      <c r="RIX92" t="s">
        <v>103</v>
      </c>
      <c r="RIY92" t="s">
        <v>398</v>
      </c>
      <c r="RIZ92">
        <v>1</v>
      </c>
      <c r="RJA92" t="s">
        <v>438</v>
      </c>
      <c r="RJB92" t="s">
        <v>439</v>
      </c>
      <c r="RJC92" t="s">
        <v>428</v>
      </c>
      <c r="RJE92" t="s">
        <v>104</v>
      </c>
      <c r="RJF92" t="s">
        <v>103</v>
      </c>
      <c r="RJG92" t="s">
        <v>398</v>
      </c>
      <c r="RJH92">
        <v>1</v>
      </c>
      <c r="RJI92" t="s">
        <v>438</v>
      </c>
      <c r="RJJ92" t="s">
        <v>439</v>
      </c>
      <c r="RJK92" t="s">
        <v>428</v>
      </c>
      <c r="RJM92" t="s">
        <v>104</v>
      </c>
      <c r="RJN92" t="s">
        <v>103</v>
      </c>
      <c r="RJO92" t="s">
        <v>398</v>
      </c>
      <c r="RJP92">
        <v>1</v>
      </c>
      <c r="RJQ92" t="s">
        <v>438</v>
      </c>
      <c r="RJR92" t="s">
        <v>439</v>
      </c>
      <c r="RJS92" t="s">
        <v>428</v>
      </c>
      <c r="RJU92" t="s">
        <v>104</v>
      </c>
      <c r="RJV92" t="s">
        <v>103</v>
      </c>
      <c r="RJW92" t="s">
        <v>398</v>
      </c>
      <c r="RJX92">
        <v>1</v>
      </c>
      <c r="RJY92" t="s">
        <v>438</v>
      </c>
      <c r="RJZ92" t="s">
        <v>439</v>
      </c>
      <c r="RKA92" t="s">
        <v>428</v>
      </c>
      <c r="RKC92" t="s">
        <v>104</v>
      </c>
      <c r="RKD92" t="s">
        <v>103</v>
      </c>
      <c r="RKE92" t="s">
        <v>398</v>
      </c>
      <c r="RKF92">
        <v>1</v>
      </c>
      <c r="RKG92" t="s">
        <v>438</v>
      </c>
      <c r="RKH92" t="s">
        <v>439</v>
      </c>
      <c r="RKI92" t="s">
        <v>428</v>
      </c>
      <c r="RKK92" t="s">
        <v>104</v>
      </c>
      <c r="RKL92" t="s">
        <v>103</v>
      </c>
      <c r="RKM92" t="s">
        <v>398</v>
      </c>
      <c r="RKN92">
        <v>1</v>
      </c>
      <c r="RKO92" t="s">
        <v>438</v>
      </c>
      <c r="RKP92" t="s">
        <v>439</v>
      </c>
      <c r="RKQ92" t="s">
        <v>428</v>
      </c>
      <c r="RKS92" t="s">
        <v>104</v>
      </c>
      <c r="RKT92" t="s">
        <v>103</v>
      </c>
      <c r="RKU92" t="s">
        <v>398</v>
      </c>
      <c r="RKV92">
        <v>1</v>
      </c>
      <c r="RKW92" t="s">
        <v>438</v>
      </c>
      <c r="RKX92" t="s">
        <v>439</v>
      </c>
      <c r="RKY92" t="s">
        <v>428</v>
      </c>
      <c r="RLA92" t="s">
        <v>104</v>
      </c>
      <c r="RLB92" t="s">
        <v>103</v>
      </c>
      <c r="RLC92" t="s">
        <v>398</v>
      </c>
      <c r="RLD92">
        <v>1</v>
      </c>
      <c r="RLE92" t="s">
        <v>438</v>
      </c>
      <c r="RLF92" t="s">
        <v>439</v>
      </c>
      <c r="RLG92" t="s">
        <v>428</v>
      </c>
      <c r="RLI92" t="s">
        <v>104</v>
      </c>
      <c r="RLJ92" t="s">
        <v>103</v>
      </c>
      <c r="RLK92" t="s">
        <v>398</v>
      </c>
      <c r="RLL92">
        <v>1</v>
      </c>
      <c r="RLM92" t="s">
        <v>438</v>
      </c>
      <c r="RLN92" t="s">
        <v>439</v>
      </c>
      <c r="RLO92" t="s">
        <v>428</v>
      </c>
      <c r="RLQ92" t="s">
        <v>104</v>
      </c>
      <c r="RLR92" t="s">
        <v>103</v>
      </c>
      <c r="RLS92" t="s">
        <v>398</v>
      </c>
      <c r="RLT92">
        <v>1</v>
      </c>
      <c r="RLU92" t="s">
        <v>438</v>
      </c>
      <c r="RLV92" t="s">
        <v>439</v>
      </c>
      <c r="RLW92" t="s">
        <v>428</v>
      </c>
      <c r="RLY92" t="s">
        <v>104</v>
      </c>
      <c r="RLZ92" t="s">
        <v>103</v>
      </c>
      <c r="RMA92" t="s">
        <v>398</v>
      </c>
      <c r="RMB92">
        <v>1</v>
      </c>
      <c r="RMC92" t="s">
        <v>438</v>
      </c>
      <c r="RMD92" t="s">
        <v>439</v>
      </c>
      <c r="RME92" t="s">
        <v>428</v>
      </c>
      <c r="RMG92" t="s">
        <v>104</v>
      </c>
      <c r="RMH92" t="s">
        <v>103</v>
      </c>
      <c r="RMI92" t="s">
        <v>398</v>
      </c>
      <c r="RMJ92">
        <v>1</v>
      </c>
      <c r="RMK92" t="s">
        <v>438</v>
      </c>
      <c r="RML92" t="s">
        <v>439</v>
      </c>
      <c r="RMM92" t="s">
        <v>428</v>
      </c>
      <c r="RMO92" t="s">
        <v>104</v>
      </c>
      <c r="RMP92" t="s">
        <v>103</v>
      </c>
      <c r="RMQ92" t="s">
        <v>398</v>
      </c>
      <c r="RMR92">
        <v>1</v>
      </c>
      <c r="RMS92" t="s">
        <v>438</v>
      </c>
      <c r="RMT92" t="s">
        <v>439</v>
      </c>
      <c r="RMU92" t="s">
        <v>428</v>
      </c>
      <c r="RMW92" t="s">
        <v>104</v>
      </c>
      <c r="RMX92" t="s">
        <v>103</v>
      </c>
      <c r="RMY92" t="s">
        <v>398</v>
      </c>
      <c r="RMZ92">
        <v>1</v>
      </c>
      <c r="RNA92" t="s">
        <v>438</v>
      </c>
      <c r="RNB92" t="s">
        <v>439</v>
      </c>
      <c r="RNC92" t="s">
        <v>428</v>
      </c>
      <c r="RNE92" t="s">
        <v>104</v>
      </c>
      <c r="RNF92" t="s">
        <v>103</v>
      </c>
      <c r="RNG92" t="s">
        <v>398</v>
      </c>
      <c r="RNH92">
        <v>1</v>
      </c>
      <c r="RNI92" t="s">
        <v>438</v>
      </c>
      <c r="RNJ92" t="s">
        <v>439</v>
      </c>
      <c r="RNK92" t="s">
        <v>428</v>
      </c>
      <c r="RNM92" t="s">
        <v>104</v>
      </c>
      <c r="RNN92" t="s">
        <v>103</v>
      </c>
      <c r="RNO92" t="s">
        <v>398</v>
      </c>
      <c r="RNP92">
        <v>1</v>
      </c>
      <c r="RNQ92" t="s">
        <v>438</v>
      </c>
      <c r="RNR92" t="s">
        <v>439</v>
      </c>
      <c r="RNS92" t="s">
        <v>428</v>
      </c>
      <c r="RNU92" t="s">
        <v>104</v>
      </c>
      <c r="RNV92" t="s">
        <v>103</v>
      </c>
      <c r="RNW92" t="s">
        <v>398</v>
      </c>
      <c r="RNX92">
        <v>1</v>
      </c>
      <c r="RNY92" t="s">
        <v>438</v>
      </c>
      <c r="RNZ92" t="s">
        <v>439</v>
      </c>
      <c r="ROA92" t="s">
        <v>428</v>
      </c>
      <c r="ROC92" t="s">
        <v>104</v>
      </c>
      <c r="ROD92" t="s">
        <v>103</v>
      </c>
      <c r="ROE92" t="s">
        <v>398</v>
      </c>
      <c r="ROF92">
        <v>1</v>
      </c>
      <c r="ROG92" t="s">
        <v>438</v>
      </c>
      <c r="ROH92" t="s">
        <v>439</v>
      </c>
      <c r="ROI92" t="s">
        <v>428</v>
      </c>
      <c r="ROK92" t="s">
        <v>104</v>
      </c>
      <c r="ROL92" t="s">
        <v>103</v>
      </c>
      <c r="ROM92" t="s">
        <v>398</v>
      </c>
      <c r="RON92">
        <v>1</v>
      </c>
      <c r="ROO92" t="s">
        <v>438</v>
      </c>
      <c r="ROP92" t="s">
        <v>439</v>
      </c>
      <c r="ROQ92" t="s">
        <v>428</v>
      </c>
      <c r="ROS92" t="s">
        <v>104</v>
      </c>
      <c r="ROT92" t="s">
        <v>103</v>
      </c>
      <c r="ROU92" t="s">
        <v>398</v>
      </c>
      <c r="ROV92">
        <v>1</v>
      </c>
      <c r="ROW92" t="s">
        <v>438</v>
      </c>
      <c r="ROX92" t="s">
        <v>439</v>
      </c>
      <c r="ROY92" t="s">
        <v>428</v>
      </c>
      <c r="RPA92" t="s">
        <v>104</v>
      </c>
      <c r="RPB92" t="s">
        <v>103</v>
      </c>
      <c r="RPC92" t="s">
        <v>398</v>
      </c>
      <c r="RPD92">
        <v>1</v>
      </c>
      <c r="RPE92" t="s">
        <v>438</v>
      </c>
      <c r="RPF92" t="s">
        <v>439</v>
      </c>
      <c r="RPG92" t="s">
        <v>428</v>
      </c>
      <c r="RPI92" t="s">
        <v>104</v>
      </c>
      <c r="RPJ92" t="s">
        <v>103</v>
      </c>
      <c r="RPK92" t="s">
        <v>398</v>
      </c>
      <c r="RPL92">
        <v>1</v>
      </c>
      <c r="RPM92" t="s">
        <v>438</v>
      </c>
      <c r="RPN92" t="s">
        <v>439</v>
      </c>
      <c r="RPO92" t="s">
        <v>428</v>
      </c>
      <c r="RPQ92" t="s">
        <v>104</v>
      </c>
      <c r="RPR92" t="s">
        <v>103</v>
      </c>
      <c r="RPS92" t="s">
        <v>398</v>
      </c>
      <c r="RPT92">
        <v>1</v>
      </c>
      <c r="RPU92" t="s">
        <v>438</v>
      </c>
      <c r="RPV92" t="s">
        <v>439</v>
      </c>
      <c r="RPW92" t="s">
        <v>428</v>
      </c>
      <c r="RPY92" t="s">
        <v>104</v>
      </c>
      <c r="RPZ92" t="s">
        <v>103</v>
      </c>
      <c r="RQA92" t="s">
        <v>398</v>
      </c>
      <c r="RQB92">
        <v>1</v>
      </c>
      <c r="RQC92" t="s">
        <v>438</v>
      </c>
      <c r="RQD92" t="s">
        <v>439</v>
      </c>
      <c r="RQE92" t="s">
        <v>428</v>
      </c>
      <c r="RQG92" t="s">
        <v>104</v>
      </c>
      <c r="RQH92" t="s">
        <v>103</v>
      </c>
      <c r="RQI92" t="s">
        <v>398</v>
      </c>
      <c r="RQJ92">
        <v>1</v>
      </c>
      <c r="RQK92" t="s">
        <v>438</v>
      </c>
      <c r="RQL92" t="s">
        <v>439</v>
      </c>
      <c r="RQM92" t="s">
        <v>428</v>
      </c>
      <c r="RQO92" t="s">
        <v>104</v>
      </c>
      <c r="RQP92" t="s">
        <v>103</v>
      </c>
      <c r="RQQ92" t="s">
        <v>398</v>
      </c>
      <c r="RQR92">
        <v>1</v>
      </c>
      <c r="RQS92" t="s">
        <v>438</v>
      </c>
      <c r="RQT92" t="s">
        <v>439</v>
      </c>
      <c r="RQU92" t="s">
        <v>428</v>
      </c>
      <c r="RQW92" t="s">
        <v>104</v>
      </c>
      <c r="RQX92" t="s">
        <v>103</v>
      </c>
      <c r="RQY92" t="s">
        <v>398</v>
      </c>
      <c r="RQZ92">
        <v>1</v>
      </c>
      <c r="RRA92" t="s">
        <v>438</v>
      </c>
      <c r="RRB92" t="s">
        <v>439</v>
      </c>
      <c r="RRC92" t="s">
        <v>428</v>
      </c>
      <c r="RRE92" t="s">
        <v>104</v>
      </c>
      <c r="RRF92" t="s">
        <v>103</v>
      </c>
      <c r="RRG92" t="s">
        <v>398</v>
      </c>
      <c r="RRH92">
        <v>1</v>
      </c>
      <c r="RRI92" t="s">
        <v>438</v>
      </c>
      <c r="RRJ92" t="s">
        <v>439</v>
      </c>
      <c r="RRK92" t="s">
        <v>428</v>
      </c>
      <c r="RRM92" t="s">
        <v>104</v>
      </c>
      <c r="RRN92" t="s">
        <v>103</v>
      </c>
      <c r="RRO92" t="s">
        <v>398</v>
      </c>
      <c r="RRP92">
        <v>1</v>
      </c>
      <c r="RRQ92" t="s">
        <v>438</v>
      </c>
      <c r="RRR92" t="s">
        <v>439</v>
      </c>
      <c r="RRS92" t="s">
        <v>428</v>
      </c>
      <c r="RRU92" t="s">
        <v>104</v>
      </c>
      <c r="RRV92" t="s">
        <v>103</v>
      </c>
      <c r="RRW92" t="s">
        <v>398</v>
      </c>
      <c r="RRX92">
        <v>1</v>
      </c>
      <c r="RRY92" t="s">
        <v>438</v>
      </c>
      <c r="RRZ92" t="s">
        <v>439</v>
      </c>
      <c r="RSA92" t="s">
        <v>428</v>
      </c>
      <c r="RSC92" t="s">
        <v>104</v>
      </c>
      <c r="RSD92" t="s">
        <v>103</v>
      </c>
      <c r="RSE92" t="s">
        <v>398</v>
      </c>
      <c r="RSF92">
        <v>1</v>
      </c>
      <c r="RSG92" t="s">
        <v>438</v>
      </c>
      <c r="RSH92" t="s">
        <v>439</v>
      </c>
      <c r="RSI92" t="s">
        <v>428</v>
      </c>
      <c r="RSK92" t="s">
        <v>104</v>
      </c>
      <c r="RSL92" t="s">
        <v>103</v>
      </c>
      <c r="RSM92" t="s">
        <v>398</v>
      </c>
      <c r="RSN92">
        <v>1</v>
      </c>
      <c r="RSO92" t="s">
        <v>438</v>
      </c>
      <c r="RSP92" t="s">
        <v>439</v>
      </c>
      <c r="RSQ92" t="s">
        <v>428</v>
      </c>
      <c r="RSS92" t="s">
        <v>104</v>
      </c>
      <c r="RST92" t="s">
        <v>103</v>
      </c>
      <c r="RSU92" t="s">
        <v>398</v>
      </c>
      <c r="RSV92">
        <v>1</v>
      </c>
      <c r="RSW92" t="s">
        <v>438</v>
      </c>
      <c r="RSX92" t="s">
        <v>439</v>
      </c>
      <c r="RSY92" t="s">
        <v>428</v>
      </c>
      <c r="RTA92" t="s">
        <v>104</v>
      </c>
      <c r="RTB92" t="s">
        <v>103</v>
      </c>
      <c r="RTC92" t="s">
        <v>398</v>
      </c>
      <c r="RTD92">
        <v>1</v>
      </c>
      <c r="RTE92" t="s">
        <v>438</v>
      </c>
      <c r="RTF92" t="s">
        <v>439</v>
      </c>
      <c r="RTG92" t="s">
        <v>428</v>
      </c>
      <c r="RTI92" t="s">
        <v>104</v>
      </c>
      <c r="RTJ92" t="s">
        <v>103</v>
      </c>
      <c r="RTK92" t="s">
        <v>398</v>
      </c>
      <c r="RTL92">
        <v>1</v>
      </c>
      <c r="RTM92" t="s">
        <v>438</v>
      </c>
      <c r="RTN92" t="s">
        <v>439</v>
      </c>
      <c r="RTO92" t="s">
        <v>428</v>
      </c>
      <c r="RTQ92" t="s">
        <v>104</v>
      </c>
      <c r="RTR92" t="s">
        <v>103</v>
      </c>
      <c r="RTS92" t="s">
        <v>398</v>
      </c>
      <c r="RTT92">
        <v>1</v>
      </c>
      <c r="RTU92" t="s">
        <v>438</v>
      </c>
      <c r="RTV92" t="s">
        <v>439</v>
      </c>
      <c r="RTW92" t="s">
        <v>428</v>
      </c>
      <c r="RTY92" t="s">
        <v>104</v>
      </c>
      <c r="RTZ92" t="s">
        <v>103</v>
      </c>
      <c r="RUA92" t="s">
        <v>398</v>
      </c>
      <c r="RUB92">
        <v>1</v>
      </c>
      <c r="RUC92" t="s">
        <v>438</v>
      </c>
      <c r="RUD92" t="s">
        <v>439</v>
      </c>
      <c r="RUE92" t="s">
        <v>428</v>
      </c>
      <c r="RUG92" t="s">
        <v>104</v>
      </c>
      <c r="RUH92" t="s">
        <v>103</v>
      </c>
      <c r="RUI92" t="s">
        <v>398</v>
      </c>
      <c r="RUJ92">
        <v>1</v>
      </c>
      <c r="RUK92" t="s">
        <v>438</v>
      </c>
      <c r="RUL92" t="s">
        <v>439</v>
      </c>
      <c r="RUM92" t="s">
        <v>428</v>
      </c>
      <c r="RUO92" t="s">
        <v>104</v>
      </c>
      <c r="RUP92" t="s">
        <v>103</v>
      </c>
      <c r="RUQ92" t="s">
        <v>398</v>
      </c>
      <c r="RUR92">
        <v>1</v>
      </c>
      <c r="RUS92" t="s">
        <v>438</v>
      </c>
      <c r="RUT92" t="s">
        <v>439</v>
      </c>
      <c r="RUU92" t="s">
        <v>428</v>
      </c>
      <c r="RUW92" t="s">
        <v>104</v>
      </c>
      <c r="RUX92" t="s">
        <v>103</v>
      </c>
      <c r="RUY92" t="s">
        <v>398</v>
      </c>
      <c r="RUZ92">
        <v>1</v>
      </c>
      <c r="RVA92" t="s">
        <v>438</v>
      </c>
      <c r="RVB92" t="s">
        <v>439</v>
      </c>
      <c r="RVC92" t="s">
        <v>428</v>
      </c>
      <c r="RVE92" t="s">
        <v>104</v>
      </c>
      <c r="RVF92" t="s">
        <v>103</v>
      </c>
      <c r="RVG92" t="s">
        <v>398</v>
      </c>
      <c r="RVH92">
        <v>1</v>
      </c>
      <c r="RVI92" t="s">
        <v>438</v>
      </c>
      <c r="RVJ92" t="s">
        <v>439</v>
      </c>
      <c r="RVK92" t="s">
        <v>428</v>
      </c>
      <c r="RVM92" t="s">
        <v>104</v>
      </c>
      <c r="RVN92" t="s">
        <v>103</v>
      </c>
      <c r="RVO92" t="s">
        <v>398</v>
      </c>
      <c r="RVP92">
        <v>1</v>
      </c>
      <c r="RVQ92" t="s">
        <v>438</v>
      </c>
      <c r="RVR92" t="s">
        <v>439</v>
      </c>
      <c r="RVS92" t="s">
        <v>428</v>
      </c>
      <c r="RVU92" t="s">
        <v>104</v>
      </c>
      <c r="RVV92" t="s">
        <v>103</v>
      </c>
      <c r="RVW92" t="s">
        <v>398</v>
      </c>
      <c r="RVX92">
        <v>1</v>
      </c>
      <c r="RVY92" t="s">
        <v>438</v>
      </c>
      <c r="RVZ92" t="s">
        <v>439</v>
      </c>
      <c r="RWA92" t="s">
        <v>428</v>
      </c>
      <c r="RWC92" t="s">
        <v>104</v>
      </c>
      <c r="RWD92" t="s">
        <v>103</v>
      </c>
      <c r="RWE92" t="s">
        <v>398</v>
      </c>
      <c r="RWF92">
        <v>1</v>
      </c>
      <c r="RWG92" t="s">
        <v>438</v>
      </c>
      <c r="RWH92" t="s">
        <v>439</v>
      </c>
      <c r="RWI92" t="s">
        <v>428</v>
      </c>
      <c r="RWK92" t="s">
        <v>104</v>
      </c>
      <c r="RWL92" t="s">
        <v>103</v>
      </c>
      <c r="RWM92" t="s">
        <v>398</v>
      </c>
      <c r="RWN92">
        <v>1</v>
      </c>
      <c r="RWO92" t="s">
        <v>438</v>
      </c>
      <c r="RWP92" t="s">
        <v>439</v>
      </c>
      <c r="RWQ92" t="s">
        <v>428</v>
      </c>
      <c r="RWS92" t="s">
        <v>104</v>
      </c>
      <c r="RWT92" t="s">
        <v>103</v>
      </c>
      <c r="RWU92" t="s">
        <v>398</v>
      </c>
      <c r="RWV92">
        <v>1</v>
      </c>
      <c r="RWW92" t="s">
        <v>438</v>
      </c>
      <c r="RWX92" t="s">
        <v>439</v>
      </c>
      <c r="RWY92" t="s">
        <v>428</v>
      </c>
      <c r="RXA92" t="s">
        <v>104</v>
      </c>
      <c r="RXB92" t="s">
        <v>103</v>
      </c>
      <c r="RXC92" t="s">
        <v>398</v>
      </c>
      <c r="RXD92">
        <v>1</v>
      </c>
      <c r="RXE92" t="s">
        <v>438</v>
      </c>
      <c r="RXF92" t="s">
        <v>439</v>
      </c>
      <c r="RXG92" t="s">
        <v>428</v>
      </c>
      <c r="RXI92" t="s">
        <v>104</v>
      </c>
      <c r="RXJ92" t="s">
        <v>103</v>
      </c>
      <c r="RXK92" t="s">
        <v>398</v>
      </c>
      <c r="RXL92">
        <v>1</v>
      </c>
      <c r="RXM92" t="s">
        <v>438</v>
      </c>
      <c r="RXN92" t="s">
        <v>439</v>
      </c>
      <c r="RXO92" t="s">
        <v>428</v>
      </c>
      <c r="RXQ92" t="s">
        <v>104</v>
      </c>
      <c r="RXR92" t="s">
        <v>103</v>
      </c>
      <c r="RXS92" t="s">
        <v>398</v>
      </c>
      <c r="RXT92">
        <v>1</v>
      </c>
      <c r="RXU92" t="s">
        <v>438</v>
      </c>
      <c r="RXV92" t="s">
        <v>439</v>
      </c>
      <c r="RXW92" t="s">
        <v>428</v>
      </c>
      <c r="RXY92" t="s">
        <v>104</v>
      </c>
      <c r="RXZ92" t="s">
        <v>103</v>
      </c>
      <c r="RYA92" t="s">
        <v>398</v>
      </c>
      <c r="RYB92">
        <v>1</v>
      </c>
      <c r="RYC92" t="s">
        <v>438</v>
      </c>
      <c r="RYD92" t="s">
        <v>439</v>
      </c>
      <c r="RYE92" t="s">
        <v>428</v>
      </c>
      <c r="RYG92" t="s">
        <v>104</v>
      </c>
      <c r="RYH92" t="s">
        <v>103</v>
      </c>
      <c r="RYI92" t="s">
        <v>398</v>
      </c>
      <c r="RYJ92">
        <v>1</v>
      </c>
      <c r="RYK92" t="s">
        <v>438</v>
      </c>
      <c r="RYL92" t="s">
        <v>439</v>
      </c>
      <c r="RYM92" t="s">
        <v>428</v>
      </c>
      <c r="RYO92" t="s">
        <v>104</v>
      </c>
      <c r="RYP92" t="s">
        <v>103</v>
      </c>
      <c r="RYQ92" t="s">
        <v>398</v>
      </c>
      <c r="RYR92">
        <v>1</v>
      </c>
      <c r="RYS92" t="s">
        <v>438</v>
      </c>
      <c r="RYT92" t="s">
        <v>439</v>
      </c>
      <c r="RYU92" t="s">
        <v>428</v>
      </c>
      <c r="RYW92" t="s">
        <v>104</v>
      </c>
      <c r="RYX92" t="s">
        <v>103</v>
      </c>
      <c r="RYY92" t="s">
        <v>398</v>
      </c>
      <c r="RYZ92">
        <v>1</v>
      </c>
      <c r="RZA92" t="s">
        <v>438</v>
      </c>
      <c r="RZB92" t="s">
        <v>439</v>
      </c>
      <c r="RZC92" t="s">
        <v>428</v>
      </c>
      <c r="RZE92" t="s">
        <v>104</v>
      </c>
      <c r="RZF92" t="s">
        <v>103</v>
      </c>
      <c r="RZG92" t="s">
        <v>398</v>
      </c>
      <c r="RZH92">
        <v>1</v>
      </c>
      <c r="RZI92" t="s">
        <v>438</v>
      </c>
      <c r="RZJ92" t="s">
        <v>439</v>
      </c>
      <c r="RZK92" t="s">
        <v>428</v>
      </c>
      <c r="RZM92" t="s">
        <v>104</v>
      </c>
      <c r="RZN92" t="s">
        <v>103</v>
      </c>
      <c r="RZO92" t="s">
        <v>398</v>
      </c>
      <c r="RZP92">
        <v>1</v>
      </c>
      <c r="RZQ92" t="s">
        <v>438</v>
      </c>
      <c r="RZR92" t="s">
        <v>439</v>
      </c>
      <c r="RZS92" t="s">
        <v>428</v>
      </c>
      <c r="RZU92" t="s">
        <v>104</v>
      </c>
      <c r="RZV92" t="s">
        <v>103</v>
      </c>
      <c r="RZW92" t="s">
        <v>398</v>
      </c>
      <c r="RZX92">
        <v>1</v>
      </c>
      <c r="RZY92" t="s">
        <v>438</v>
      </c>
      <c r="RZZ92" t="s">
        <v>439</v>
      </c>
      <c r="SAA92" t="s">
        <v>428</v>
      </c>
      <c r="SAC92" t="s">
        <v>104</v>
      </c>
      <c r="SAD92" t="s">
        <v>103</v>
      </c>
      <c r="SAE92" t="s">
        <v>398</v>
      </c>
      <c r="SAF92">
        <v>1</v>
      </c>
      <c r="SAG92" t="s">
        <v>438</v>
      </c>
      <c r="SAH92" t="s">
        <v>439</v>
      </c>
      <c r="SAI92" t="s">
        <v>428</v>
      </c>
      <c r="SAK92" t="s">
        <v>104</v>
      </c>
      <c r="SAL92" t="s">
        <v>103</v>
      </c>
      <c r="SAM92" t="s">
        <v>398</v>
      </c>
      <c r="SAN92">
        <v>1</v>
      </c>
      <c r="SAO92" t="s">
        <v>438</v>
      </c>
      <c r="SAP92" t="s">
        <v>439</v>
      </c>
      <c r="SAQ92" t="s">
        <v>428</v>
      </c>
      <c r="SAS92" t="s">
        <v>104</v>
      </c>
      <c r="SAT92" t="s">
        <v>103</v>
      </c>
      <c r="SAU92" t="s">
        <v>398</v>
      </c>
      <c r="SAV92">
        <v>1</v>
      </c>
      <c r="SAW92" t="s">
        <v>438</v>
      </c>
      <c r="SAX92" t="s">
        <v>439</v>
      </c>
      <c r="SAY92" t="s">
        <v>428</v>
      </c>
      <c r="SBA92" t="s">
        <v>104</v>
      </c>
      <c r="SBB92" t="s">
        <v>103</v>
      </c>
      <c r="SBC92" t="s">
        <v>398</v>
      </c>
      <c r="SBD92">
        <v>1</v>
      </c>
      <c r="SBE92" t="s">
        <v>438</v>
      </c>
      <c r="SBF92" t="s">
        <v>439</v>
      </c>
      <c r="SBG92" t="s">
        <v>428</v>
      </c>
      <c r="SBI92" t="s">
        <v>104</v>
      </c>
      <c r="SBJ92" t="s">
        <v>103</v>
      </c>
      <c r="SBK92" t="s">
        <v>398</v>
      </c>
      <c r="SBL92">
        <v>1</v>
      </c>
      <c r="SBM92" t="s">
        <v>438</v>
      </c>
      <c r="SBN92" t="s">
        <v>439</v>
      </c>
      <c r="SBO92" t="s">
        <v>428</v>
      </c>
      <c r="SBQ92" t="s">
        <v>104</v>
      </c>
      <c r="SBR92" t="s">
        <v>103</v>
      </c>
      <c r="SBS92" t="s">
        <v>398</v>
      </c>
      <c r="SBT92">
        <v>1</v>
      </c>
      <c r="SBU92" t="s">
        <v>438</v>
      </c>
      <c r="SBV92" t="s">
        <v>439</v>
      </c>
      <c r="SBW92" t="s">
        <v>428</v>
      </c>
      <c r="SBY92" t="s">
        <v>104</v>
      </c>
      <c r="SBZ92" t="s">
        <v>103</v>
      </c>
      <c r="SCA92" t="s">
        <v>398</v>
      </c>
      <c r="SCB92">
        <v>1</v>
      </c>
      <c r="SCC92" t="s">
        <v>438</v>
      </c>
      <c r="SCD92" t="s">
        <v>439</v>
      </c>
      <c r="SCE92" t="s">
        <v>428</v>
      </c>
      <c r="SCG92" t="s">
        <v>104</v>
      </c>
      <c r="SCH92" t="s">
        <v>103</v>
      </c>
      <c r="SCI92" t="s">
        <v>398</v>
      </c>
      <c r="SCJ92">
        <v>1</v>
      </c>
      <c r="SCK92" t="s">
        <v>438</v>
      </c>
      <c r="SCL92" t="s">
        <v>439</v>
      </c>
      <c r="SCM92" t="s">
        <v>428</v>
      </c>
      <c r="SCO92" t="s">
        <v>104</v>
      </c>
      <c r="SCP92" t="s">
        <v>103</v>
      </c>
      <c r="SCQ92" t="s">
        <v>398</v>
      </c>
      <c r="SCR92">
        <v>1</v>
      </c>
      <c r="SCS92" t="s">
        <v>438</v>
      </c>
      <c r="SCT92" t="s">
        <v>439</v>
      </c>
      <c r="SCU92" t="s">
        <v>428</v>
      </c>
      <c r="SCW92" t="s">
        <v>104</v>
      </c>
      <c r="SCX92" t="s">
        <v>103</v>
      </c>
      <c r="SCY92" t="s">
        <v>398</v>
      </c>
      <c r="SCZ92">
        <v>1</v>
      </c>
      <c r="SDA92" t="s">
        <v>438</v>
      </c>
      <c r="SDB92" t="s">
        <v>439</v>
      </c>
      <c r="SDC92" t="s">
        <v>428</v>
      </c>
      <c r="SDE92" t="s">
        <v>104</v>
      </c>
      <c r="SDF92" t="s">
        <v>103</v>
      </c>
      <c r="SDG92" t="s">
        <v>398</v>
      </c>
      <c r="SDH92">
        <v>1</v>
      </c>
      <c r="SDI92" t="s">
        <v>438</v>
      </c>
      <c r="SDJ92" t="s">
        <v>439</v>
      </c>
      <c r="SDK92" t="s">
        <v>428</v>
      </c>
      <c r="SDM92" t="s">
        <v>104</v>
      </c>
      <c r="SDN92" t="s">
        <v>103</v>
      </c>
      <c r="SDO92" t="s">
        <v>398</v>
      </c>
      <c r="SDP92">
        <v>1</v>
      </c>
      <c r="SDQ92" t="s">
        <v>438</v>
      </c>
      <c r="SDR92" t="s">
        <v>439</v>
      </c>
      <c r="SDS92" t="s">
        <v>428</v>
      </c>
      <c r="SDU92" t="s">
        <v>104</v>
      </c>
      <c r="SDV92" t="s">
        <v>103</v>
      </c>
      <c r="SDW92" t="s">
        <v>398</v>
      </c>
      <c r="SDX92">
        <v>1</v>
      </c>
      <c r="SDY92" t="s">
        <v>438</v>
      </c>
      <c r="SDZ92" t="s">
        <v>439</v>
      </c>
      <c r="SEA92" t="s">
        <v>428</v>
      </c>
      <c r="SEC92" t="s">
        <v>104</v>
      </c>
      <c r="SED92" t="s">
        <v>103</v>
      </c>
      <c r="SEE92" t="s">
        <v>398</v>
      </c>
      <c r="SEF92">
        <v>1</v>
      </c>
      <c r="SEG92" t="s">
        <v>438</v>
      </c>
      <c r="SEH92" t="s">
        <v>439</v>
      </c>
      <c r="SEI92" t="s">
        <v>428</v>
      </c>
      <c r="SEK92" t="s">
        <v>104</v>
      </c>
      <c r="SEL92" t="s">
        <v>103</v>
      </c>
      <c r="SEM92" t="s">
        <v>398</v>
      </c>
      <c r="SEN92">
        <v>1</v>
      </c>
      <c r="SEO92" t="s">
        <v>438</v>
      </c>
      <c r="SEP92" t="s">
        <v>439</v>
      </c>
      <c r="SEQ92" t="s">
        <v>428</v>
      </c>
      <c r="SES92" t="s">
        <v>104</v>
      </c>
      <c r="SET92" t="s">
        <v>103</v>
      </c>
      <c r="SEU92" t="s">
        <v>398</v>
      </c>
      <c r="SEV92">
        <v>1</v>
      </c>
      <c r="SEW92" t="s">
        <v>438</v>
      </c>
      <c r="SEX92" t="s">
        <v>439</v>
      </c>
      <c r="SEY92" t="s">
        <v>428</v>
      </c>
      <c r="SFA92" t="s">
        <v>104</v>
      </c>
      <c r="SFB92" t="s">
        <v>103</v>
      </c>
      <c r="SFC92" t="s">
        <v>398</v>
      </c>
      <c r="SFD92">
        <v>1</v>
      </c>
      <c r="SFE92" t="s">
        <v>438</v>
      </c>
      <c r="SFF92" t="s">
        <v>439</v>
      </c>
      <c r="SFG92" t="s">
        <v>428</v>
      </c>
      <c r="SFI92" t="s">
        <v>104</v>
      </c>
      <c r="SFJ92" t="s">
        <v>103</v>
      </c>
      <c r="SFK92" t="s">
        <v>398</v>
      </c>
      <c r="SFL92">
        <v>1</v>
      </c>
      <c r="SFM92" t="s">
        <v>438</v>
      </c>
      <c r="SFN92" t="s">
        <v>439</v>
      </c>
      <c r="SFO92" t="s">
        <v>428</v>
      </c>
      <c r="SFQ92" t="s">
        <v>104</v>
      </c>
      <c r="SFR92" t="s">
        <v>103</v>
      </c>
      <c r="SFS92" t="s">
        <v>398</v>
      </c>
      <c r="SFT92">
        <v>1</v>
      </c>
      <c r="SFU92" t="s">
        <v>438</v>
      </c>
      <c r="SFV92" t="s">
        <v>439</v>
      </c>
      <c r="SFW92" t="s">
        <v>428</v>
      </c>
      <c r="SFY92" t="s">
        <v>104</v>
      </c>
      <c r="SFZ92" t="s">
        <v>103</v>
      </c>
      <c r="SGA92" t="s">
        <v>398</v>
      </c>
      <c r="SGB92">
        <v>1</v>
      </c>
      <c r="SGC92" t="s">
        <v>438</v>
      </c>
      <c r="SGD92" t="s">
        <v>439</v>
      </c>
      <c r="SGE92" t="s">
        <v>428</v>
      </c>
      <c r="SGG92" t="s">
        <v>104</v>
      </c>
      <c r="SGH92" t="s">
        <v>103</v>
      </c>
      <c r="SGI92" t="s">
        <v>398</v>
      </c>
      <c r="SGJ92">
        <v>1</v>
      </c>
      <c r="SGK92" t="s">
        <v>438</v>
      </c>
      <c r="SGL92" t="s">
        <v>439</v>
      </c>
      <c r="SGM92" t="s">
        <v>428</v>
      </c>
      <c r="SGO92" t="s">
        <v>104</v>
      </c>
      <c r="SGP92" t="s">
        <v>103</v>
      </c>
      <c r="SGQ92" t="s">
        <v>398</v>
      </c>
      <c r="SGR92">
        <v>1</v>
      </c>
      <c r="SGS92" t="s">
        <v>438</v>
      </c>
      <c r="SGT92" t="s">
        <v>439</v>
      </c>
      <c r="SGU92" t="s">
        <v>428</v>
      </c>
      <c r="SGW92" t="s">
        <v>104</v>
      </c>
      <c r="SGX92" t="s">
        <v>103</v>
      </c>
      <c r="SGY92" t="s">
        <v>398</v>
      </c>
      <c r="SGZ92">
        <v>1</v>
      </c>
      <c r="SHA92" t="s">
        <v>438</v>
      </c>
      <c r="SHB92" t="s">
        <v>439</v>
      </c>
      <c r="SHC92" t="s">
        <v>428</v>
      </c>
      <c r="SHE92" t="s">
        <v>104</v>
      </c>
      <c r="SHF92" t="s">
        <v>103</v>
      </c>
      <c r="SHG92" t="s">
        <v>398</v>
      </c>
      <c r="SHH92">
        <v>1</v>
      </c>
      <c r="SHI92" t="s">
        <v>438</v>
      </c>
      <c r="SHJ92" t="s">
        <v>439</v>
      </c>
      <c r="SHK92" t="s">
        <v>428</v>
      </c>
      <c r="SHM92" t="s">
        <v>104</v>
      </c>
      <c r="SHN92" t="s">
        <v>103</v>
      </c>
      <c r="SHO92" t="s">
        <v>398</v>
      </c>
      <c r="SHP92">
        <v>1</v>
      </c>
      <c r="SHQ92" t="s">
        <v>438</v>
      </c>
      <c r="SHR92" t="s">
        <v>439</v>
      </c>
      <c r="SHS92" t="s">
        <v>428</v>
      </c>
      <c r="SHU92" t="s">
        <v>104</v>
      </c>
      <c r="SHV92" t="s">
        <v>103</v>
      </c>
      <c r="SHW92" t="s">
        <v>398</v>
      </c>
      <c r="SHX92">
        <v>1</v>
      </c>
      <c r="SHY92" t="s">
        <v>438</v>
      </c>
      <c r="SHZ92" t="s">
        <v>439</v>
      </c>
      <c r="SIA92" t="s">
        <v>428</v>
      </c>
      <c r="SIC92" t="s">
        <v>104</v>
      </c>
      <c r="SID92" t="s">
        <v>103</v>
      </c>
      <c r="SIE92" t="s">
        <v>398</v>
      </c>
      <c r="SIF92">
        <v>1</v>
      </c>
      <c r="SIG92" t="s">
        <v>438</v>
      </c>
      <c r="SIH92" t="s">
        <v>439</v>
      </c>
      <c r="SII92" t="s">
        <v>428</v>
      </c>
      <c r="SIK92" t="s">
        <v>104</v>
      </c>
      <c r="SIL92" t="s">
        <v>103</v>
      </c>
      <c r="SIM92" t="s">
        <v>398</v>
      </c>
      <c r="SIN92">
        <v>1</v>
      </c>
      <c r="SIO92" t="s">
        <v>438</v>
      </c>
      <c r="SIP92" t="s">
        <v>439</v>
      </c>
      <c r="SIQ92" t="s">
        <v>428</v>
      </c>
      <c r="SIS92" t="s">
        <v>104</v>
      </c>
      <c r="SIT92" t="s">
        <v>103</v>
      </c>
      <c r="SIU92" t="s">
        <v>398</v>
      </c>
      <c r="SIV92">
        <v>1</v>
      </c>
      <c r="SIW92" t="s">
        <v>438</v>
      </c>
      <c r="SIX92" t="s">
        <v>439</v>
      </c>
      <c r="SIY92" t="s">
        <v>428</v>
      </c>
      <c r="SJA92" t="s">
        <v>104</v>
      </c>
      <c r="SJB92" t="s">
        <v>103</v>
      </c>
      <c r="SJC92" t="s">
        <v>398</v>
      </c>
      <c r="SJD92">
        <v>1</v>
      </c>
      <c r="SJE92" t="s">
        <v>438</v>
      </c>
      <c r="SJF92" t="s">
        <v>439</v>
      </c>
      <c r="SJG92" t="s">
        <v>428</v>
      </c>
      <c r="SJI92" t="s">
        <v>104</v>
      </c>
      <c r="SJJ92" t="s">
        <v>103</v>
      </c>
      <c r="SJK92" t="s">
        <v>398</v>
      </c>
      <c r="SJL92">
        <v>1</v>
      </c>
      <c r="SJM92" t="s">
        <v>438</v>
      </c>
      <c r="SJN92" t="s">
        <v>439</v>
      </c>
      <c r="SJO92" t="s">
        <v>428</v>
      </c>
      <c r="SJQ92" t="s">
        <v>104</v>
      </c>
      <c r="SJR92" t="s">
        <v>103</v>
      </c>
      <c r="SJS92" t="s">
        <v>398</v>
      </c>
      <c r="SJT92">
        <v>1</v>
      </c>
      <c r="SJU92" t="s">
        <v>438</v>
      </c>
      <c r="SJV92" t="s">
        <v>439</v>
      </c>
      <c r="SJW92" t="s">
        <v>428</v>
      </c>
      <c r="SJY92" t="s">
        <v>104</v>
      </c>
      <c r="SJZ92" t="s">
        <v>103</v>
      </c>
      <c r="SKA92" t="s">
        <v>398</v>
      </c>
      <c r="SKB92">
        <v>1</v>
      </c>
      <c r="SKC92" t="s">
        <v>438</v>
      </c>
      <c r="SKD92" t="s">
        <v>439</v>
      </c>
      <c r="SKE92" t="s">
        <v>428</v>
      </c>
      <c r="SKG92" t="s">
        <v>104</v>
      </c>
      <c r="SKH92" t="s">
        <v>103</v>
      </c>
      <c r="SKI92" t="s">
        <v>398</v>
      </c>
      <c r="SKJ92">
        <v>1</v>
      </c>
      <c r="SKK92" t="s">
        <v>438</v>
      </c>
      <c r="SKL92" t="s">
        <v>439</v>
      </c>
      <c r="SKM92" t="s">
        <v>428</v>
      </c>
      <c r="SKO92" t="s">
        <v>104</v>
      </c>
      <c r="SKP92" t="s">
        <v>103</v>
      </c>
      <c r="SKQ92" t="s">
        <v>398</v>
      </c>
      <c r="SKR92">
        <v>1</v>
      </c>
      <c r="SKS92" t="s">
        <v>438</v>
      </c>
      <c r="SKT92" t="s">
        <v>439</v>
      </c>
      <c r="SKU92" t="s">
        <v>428</v>
      </c>
      <c r="SKW92" t="s">
        <v>104</v>
      </c>
      <c r="SKX92" t="s">
        <v>103</v>
      </c>
      <c r="SKY92" t="s">
        <v>398</v>
      </c>
      <c r="SKZ92">
        <v>1</v>
      </c>
      <c r="SLA92" t="s">
        <v>438</v>
      </c>
      <c r="SLB92" t="s">
        <v>439</v>
      </c>
      <c r="SLC92" t="s">
        <v>428</v>
      </c>
      <c r="SLE92" t="s">
        <v>104</v>
      </c>
      <c r="SLF92" t="s">
        <v>103</v>
      </c>
      <c r="SLG92" t="s">
        <v>398</v>
      </c>
      <c r="SLH92">
        <v>1</v>
      </c>
      <c r="SLI92" t="s">
        <v>438</v>
      </c>
      <c r="SLJ92" t="s">
        <v>439</v>
      </c>
      <c r="SLK92" t="s">
        <v>428</v>
      </c>
      <c r="SLM92" t="s">
        <v>104</v>
      </c>
      <c r="SLN92" t="s">
        <v>103</v>
      </c>
      <c r="SLO92" t="s">
        <v>398</v>
      </c>
      <c r="SLP92">
        <v>1</v>
      </c>
      <c r="SLQ92" t="s">
        <v>438</v>
      </c>
      <c r="SLR92" t="s">
        <v>439</v>
      </c>
      <c r="SLS92" t="s">
        <v>428</v>
      </c>
      <c r="SLU92" t="s">
        <v>104</v>
      </c>
      <c r="SLV92" t="s">
        <v>103</v>
      </c>
      <c r="SLW92" t="s">
        <v>398</v>
      </c>
      <c r="SLX92">
        <v>1</v>
      </c>
      <c r="SLY92" t="s">
        <v>438</v>
      </c>
      <c r="SLZ92" t="s">
        <v>439</v>
      </c>
      <c r="SMA92" t="s">
        <v>428</v>
      </c>
      <c r="SMC92" t="s">
        <v>104</v>
      </c>
      <c r="SMD92" t="s">
        <v>103</v>
      </c>
      <c r="SME92" t="s">
        <v>398</v>
      </c>
      <c r="SMF92">
        <v>1</v>
      </c>
      <c r="SMG92" t="s">
        <v>438</v>
      </c>
      <c r="SMH92" t="s">
        <v>439</v>
      </c>
      <c r="SMI92" t="s">
        <v>428</v>
      </c>
      <c r="SMK92" t="s">
        <v>104</v>
      </c>
      <c r="SML92" t="s">
        <v>103</v>
      </c>
      <c r="SMM92" t="s">
        <v>398</v>
      </c>
      <c r="SMN92">
        <v>1</v>
      </c>
      <c r="SMO92" t="s">
        <v>438</v>
      </c>
      <c r="SMP92" t="s">
        <v>439</v>
      </c>
      <c r="SMQ92" t="s">
        <v>428</v>
      </c>
      <c r="SMS92" t="s">
        <v>104</v>
      </c>
      <c r="SMT92" t="s">
        <v>103</v>
      </c>
      <c r="SMU92" t="s">
        <v>398</v>
      </c>
      <c r="SMV92">
        <v>1</v>
      </c>
      <c r="SMW92" t="s">
        <v>438</v>
      </c>
      <c r="SMX92" t="s">
        <v>439</v>
      </c>
      <c r="SMY92" t="s">
        <v>428</v>
      </c>
      <c r="SNA92" t="s">
        <v>104</v>
      </c>
      <c r="SNB92" t="s">
        <v>103</v>
      </c>
      <c r="SNC92" t="s">
        <v>398</v>
      </c>
      <c r="SND92">
        <v>1</v>
      </c>
      <c r="SNE92" t="s">
        <v>438</v>
      </c>
      <c r="SNF92" t="s">
        <v>439</v>
      </c>
      <c r="SNG92" t="s">
        <v>428</v>
      </c>
      <c r="SNI92" t="s">
        <v>104</v>
      </c>
      <c r="SNJ92" t="s">
        <v>103</v>
      </c>
      <c r="SNK92" t="s">
        <v>398</v>
      </c>
      <c r="SNL92">
        <v>1</v>
      </c>
      <c r="SNM92" t="s">
        <v>438</v>
      </c>
      <c r="SNN92" t="s">
        <v>439</v>
      </c>
      <c r="SNO92" t="s">
        <v>428</v>
      </c>
      <c r="SNQ92" t="s">
        <v>104</v>
      </c>
      <c r="SNR92" t="s">
        <v>103</v>
      </c>
      <c r="SNS92" t="s">
        <v>398</v>
      </c>
      <c r="SNT92">
        <v>1</v>
      </c>
      <c r="SNU92" t="s">
        <v>438</v>
      </c>
      <c r="SNV92" t="s">
        <v>439</v>
      </c>
      <c r="SNW92" t="s">
        <v>428</v>
      </c>
      <c r="SNY92" t="s">
        <v>104</v>
      </c>
      <c r="SNZ92" t="s">
        <v>103</v>
      </c>
      <c r="SOA92" t="s">
        <v>398</v>
      </c>
      <c r="SOB92">
        <v>1</v>
      </c>
      <c r="SOC92" t="s">
        <v>438</v>
      </c>
      <c r="SOD92" t="s">
        <v>439</v>
      </c>
      <c r="SOE92" t="s">
        <v>428</v>
      </c>
      <c r="SOG92" t="s">
        <v>104</v>
      </c>
      <c r="SOH92" t="s">
        <v>103</v>
      </c>
      <c r="SOI92" t="s">
        <v>398</v>
      </c>
      <c r="SOJ92">
        <v>1</v>
      </c>
      <c r="SOK92" t="s">
        <v>438</v>
      </c>
      <c r="SOL92" t="s">
        <v>439</v>
      </c>
      <c r="SOM92" t="s">
        <v>428</v>
      </c>
      <c r="SOO92" t="s">
        <v>104</v>
      </c>
      <c r="SOP92" t="s">
        <v>103</v>
      </c>
      <c r="SOQ92" t="s">
        <v>398</v>
      </c>
      <c r="SOR92">
        <v>1</v>
      </c>
      <c r="SOS92" t="s">
        <v>438</v>
      </c>
      <c r="SOT92" t="s">
        <v>439</v>
      </c>
      <c r="SOU92" t="s">
        <v>428</v>
      </c>
      <c r="SOW92" t="s">
        <v>104</v>
      </c>
      <c r="SOX92" t="s">
        <v>103</v>
      </c>
      <c r="SOY92" t="s">
        <v>398</v>
      </c>
      <c r="SOZ92">
        <v>1</v>
      </c>
      <c r="SPA92" t="s">
        <v>438</v>
      </c>
      <c r="SPB92" t="s">
        <v>439</v>
      </c>
      <c r="SPC92" t="s">
        <v>428</v>
      </c>
      <c r="SPE92" t="s">
        <v>104</v>
      </c>
      <c r="SPF92" t="s">
        <v>103</v>
      </c>
      <c r="SPG92" t="s">
        <v>398</v>
      </c>
      <c r="SPH92">
        <v>1</v>
      </c>
      <c r="SPI92" t="s">
        <v>438</v>
      </c>
      <c r="SPJ92" t="s">
        <v>439</v>
      </c>
      <c r="SPK92" t="s">
        <v>428</v>
      </c>
      <c r="SPM92" t="s">
        <v>104</v>
      </c>
      <c r="SPN92" t="s">
        <v>103</v>
      </c>
      <c r="SPO92" t="s">
        <v>398</v>
      </c>
      <c r="SPP92">
        <v>1</v>
      </c>
      <c r="SPQ92" t="s">
        <v>438</v>
      </c>
      <c r="SPR92" t="s">
        <v>439</v>
      </c>
      <c r="SPS92" t="s">
        <v>428</v>
      </c>
      <c r="SPU92" t="s">
        <v>104</v>
      </c>
      <c r="SPV92" t="s">
        <v>103</v>
      </c>
      <c r="SPW92" t="s">
        <v>398</v>
      </c>
      <c r="SPX92">
        <v>1</v>
      </c>
      <c r="SPY92" t="s">
        <v>438</v>
      </c>
      <c r="SPZ92" t="s">
        <v>439</v>
      </c>
      <c r="SQA92" t="s">
        <v>428</v>
      </c>
      <c r="SQC92" t="s">
        <v>104</v>
      </c>
      <c r="SQD92" t="s">
        <v>103</v>
      </c>
      <c r="SQE92" t="s">
        <v>398</v>
      </c>
      <c r="SQF92">
        <v>1</v>
      </c>
      <c r="SQG92" t="s">
        <v>438</v>
      </c>
      <c r="SQH92" t="s">
        <v>439</v>
      </c>
      <c r="SQI92" t="s">
        <v>428</v>
      </c>
      <c r="SQK92" t="s">
        <v>104</v>
      </c>
      <c r="SQL92" t="s">
        <v>103</v>
      </c>
      <c r="SQM92" t="s">
        <v>398</v>
      </c>
      <c r="SQN92">
        <v>1</v>
      </c>
      <c r="SQO92" t="s">
        <v>438</v>
      </c>
      <c r="SQP92" t="s">
        <v>439</v>
      </c>
      <c r="SQQ92" t="s">
        <v>428</v>
      </c>
      <c r="SQS92" t="s">
        <v>104</v>
      </c>
      <c r="SQT92" t="s">
        <v>103</v>
      </c>
      <c r="SQU92" t="s">
        <v>398</v>
      </c>
      <c r="SQV92">
        <v>1</v>
      </c>
      <c r="SQW92" t="s">
        <v>438</v>
      </c>
      <c r="SQX92" t="s">
        <v>439</v>
      </c>
      <c r="SQY92" t="s">
        <v>428</v>
      </c>
      <c r="SRA92" t="s">
        <v>104</v>
      </c>
      <c r="SRB92" t="s">
        <v>103</v>
      </c>
      <c r="SRC92" t="s">
        <v>398</v>
      </c>
      <c r="SRD92">
        <v>1</v>
      </c>
      <c r="SRE92" t="s">
        <v>438</v>
      </c>
      <c r="SRF92" t="s">
        <v>439</v>
      </c>
      <c r="SRG92" t="s">
        <v>428</v>
      </c>
      <c r="SRI92" t="s">
        <v>104</v>
      </c>
      <c r="SRJ92" t="s">
        <v>103</v>
      </c>
      <c r="SRK92" t="s">
        <v>398</v>
      </c>
      <c r="SRL92">
        <v>1</v>
      </c>
      <c r="SRM92" t="s">
        <v>438</v>
      </c>
      <c r="SRN92" t="s">
        <v>439</v>
      </c>
      <c r="SRO92" t="s">
        <v>428</v>
      </c>
      <c r="SRQ92" t="s">
        <v>104</v>
      </c>
      <c r="SRR92" t="s">
        <v>103</v>
      </c>
      <c r="SRS92" t="s">
        <v>398</v>
      </c>
      <c r="SRT92">
        <v>1</v>
      </c>
      <c r="SRU92" t="s">
        <v>438</v>
      </c>
      <c r="SRV92" t="s">
        <v>439</v>
      </c>
      <c r="SRW92" t="s">
        <v>428</v>
      </c>
      <c r="SRY92" t="s">
        <v>104</v>
      </c>
      <c r="SRZ92" t="s">
        <v>103</v>
      </c>
      <c r="SSA92" t="s">
        <v>398</v>
      </c>
      <c r="SSB92">
        <v>1</v>
      </c>
      <c r="SSC92" t="s">
        <v>438</v>
      </c>
      <c r="SSD92" t="s">
        <v>439</v>
      </c>
      <c r="SSE92" t="s">
        <v>428</v>
      </c>
      <c r="SSG92" t="s">
        <v>104</v>
      </c>
      <c r="SSH92" t="s">
        <v>103</v>
      </c>
      <c r="SSI92" t="s">
        <v>398</v>
      </c>
      <c r="SSJ92">
        <v>1</v>
      </c>
      <c r="SSK92" t="s">
        <v>438</v>
      </c>
      <c r="SSL92" t="s">
        <v>439</v>
      </c>
      <c r="SSM92" t="s">
        <v>428</v>
      </c>
      <c r="SSO92" t="s">
        <v>104</v>
      </c>
      <c r="SSP92" t="s">
        <v>103</v>
      </c>
      <c r="SSQ92" t="s">
        <v>398</v>
      </c>
      <c r="SSR92">
        <v>1</v>
      </c>
      <c r="SSS92" t="s">
        <v>438</v>
      </c>
      <c r="SST92" t="s">
        <v>439</v>
      </c>
      <c r="SSU92" t="s">
        <v>428</v>
      </c>
      <c r="SSW92" t="s">
        <v>104</v>
      </c>
      <c r="SSX92" t="s">
        <v>103</v>
      </c>
      <c r="SSY92" t="s">
        <v>398</v>
      </c>
      <c r="SSZ92">
        <v>1</v>
      </c>
      <c r="STA92" t="s">
        <v>438</v>
      </c>
      <c r="STB92" t="s">
        <v>439</v>
      </c>
      <c r="STC92" t="s">
        <v>428</v>
      </c>
      <c r="STE92" t="s">
        <v>104</v>
      </c>
      <c r="STF92" t="s">
        <v>103</v>
      </c>
      <c r="STG92" t="s">
        <v>398</v>
      </c>
      <c r="STH92">
        <v>1</v>
      </c>
      <c r="STI92" t="s">
        <v>438</v>
      </c>
      <c r="STJ92" t="s">
        <v>439</v>
      </c>
      <c r="STK92" t="s">
        <v>428</v>
      </c>
      <c r="STM92" t="s">
        <v>104</v>
      </c>
      <c r="STN92" t="s">
        <v>103</v>
      </c>
      <c r="STO92" t="s">
        <v>398</v>
      </c>
      <c r="STP92">
        <v>1</v>
      </c>
      <c r="STQ92" t="s">
        <v>438</v>
      </c>
      <c r="STR92" t="s">
        <v>439</v>
      </c>
      <c r="STS92" t="s">
        <v>428</v>
      </c>
      <c r="STU92" t="s">
        <v>104</v>
      </c>
      <c r="STV92" t="s">
        <v>103</v>
      </c>
      <c r="STW92" t="s">
        <v>398</v>
      </c>
      <c r="STX92">
        <v>1</v>
      </c>
      <c r="STY92" t="s">
        <v>438</v>
      </c>
      <c r="STZ92" t="s">
        <v>439</v>
      </c>
      <c r="SUA92" t="s">
        <v>428</v>
      </c>
      <c r="SUC92" t="s">
        <v>104</v>
      </c>
      <c r="SUD92" t="s">
        <v>103</v>
      </c>
      <c r="SUE92" t="s">
        <v>398</v>
      </c>
      <c r="SUF92">
        <v>1</v>
      </c>
      <c r="SUG92" t="s">
        <v>438</v>
      </c>
      <c r="SUH92" t="s">
        <v>439</v>
      </c>
      <c r="SUI92" t="s">
        <v>428</v>
      </c>
      <c r="SUK92" t="s">
        <v>104</v>
      </c>
      <c r="SUL92" t="s">
        <v>103</v>
      </c>
      <c r="SUM92" t="s">
        <v>398</v>
      </c>
      <c r="SUN92">
        <v>1</v>
      </c>
      <c r="SUO92" t="s">
        <v>438</v>
      </c>
      <c r="SUP92" t="s">
        <v>439</v>
      </c>
      <c r="SUQ92" t="s">
        <v>428</v>
      </c>
      <c r="SUS92" t="s">
        <v>104</v>
      </c>
      <c r="SUT92" t="s">
        <v>103</v>
      </c>
      <c r="SUU92" t="s">
        <v>398</v>
      </c>
      <c r="SUV92">
        <v>1</v>
      </c>
      <c r="SUW92" t="s">
        <v>438</v>
      </c>
      <c r="SUX92" t="s">
        <v>439</v>
      </c>
      <c r="SUY92" t="s">
        <v>428</v>
      </c>
      <c r="SVA92" t="s">
        <v>104</v>
      </c>
      <c r="SVB92" t="s">
        <v>103</v>
      </c>
      <c r="SVC92" t="s">
        <v>398</v>
      </c>
      <c r="SVD92">
        <v>1</v>
      </c>
      <c r="SVE92" t="s">
        <v>438</v>
      </c>
      <c r="SVF92" t="s">
        <v>439</v>
      </c>
      <c r="SVG92" t="s">
        <v>428</v>
      </c>
      <c r="SVI92" t="s">
        <v>104</v>
      </c>
      <c r="SVJ92" t="s">
        <v>103</v>
      </c>
      <c r="SVK92" t="s">
        <v>398</v>
      </c>
      <c r="SVL92">
        <v>1</v>
      </c>
      <c r="SVM92" t="s">
        <v>438</v>
      </c>
      <c r="SVN92" t="s">
        <v>439</v>
      </c>
      <c r="SVO92" t="s">
        <v>428</v>
      </c>
      <c r="SVQ92" t="s">
        <v>104</v>
      </c>
      <c r="SVR92" t="s">
        <v>103</v>
      </c>
      <c r="SVS92" t="s">
        <v>398</v>
      </c>
      <c r="SVT92">
        <v>1</v>
      </c>
      <c r="SVU92" t="s">
        <v>438</v>
      </c>
      <c r="SVV92" t="s">
        <v>439</v>
      </c>
      <c r="SVW92" t="s">
        <v>428</v>
      </c>
      <c r="SVY92" t="s">
        <v>104</v>
      </c>
      <c r="SVZ92" t="s">
        <v>103</v>
      </c>
      <c r="SWA92" t="s">
        <v>398</v>
      </c>
      <c r="SWB92">
        <v>1</v>
      </c>
      <c r="SWC92" t="s">
        <v>438</v>
      </c>
      <c r="SWD92" t="s">
        <v>439</v>
      </c>
      <c r="SWE92" t="s">
        <v>428</v>
      </c>
      <c r="SWG92" t="s">
        <v>104</v>
      </c>
      <c r="SWH92" t="s">
        <v>103</v>
      </c>
      <c r="SWI92" t="s">
        <v>398</v>
      </c>
      <c r="SWJ92">
        <v>1</v>
      </c>
      <c r="SWK92" t="s">
        <v>438</v>
      </c>
      <c r="SWL92" t="s">
        <v>439</v>
      </c>
      <c r="SWM92" t="s">
        <v>428</v>
      </c>
      <c r="SWO92" t="s">
        <v>104</v>
      </c>
      <c r="SWP92" t="s">
        <v>103</v>
      </c>
      <c r="SWQ92" t="s">
        <v>398</v>
      </c>
      <c r="SWR92">
        <v>1</v>
      </c>
      <c r="SWS92" t="s">
        <v>438</v>
      </c>
      <c r="SWT92" t="s">
        <v>439</v>
      </c>
      <c r="SWU92" t="s">
        <v>428</v>
      </c>
      <c r="SWW92" t="s">
        <v>104</v>
      </c>
      <c r="SWX92" t="s">
        <v>103</v>
      </c>
      <c r="SWY92" t="s">
        <v>398</v>
      </c>
      <c r="SWZ92">
        <v>1</v>
      </c>
      <c r="SXA92" t="s">
        <v>438</v>
      </c>
      <c r="SXB92" t="s">
        <v>439</v>
      </c>
      <c r="SXC92" t="s">
        <v>428</v>
      </c>
      <c r="SXE92" t="s">
        <v>104</v>
      </c>
      <c r="SXF92" t="s">
        <v>103</v>
      </c>
      <c r="SXG92" t="s">
        <v>398</v>
      </c>
      <c r="SXH92">
        <v>1</v>
      </c>
      <c r="SXI92" t="s">
        <v>438</v>
      </c>
      <c r="SXJ92" t="s">
        <v>439</v>
      </c>
      <c r="SXK92" t="s">
        <v>428</v>
      </c>
      <c r="SXM92" t="s">
        <v>104</v>
      </c>
      <c r="SXN92" t="s">
        <v>103</v>
      </c>
      <c r="SXO92" t="s">
        <v>398</v>
      </c>
      <c r="SXP92">
        <v>1</v>
      </c>
      <c r="SXQ92" t="s">
        <v>438</v>
      </c>
      <c r="SXR92" t="s">
        <v>439</v>
      </c>
      <c r="SXS92" t="s">
        <v>428</v>
      </c>
      <c r="SXU92" t="s">
        <v>104</v>
      </c>
      <c r="SXV92" t="s">
        <v>103</v>
      </c>
      <c r="SXW92" t="s">
        <v>398</v>
      </c>
      <c r="SXX92">
        <v>1</v>
      </c>
      <c r="SXY92" t="s">
        <v>438</v>
      </c>
      <c r="SXZ92" t="s">
        <v>439</v>
      </c>
      <c r="SYA92" t="s">
        <v>428</v>
      </c>
      <c r="SYC92" t="s">
        <v>104</v>
      </c>
      <c r="SYD92" t="s">
        <v>103</v>
      </c>
      <c r="SYE92" t="s">
        <v>398</v>
      </c>
      <c r="SYF92">
        <v>1</v>
      </c>
      <c r="SYG92" t="s">
        <v>438</v>
      </c>
      <c r="SYH92" t="s">
        <v>439</v>
      </c>
      <c r="SYI92" t="s">
        <v>428</v>
      </c>
      <c r="SYK92" t="s">
        <v>104</v>
      </c>
      <c r="SYL92" t="s">
        <v>103</v>
      </c>
      <c r="SYM92" t="s">
        <v>398</v>
      </c>
      <c r="SYN92">
        <v>1</v>
      </c>
      <c r="SYO92" t="s">
        <v>438</v>
      </c>
      <c r="SYP92" t="s">
        <v>439</v>
      </c>
      <c r="SYQ92" t="s">
        <v>428</v>
      </c>
      <c r="SYS92" t="s">
        <v>104</v>
      </c>
      <c r="SYT92" t="s">
        <v>103</v>
      </c>
      <c r="SYU92" t="s">
        <v>398</v>
      </c>
      <c r="SYV92">
        <v>1</v>
      </c>
      <c r="SYW92" t="s">
        <v>438</v>
      </c>
      <c r="SYX92" t="s">
        <v>439</v>
      </c>
      <c r="SYY92" t="s">
        <v>428</v>
      </c>
      <c r="SZA92" t="s">
        <v>104</v>
      </c>
      <c r="SZB92" t="s">
        <v>103</v>
      </c>
      <c r="SZC92" t="s">
        <v>398</v>
      </c>
      <c r="SZD92">
        <v>1</v>
      </c>
      <c r="SZE92" t="s">
        <v>438</v>
      </c>
      <c r="SZF92" t="s">
        <v>439</v>
      </c>
      <c r="SZG92" t="s">
        <v>428</v>
      </c>
      <c r="SZI92" t="s">
        <v>104</v>
      </c>
      <c r="SZJ92" t="s">
        <v>103</v>
      </c>
      <c r="SZK92" t="s">
        <v>398</v>
      </c>
      <c r="SZL92">
        <v>1</v>
      </c>
      <c r="SZM92" t="s">
        <v>438</v>
      </c>
      <c r="SZN92" t="s">
        <v>439</v>
      </c>
      <c r="SZO92" t="s">
        <v>428</v>
      </c>
      <c r="SZQ92" t="s">
        <v>104</v>
      </c>
      <c r="SZR92" t="s">
        <v>103</v>
      </c>
      <c r="SZS92" t="s">
        <v>398</v>
      </c>
      <c r="SZT92">
        <v>1</v>
      </c>
      <c r="SZU92" t="s">
        <v>438</v>
      </c>
      <c r="SZV92" t="s">
        <v>439</v>
      </c>
      <c r="SZW92" t="s">
        <v>428</v>
      </c>
      <c r="SZY92" t="s">
        <v>104</v>
      </c>
      <c r="SZZ92" t="s">
        <v>103</v>
      </c>
      <c r="TAA92" t="s">
        <v>398</v>
      </c>
      <c r="TAB92">
        <v>1</v>
      </c>
      <c r="TAC92" t="s">
        <v>438</v>
      </c>
      <c r="TAD92" t="s">
        <v>439</v>
      </c>
      <c r="TAE92" t="s">
        <v>428</v>
      </c>
      <c r="TAG92" t="s">
        <v>104</v>
      </c>
      <c r="TAH92" t="s">
        <v>103</v>
      </c>
      <c r="TAI92" t="s">
        <v>398</v>
      </c>
      <c r="TAJ92">
        <v>1</v>
      </c>
      <c r="TAK92" t="s">
        <v>438</v>
      </c>
      <c r="TAL92" t="s">
        <v>439</v>
      </c>
      <c r="TAM92" t="s">
        <v>428</v>
      </c>
      <c r="TAO92" t="s">
        <v>104</v>
      </c>
      <c r="TAP92" t="s">
        <v>103</v>
      </c>
      <c r="TAQ92" t="s">
        <v>398</v>
      </c>
      <c r="TAR92">
        <v>1</v>
      </c>
      <c r="TAS92" t="s">
        <v>438</v>
      </c>
      <c r="TAT92" t="s">
        <v>439</v>
      </c>
      <c r="TAU92" t="s">
        <v>428</v>
      </c>
      <c r="TAW92" t="s">
        <v>104</v>
      </c>
      <c r="TAX92" t="s">
        <v>103</v>
      </c>
      <c r="TAY92" t="s">
        <v>398</v>
      </c>
      <c r="TAZ92">
        <v>1</v>
      </c>
      <c r="TBA92" t="s">
        <v>438</v>
      </c>
      <c r="TBB92" t="s">
        <v>439</v>
      </c>
      <c r="TBC92" t="s">
        <v>428</v>
      </c>
      <c r="TBE92" t="s">
        <v>104</v>
      </c>
      <c r="TBF92" t="s">
        <v>103</v>
      </c>
      <c r="TBG92" t="s">
        <v>398</v>
      </c>
      <c r="TBH92">
        <v>1</v>
      </c>
      <c r="TBI92" t="s">
        <v>438</v>
      </c>
      <c r="TBJ92" t="s">
        <v>439</v>
      </c>
      <c r="TBK92" t="s">
        <v>428</v>
      </c>
      <c r="TBM92" t="s">
        <v>104</v>
      </c>
      <c r="TBN92" t="s">
        <v>103</v>
      </c>
      <c r="TBO92" t="s">
        <v>398</v>
      </c>
      <c r="TBP92">
        <v>1</v>
      </c>
      <c r="TBQ92" t="s">
        <v>438</v>
      </c>
      <c r="TBR92" t="s">
        <v>439</v>
      </c>
      <c r="TBS92" t="s">
        <v>428</v>
      </c>
      <c r="TBU92" t="s">
        <v>104</v>
      </c>
      <c r="TBV92" t="s">
        <v>103</v>
      </c>
      <c r="TBW92" t="s">
        <v>398</v>
      </c>
      <c r="TBX92">
        <v>1</v>
      </c>
      <c r="TBY92" t="s">
        <v>438</v>
      </c>
      <c r="TBZ92" t="s">
        <v>439</v>
      </c>
      <c r="TCA92" t="s">
        <v>428</v>
      </c>
      <c r="TCC92" t="s">
        <v>104</v>
      </c>
      <c r="TCD92" t="s">
        <v>103</v>
      </c>
      <c r="TCE92" t="s">
        <v>398</v>
      </c>
      <c r="TCF92">
        <v>1</v>
      </c>
      <c r="TCG92" t="s">
        <v>438</v>
      </c>
      <c r="TCH92" t="s">
        <v>439</v>
      </c>
      <c r="TCI92" t="s">
        <v>428</v>
      </c>
      <c r="TCK92" t="s">
        <v>104</v>
      </c>
      <c r="TCL92" t="s">
        <v>103</v>
      </c>
      <c r="TCM92" t="s">
        <v>398</v>
      </c>
      <c r="TCN92">
        <v>1</v>
      </c>
      <c r="TCO92" t="s">
        <v>438</v>
      </c>
      <c r="TCP92" t="s">
        <v>439</v>
      </c>
      <c r="TCQ92" t="s">
        <v>428</v>
      </c>
      <c r="TCS92" t="s">
        <v>104</v>
      </c>
      <c r="TCT92" t="s">
        <v>103</v>
      </c>
      <c r="TCU92" t="s">
        <v>398</v>
      </c>
      <c r="TCV92">
        <v>1</v>
      </c>
      <c r="TCW92" t="s">
        <v>438</v>
      </c>
      <c r="TCX92" t="s">
        <v>439</v>
      </c>
      <c r="TCY92" t="s">
        <v>428</v>
      </c>
      <c r="TDA92" t="s">
        <v>104</v>
      </c>
      <c r="TDB92" t="s">
        <v>103</v>
      </c>
      <c r="TDC92" t="s">
        <v>398</v>
      </c>
      <c r="TDD92">
        <v>1</v>
      </c>
      <c r="TDE92" t="s">
        <v>438</v>
      </c>
      <c r="TDF92" t="s">
        <v>439</v>
      </c>
      <c r="TDG92" t="s">
        <v>428</v>
      </c>
      <c r="TDI92" t="s">
        <v>104</v>
      </c>
      <c r="TDJ92" t="s">
        <v>103</v>
      </c>
      <c r="TDK92" t="s">
        <v>398</v>
      </c>
      <c r="TDL92">
        <v>1</v>
      </c>
      <c r="TDM92" t="s">
        <v>438</v>
      </c>
      <c r="TDN92" t="s">
        <v>439</v>
      </c>
      <c r="TDO92" t="s">
        <v>428</v>
      </c>
      <c r="TDQ92" t="s">
        <v>104</v>
      </c>
      <c r="TDR92" t="s">
        <v>103</v>
      </c>
      <c r="TDS92" t="s">
        <v>398</v>
      </c>
      <c r="TDT92">
        <v>1</v>
      </c>
      <c r="TDU92" t="s">
        <v>438</v>
      </c>
      <c r="TDV92" t="s">
        <v>439</v>
      </c>
      <c r="TDW92" t="s">
        <v>428</v>
      </c>
      <c r="TDY92" t="s">
        <v>104</v>
      </c>
      <c r="TDZ92" t="s">
        <v>103</v>
      </c>
      <c r="TEA92" t="s">
        <v>398</v>
      </c>
      <c r="TEB92">
        <v>1</v>
      </c>
      <c r="TEC92" t="s">
        <v>438</v>
      </c>
      <c r="TED92" t="s">
        <v>439</v>
      </c>
      <c r="TEE92" t="s">
        <v>428</v>
      </c>
      <c r="TEG92" t="s">
        <v>104</v>
      </c>
      <c r="TEH92" t="s">
        <v>103</v>
      </c>
      <c r="TEI92" t="s">
        <v>398</v>
      </c>
      <c r="TEJ92">
        <v>1</v>
      </c>
      <c r="TEK92" t="s">
        <v>438</v>
      </c>
      <c r="TEL92" t="s">
        <v>439</v>
      </c>
      <c r="TEM92" t="s">
        <v>428</v>
      </c>
      <c r="TEO92" t="s">
        <v>104</v>
      </c>
      <c r="TEP92" t="s">
        <v>103</v>
      </c>
      <c r="TEQ92" t="s">
        <v>398</v>
      </c>
      <c r="TER92">
        <v>1</v>
      </c>
      <c r="TES92" t="s">
        <v>438</v>
      </c>
      <c r="TET92" t="s">
        <v>439</v>
      </c>
      <c r="TEU92" t="s">
        <v>428</v>
      </c>
      <c r="TEW92" t="s">
        <v>104</v>
      </c>
      <c r="TEX92" t="s">
        <v>103</v>
      </c>
      <c r="TEY92" t="s">
        <v>398</v>
      </c>
      <c r="TEZ92">
        <v>1</v>
      </c>
      <c r="TFA92" t="s">
        <v>438</v>
      </c>
      <c r="TFB92" t="s">
        <v>439</v>
      </c>
      <c r="TFC92" t="s">
        <v>428</v>
      </c>
      <c r="TFE92" t="s">
        <v>104</v>
      </c>
      <c r="TFF92" t="s">
        <v>103</v>
      </c>
      <c r="TFG92" t="s">
        <v>398</v>
      </c>
      <c r="TFH92">
        <v>1</v>
      </c>
      <c r="TFI92" t="s">
        <v>438</v>
      </c>
      <c r="TFJ92" t="s">
        <v>439</v>
      </c>
      <c r="TFK92" t="s">
        <v>428</v>
      </c>
      <c r="TFM92" t="s">
        <v>104</v>
      </c>
      <c r="TFN92" t="s">
        <v>103</v>
      </c>
      <c r="TFO92" t="s">
        <v>398</v>
      </c>
      <c r="TFP92">
        <v>1</v>
      </c>
      <c r="TFQ92" t="s">
        <v>438</v>
      </c>
      <c r="TFR92" t="s">
        <v>439</v>
      </c>
      <c r="TFS92" t="s">
        <v>428</v>
      </c>
      <c r="TFU92" t="s">
        <v>104</v>
      </c>
      <c r="TFV92" t="s">
        <v>103</v>
      </c>
      <c r="TFW92" t="s">
        <v>398</v>
      </c>
      <c r="TFX92">
        <v>1</v>
      </c>
      <c r="TFY92" t="s">
        <v>438</v>
      </c>
      <c r="TFZ92" t="s">
        <v>439</v>
      </c>
      <c r="TGA92" t="s">
        <v>428</v>
      </c>
      <c r="TGC92" t="s">
        <v>104</v>
      </c>
      <c r="TGD92" t="s">
        <v>103</v>
      </c>
      <c r="TGE92" t="s">
        <v>398</v>
      </c>
      <c r="TGF92">
        <v>1</v>
      </c>
      <c r="TGG92" t="s">
        <v>438</v>
      </c>
      <c r="TGH92" t="s">
        <v>439</v>
      </c>
      <c r="TGI92" t="s">
        <v>428</v>
      </c>
      <c r="TGK92" t="s">
        <v>104</v>
      </c>
      <c r="TGL92" t="s">
        <v>103</v>
      </c>
      <c r="TGM92" t="s">
        <v>398</v>
      </c>
      <c r="TGN92">
        <v>1</v>
      </c>
      <c r="TGO92" t="s">
        <v>438</v>
      </c>
      <c r="TGP92" t="s">
        <v>439</v>
      </c>
      <c r="TGQ92" t="s">
        <v>428</v>
      </c>
      <c r="TGS92" t="s">
        <v>104</v>
      </c>
      <c r="TGT92" t="s">
        <v>103</v>
      </c>
      <c r="TGU92" t="s">
        <v>398</v>
      </c>
      <c r="TGV92">
        <v>1</v>
      </c>
      <c r="TGW92" t="s">
        <v>438</v>
      </c>
      <c r="TGX92" t="s">
        <v>439</v>
      </c>
      <c r="TGY92" t="s">
        <v>428</v>
      </c>
      <c r="THA92" t="s">
        <v>104</v>
      </c>
      <c r="THB92" t="s">
        <v>103</v>
      </c>
      <c r="THC92" t="s">
        <v>398</v>
      </c>
      <c r="THD92">
        <v>1</v>
      </c>
      <c r="THE92" t="s">
        <v>438</v>
      </c>
      <c r="THF92" t="s">
        <v>439</v>
      </c>
      <c r="THG92" t="s">
        <v>428</v>
      </c>
      <c r="THI92" t="s">
        <v>104</v>
      </c>
      <c r="THJ92" t="s">
        <v>103</v>
      </c>
      <c r="THK92" t="s">
        <v>398</v>
      </c>
      <c r="THL92">
        <v>1</v>
      </c>
      <c r="THM92" t="s">
        <v>438</v>
      </c>
      <c r="THN92" t="s">
        <v>439</v>
      </c>
      <c r="THO92" t="s">
        <v>428</v>
      </c>
      <c r="THQ92" t="s">
        <v>104</v>
      </c>
      <c r="THR92" t="s">
        <v>103</v>
      </c>
      <c r="THS92" t="s">
        <v>398</v>
      </c>
      <c r="THT92">
        <v>1</v>
      </c>
      <c r="THU92" t="s">
        <v>438</v>
      </c>
      <c r="THV92" t="s">
        <v>439</v>
      </c>
      <c r="THW92" t="s">
        <v>428</v>
      </c>
      <c r="THY92" t="s">
        <v>104</v>
      </c>
      <c r="THZ92" t="s">
        <v>103</v>
      </c>
      <c r="TIA92" t="s">
        <v>398</v>
      </c>
      <c r="TIB92">
        <v>1</v>
      </c>
      <c r="TIC92" t="s">
        <v>438</v>
      </c>
      <c r="TID92" t="s">
        <v>439</v>
      </c>
      <c r="TIE92" t="s">
        <v>428</v>
      </c>
      <c r="TIG92" t="s">
        <v>104</v>
      </c>
      <c r="TIH92" t="s">
        <v>103</v>
      </c>
      <c r="TII92" t="s">
        <v>398</v>
      </c>
      <c r="TIJ92">
        <v>1</v>
      </c>
      <c r="TIK92" t="s">
        <v>438</v>
      </c>
      <c r="TIL92" t="s">
        <v>439</v>
      </c>
      <c r="TIM92" t="s">
        <v>428</v>
      </c>
      <c r="TIO92" t="s">
        <v>104</v>
      </c>
      <c r="TIP92" t="s">
        <v>103</v>
      </c>
      <c r="TIQ92" t="s">
        <v>398</v>
      </c>
      <c r="TIR92">
        <v>1</v>
      </c>
      <c r="TIS92" t="s">
        <v>438</v>
      </c>
      <c r="TIT92" t="s">
        <v>439</v>
      </c>
      <c r="TIU92" t="s">
        <v>428</v>
      </c>
      <c r="TIW92" t="s">
        <v>104</v>
      </c>
      <c r="TIX92" t="s">
        <v>103</v>
      </c>
      <c r="TIY92" t="s">
        <v>398</v>
      </c>
      <c r="TIZ92">
        <v>1</v>
      </c>
      <c r="TJA92" t="s">
        <v>438</v>
      </c>
      <c r="TJB92" t="s">
        <v>439</v>
      </c>
      <c r="TJC92" t="s">
        <v>428</v>
      </c>
      <c r="TJE92" t="s">
        <v>104</v>
      </c>
      <c r="TJF92" t="s">
        <v>103</v>
      </c>
      <c r="TJG92" t="s">
        <v>398</v>
      </c>
      <c r="TJH92">
        <v>1</v>
      </c>
      <c r="TJI92" t="s">
        <v>438</v>
      </c>
      <c r="TJJ92" t="s">
        <v>439</v>
      </c>
      <c r="TJK92" t="s">
        <v>428</v>
      </c>
      <c r="TJM92" t="s">
        <v>104</v>
      </c>
      <c r="TJN92" t="s">
        <v>103</v>
      </c>
      <c r="TJO92" t="s">
        <v>398</v>
      </c>
      <c r="TJP92">
        <v>1</v>
      </c>
      <c r="TJQ92" t="s">
        <v>438</v>
      </c>
      <c r="TJR92" t="s">
        <v>439</v>
      </c>
      <c r="TJS92" t="s">
        <v>428</v>
      </c>
      <c r="TJU92" t="s">
        <v>104</v>
      </c>
      <c r="TJV92" t="s">
        <v>103</v>
      </c>
      <c r="TJW92" t="s">
        <v>398</v>
      </c>
      <c r="TJX92">
        <v>1</v>
      </c>
      <c r="TJY92" t="s">
        <v>438</v>
      </c>
      <c r="TJZ92" t="s">
        <v>439</v>
      </c>
      <c r="TKA92" t="s">
        <v>428</v>
      </c>
      <c r="TKC92" t="s">
        <v>104</v>
      </c>
      <c r="TKD92" t="s">
        <v>103</v>
      </c>
      <c r="TKE92" t="s">
        <v>398</v>
      </c>
      <c r="TKF92">
        <v>1</v>
      </c>
      <c r="TKG92" t="s">
        <v>438</v>
      </c>
      <c r="TKH92" t="s">
        <v>439</v>
      </c>
      <c r="TKI92" t="s">
        <v>428</v>
      </c>
      <c r="TKK92" t="s">
        <v>104</v>
      </c>
      <c r="TKL92" t="s">
        <v>103</v>
      </c>
      <c r="TKM92" t="s">
        <v>398</v>
      </c>
      <c r="TKN92">
        <v>1</v>
      </c>
      <c r="TKO92" t="s">
        <v>438</v>
      </c>
      <c r="TKP92" t="s">
        <v>439</v>
      </c>
      <c r="TKQ92" t="s">
        <v>428</v>
      </c>
      <c r="TKS92" t="s">
        <v>104</v>
      </c>
      <c r="TKT92" t="s">
        <v>103</v>
      </c>
      <c r="TKU92" t="s">
        <v>398</v>
      </c>
      <c r="TKV92">
        <v>1</v>
      </c>
      <c r="TKW92" t="s">
        <v>438</v>
      </c>
      <c r="TKX92" t="s">
        <v>439</v>
      </c>
      <c r="TKY92" t="s">
        <v>428</v>
      </c>
      <c r="TLA92" t="s">
        <v>104</v>
      </c>
      <c r="TLB92" t="s">
        <v>103</v>
      </c>
      <c r="TLC92" t="s">
        <v>398</v>
      </c>
      <c r="TLD92">
        <v>1</v>
      </c>
      <c r="TLE92" t="s">
        <v>438</v>
      </c>
      <c r="TLF92" t="s">
        <v>439</v>
      </c>
      <c r="TLG92" t="s">
        <v>428</v>
      </c>
      <c r="TLI92" t="s">
        <v>104</v>
      </c>
      <c r="TLJ92" t="s">
        <v>103</v>
      </c>
      <c r="TLK92" t="s">
        <v>398</v>
      </c>
      <c r="TLL92">
        <v>1</v>
      </c>
      <c r="TLM92" t="s">
        <v>438</v>
      </c>
      <c r="TLN92" t="s">
        <v>439</v>
      </c>
      <c r="TLO92" t="s">
        <v>428</v>
      </c>
      <c r="TLQ92" t="s">
        <v>104</v>
      </c>
      <c r="TLR92" t="s">
        <v>103</v>
      </c>
      <c r="TLS92" t="s">
        <v>398</v>
      </c>
      <c r="TLT92">
        <v>1</v>
      </c>
      <c r="TLU92" t="s">
        <v>438</v>
      </c>
      <c r="TLV92" t="s">
        <v>439</v>
      </c>
      <c r="TLW92" t="s">
        <v>428</v>
      </c>
      <c r="TLY92" t="s">
        <v>104</v>
      </c>
      <c r="TLZ92" t="s">
        <v>103</v>
      </c>
      <c r="TMA92" t="s">
        <v>398</v>
      </c>
      <c r="TMB92">
        <v>1</v>
      </c>
      <c r="TMC92" t="s">
        <v>438</v>
      </c>
      <c r="TMD92" t="s">
        <v>439</v>
      </c>
      <c r="TME92" t="s">
        <v>428</v>
      </c>
      <c r="TMG92" t="s">
        <v>104</v>
      </c>
      <c r="TMH92" t="s">
        <v>103</v>
      </c>
      <c r="TMI92" t="s">
        <v>398</v>
      </c>
      <c r="TMJ92">
        <v>1</v>
      </c>
      <c r="TMK92" t="s">
        <v>438</v>
      </c>
      <c r="TML92" t="s">
        <v>439</v>
      </c>
      <c r="TMM92" t="s">
        <v>428</v>
      </c>
      <c r="TMO92" t="s">
        <v>104</v>
      </c>
      <c r="TMP92" t="s">
        <v>103</v>
      </c>
      <c r="TMQ92" t="s">
        <v>398</v>
      </c>
      <c r="TMR92">
        <v>1</v>
      </c>
      <c r="TMS92" t="s">
        <v>438</v>
      </c>
      <c r="TMT92" t="s">
        <v>439</v>
      </c>
      <c r="TMU92" t="s">
        <v>428</v>
      </c>
      <c r="TMW92" t="s">
        <v>104</v>
      </c>
      <c r="TMX92" t="s">
        <v>103</v>
      </c>
      <c r="TMY92" t="s">
        <v>398</v>
      </c>
      <c r="TMZ92">
        <v>1</v>
      </c>
      <c r="TNA92" t="s">
        <v>438</v>
      </c>
      <c r="TNB92" t="s">
        <v>439</v>
      </c>
      <c r="TNC92" t="s">
        <v>428</v>
      </c>
      <c r="TNE92" t="s">
        <v>104</v>
      </c>
      <c r="TNF92" t="s">
        <v>103</v>
      </c>
      <c r="TNG92" t="s">
        <v>398</v>
      </c>
      <c r="TNH92">
        <v>1</v>
      </c>
      <c r="TNI92" t="s">
        <v>438</v>
      </c>
      <c r="TNJ92" t="s">
        <v>439</v>
      </c>
      <c r="TNK92" t="s">
        <v>428</v>
      </c>
      <c r="TNM92" t="s">
        <v>104</v>
      </c>
      <c r="TNN92" t="s">
        <v>103</v>
      </c>
      <c r="TNO92" t="s">
        <v>398</v>
      </c>
      <c r="TNP92">
        <v>1</v>
      </c>
      <c r="TNQ92" t="s">
        <v>438</v>
      </c>
      <c r="TNR92" t="s">
        <v>439</v>
      </c>
      <c r="TNS92" t="s">
        <v>428</v>
      </c>
      <c r="TNU92" t="s">
        <v>104</v>
      </c>
      <c r="TNV92" t="s">
        <v>103</v>
      </c>
      <c r="TNW92" t="s">
        <v>398</v>
      </c>
      <c r="TNX92">
        <v>1</v>
      </c>
      <c r="TNY92" t="s">
        <v>438</v>
      </c>
      <c r="TNZ92" t="s">
        <v>439</v>
      </c>
      <c r="TOA92" t="s">
        <v>428</v>
      </c>
      <c r="TOC92" t="s">
        <v>104</v>
      </c>
      <c r="TOD92" t="s">
        <v>103</v>
      </c>
      <c r="TOE92" t="s">
        <v>398</v>
      </c>
      <c r="TOF92">
        <v>1</v>
      </c>
      <c r="TOG92" t="s">
        <v>438</v>
      </c>
      <c r="TOH92" t="s">
        <v>439</v>
      </c>
      <c r="TOI92" t="s">
        <v>428</v>
      </c>
      <c r="TOK92" t="s">
        <v>104</v>
      </c>
      <c r="TOL92" t="s">
        <v>103</v>
      </c>
      <c r="TOM92" t="s">
        <v>398</v>
      </c>
      <c r="TON92">
        <v>1</v>
      </c>
      <c r="TOO92" t="s">
        <v>438</v>
      </c>
      <c r="TOP92" t="s">
        <v>439</v>
      </c>
      <c r="TOQ92" t="s">
        <v>428</v>
      </c>
      <c r="TOS92" t="s">
        <v>104</v>
      </c>
      <c r="TOT92" t="s">
        <v>103</v>
      </c>
      <c r="TOU92" t="s">
        <v>398</v>
      </c>
      <c r="TOV92">
        <v>1</v>
      </c>
      <c r="TOW92" t="s">
        <v>438</v>
      </c>
      <c r="TOX92" t="s">
        <v>439</v>
      </c>
      <c r="TOY92" t="s">
        <v>428</v>
      </c>
      <c r="TPA92" t="s">
        <v>104</v>
      </c>
      <c r="TPB92" t="s">
        <v>103</v>
      </c>
      <c r="TPC92" t="s">
        <v>398</v>
      </c>
      <c r="TPD92">
        <v>1</v>
      </c>
      <c r="TPE92" t="s">
        <v>438</v>
      </c>
      <c r="TPF92" t="s">
        <v>439</v>
      </c>
      <c r="TPG92" t="s">
        <v>428</v>
      </c>
      <c r="TPI92" t="s">
        <v>104</v>
      </c>
      <c r="TPJ92" t="s">
        <v>103</v>
      </c>
      <c r="TPK92" t="s">
        <v>398</v>
      </c>
      <c r="TPL92">
        <v>1</v>
      </c>
      <c r="TPM92" t="s">
        <v>438</v>
      </c>
      <c r="TPN92" t="s">
        <v>439</v>
      </c>
      <c r="TPO92" t="s">
        <v>428</v>
      </c>
      <c r="TPQ92" t="s">
        <v>104</v>
      </c>
      <c r="TPR92" t="s">
        <v>103</v>
      </c>
      <c r="TPS92" t="s">
        <v>398</v>
      </c>
      <c r="TPT92">
        <v>1</v>
      </c>
      <c r="TPU92" t="s">
        <v>438</v>
      </c>
      <c r="TPV92" t="s">
        <v>439</v>
      </c>
      <c r="TPW92" t="s">
        <v>428</v>
      </c>
      <c r="TPY92" t="s">
        <v>104</v>
      </c>
      <c r="TPZ92" t="s">
        <v>103</v>
      </c>
      <c r="TQA92" t="s">
        <v>398</v>
      </c>
      <c r="TQB92">
        <v>1</v>
      </c>
      <c r="TQC92" t="s">
        <v>438</v>
      </c>
      <c r="TQD92" t="s">
        <v>439</v>
      </c>
      <c r="TQE92" t="s">
        <v>428</v>
      </c>
      <c r="TQG92" t="s">
        <v>104</v>
      </c>
      <c r="TQH92" t="s">
        <v>103</v>
      </c>
      <c r="TQI92" t="s">
        <v>398</v>
      </c>
      <c r="TQJ92">
        <v>1</v>
      </c>
      <c r="TQK92" t="s">
        <v>438</v>
      </c>
      <c r="TQL92" t="s">
        <v>439</v>
      </c>
      <c r="TQM92" t="s">
        <v>428</v>
      </c>
      <c r="TQO92" t="s">
        <v>104</v>
      </c>
      <c r="TQP92" t="s">
        <v>103</v>
      </c>
      <c r="TQQ92" t="s">
        <v>398</v>
      </c>
      <c r="TQR92">
        <v>1</v>
      </c>
      <c r="TQS92" t="s">
        <v>438</v>
      </c>
      <c r="TQT92" t="s">
        <v>439</v>
      </c>
      <c r="TQU92" t="s">
        <v>428</v>
      </c>
      <c r="TQW92" t="s">
        <v>104</v>
      </c>
      <c r="TQX92" t="s">
        <v>103</v>
      </c>
      <c r="TQY92" t="s">
        <v>398</v>
      </c>
      <c r="TQZ92">
        <v>1</v>
      </c>
      <c r="TRA92" t="s">
        <v>438</v>
      </c>
      <c r="TRB92" t="s">
        <v>439</v>
      </c>
      <c r="TRC92" t="s">
        <v>428</v>
      </c>
      <c r="TRE92" t="s">
        <v>104</v>
      </c>
      <c r="TRF92" t="s">
        <v>103</v>
      </c>
      <c r="TRG92" t="s">
        <v>398</v>
      </c>
      <c r="TRH92">
        <v>1</v>
      </c>
      <c r="TRI92" t="s">
        <v>438</v>
      </c>
      <c r="TRJ92" t="s">
        <v>439</v>
      </c>
      <c r="TRK92" t="s">
        <v>428</v>
      </c>
      <c r="TRM92" t="s">
        <v>104</v>
      </c>
      <c r="TRN92" t="s">
        <v>103</v>
      </c>
      <c r="TRO92" t="s">
        <v>398</v>
      </c>
      <c r="TRP92">
        <v>1</v>
      </c>
      <c r="TRQ92" t="s">
        <v>438</v>
      </c>
      <c r="TRR92" t="s">
        <v>439</v>
      </c>
      <c r="TRS92" t="s">
        <v>428</v>
      </c>
      <c r="TRU92" t="s">
        <v>104</v>
      </c>
      <c r="TRV92" t="s">
        <v>103</v>
      </c>
      <c r="TRW92" t="s">
        <v>398</v>
      </c>
      <c r="TRX92">
        <v>1</v>
      </c>
      <c r="TRY92" t="s">
        <v>438</v>
      </c>
      <c r="TRZ92" t="s">
        <v>439</v>
      </c>
      <c r="TSA92" t="s">
        <v>428</v>
      </c>
      <c r="TSC92" t="s">
        <v>104</v>
      </c>
      <c r="TSD92" t="s">
        <v>103</v>
      </c>
      <c r="TSE92" t="s">
        <v>398</v>
      </c>
      <c r="TSF92">
        <v>1</v>
      </c>
      <c r="TSG92" t="s">
        <v>438</v>
      </c>
      <c r="TSH92" t="s">
        <v>439</v>
      </c>
      <c r="TSI92" t="s">
        <v>428</v>
      </c>
      <c r="TSK92" t="s">
        <v>104</v>
      </c>
      <c r="TSL92" t="s">
        <v>103</v>
      </c>
      <c r="TSM92" t="s">
        <v>398</v>
      </c>
      <c r="TSN92">
        <v>1</v>
      </c>
      <c r="TSO92" t="s">
        <v>438</v>
      </c>
      <c r="TSP92" t="s">
        <v>439</v>
      </c>
      <c r="TSQ92" t="s">
        <v>428</v>
      </c>
      <c r="TSS92" t="s">
        <v>104</v>
      </c>
      <c r="TST92" t="s">
        <v>103</v>
      </c>
      <c r="TSU92" t="s">
        <v>398</v>
      </c>
      <c r="TSV92">
        <v>1</v>
      </c>
      <c r="TSW92" t="s">
        <v>438</v>
      </c>
      <c r="TSX92" t="s">
        <v>439</v>
      </c>
      <c r="TSY92" t="s">
        <v>428</v>
      </c>
      <c r="TTA92" t="s">
        <v>104</v>
      </c>
      <c r="TTB92" t="s">
        <v>103</v>
      </c>
      <c r="TTC92" t="s">
        <v>398</v>
      </c>
      <c r="TTD92">
        <v>1</v>
      </c>
      <c r="TTE92" t="s">
        <v>438</v>
      </c>
      <c r="TTF92" t="s">
        <v>439</v>
      </c>
      <c r="TTG92" t="s">
        <v>428</v>
      </c>
      <c r="TTI92" t="s">
        <v>104</v>
      </c>
      <c r="TTJ92" t="s">
        <v>103</v>
      </c>
      <c r="TTK92" t="s">
        <v>398</v>
      </c>
      <c r="TTL92">
        <v>1</v>
      </c>
      <c r="TTM92" t="s">
        <v>438</v>
      </c>
      <c r="TTN92" t="s">
        <v>439</v>
      </c>
      <c r="TTO92" t="s">
        <v>428</v>
      </c>
      <c r="TTQ92" t="s">
        <v>104</v>
      </c>
      <c r="TTR92" t="s">
        <v>103</v>
      </c>
      <c r="TTS92" t="s">
        <v>398</v>
      </c>
      <c r="TTT92">
        <v>1</v>
      </c>
      <c r="TTU92" t="s">
        <v>438</v>
      </c>
      <c r="TTV92" t="s">
        <v>439</v>
      </c>
      <c r="TTW92" t="s">
        <v>428</v>
      </c>
      <c r="TTY92" t="s">
        <v>104</v>
      </c>
      <c r="TTZ92" t="s">
        <v>103</v>
      </c>
      <c r="TUA92" t="s">
        <v>398</v>
      </c>
      <c r="TUB92">
        <v>1</v>
      </c>
      <c r="TUC92" t="s">
        <v>438</v>
      </c>
      <c r="TUD92" t="s">
        <v>439</v>
      </c>
      <c r="TUE92" t="s">
        <v>428</v>
      </c>
      <c r="TUG92" t="s">
        <v>104</v>
      </c>
      <c r="TUH92" t="s">
        <v>103</v>
      </c>
      <c r="TUI92" t="s">
        <v>398</v>
      </c>
      <c r="TUJ92">
        <v>1</v>
      </c>
      <c r="TUK92" t="s">
        <v>438</v>
      </c>
      <c r="TUL92" t="s">
        <v>439</v>
      </c>
      <c r="TUM92" t="s">
        <v>428</v>
      </c>
      <c r="TUO92" t="s">
        <v>104</v>
      </c>
      <c r="TUP92" t="s">
        <v>103</v>
      </c>
      <c r="TUQ92" t="s">
        <v>398</v>
      </c>
      <c r="TUR92">
        <v>1</v>
      </c>
      <c r="TUS92" t="s">
        <v>438</v>
      </c>
      <c r="TUT92" t="s">
        <v>439</v>
      </c>
      <c r="TUU92" t="s">
        <v>428</v>
      </c>
      <c r="TUW92" t="s">
        <v>104</v>
      </c>
      <c r="TUX92" t="s">
        <v>103</v>
      </c>
      <c r="TUY92" t="s">
        <v>398</v>
      </c>
      <c r="TUZ92">
        <v>1</v>
      </c>
      <c r="TVA92" t="s">
        <v>438</v>
      </c>
      <c r="TVB92" t="s">
        <v>439</v>
      </c>
      <c r="TVC92" t="s">
        <v>428</v>
      </c>
      <c r="TVE92" t="s">
        <v>104</v>
      </c>
      <c r="TVF92" t="s">
        <v>103</v>
      </c>
      <c r="TVG92" t="s">
        <v>398</v>
      </c>
      <c r="TVH92">
        <v>1</v>
      </c>
      <c r="TVI92" t="s">
        <v>438</v>
      </c>
      <c r="TVJ92" t="s">
        <v>439</v>
      </c>
      <c r="TVK92" t="s">
        <v>428</v>
      </c>
      <c r="TVM92" t="s">
        <v>104</v>
      </c>
      <c r="TVN92" t="s">
        <v>103</v>
      </c>
      <c r="TVO92" t="s">
        <v>398</v>
      </c>
      <c r="TVP92">
        <v>1</v>
      </c>
      <c r="TVQ92" t="s">
        <v>438</v>
      </c>
      <c r="TVR92" t="s">
        <v>439</v>
      </c>
      <c r="TVS92" t="s">
        <v>428</v>
      </c>
      <c r="TVU92" t="s">
        <v>104</v>
      </c>
      <c r="TVV92" t="s">
        <v>103</v>
      </c>
      <c r="TVW92" t="s">
        <v>398</v>
      </c>
      <c r="TVX92">
        <v>1</v>
      </c>
      <c r="TVY92" t="s">
        <v>438</v>
      </c>
      <c r="TVZ92" t="s">
        <v>439</v>
      </c>
      <c r="TWA92" t="s">
        <v>428</v>
      </c>
      <c r="TWC92" t="s">
        <v>104</v>
      </c>
      <c r="TWD92" t="s">
        <v>103</v>
      </c>
      <c r="TWE92" t="s">
        <v>398</v>
      </c>
      <c r="TWF92">
        <v>1</v>
      </c>
      <c r="TWG92" t="s">
        <v>438</v>
      </c>
      <c r="TWH92" t="s">
        <v>439</v>
      </c>
      <c r="TWI92" t="s">
        <v>428</v>
      </c>
      <c r="TWK92" t="s">
        <v>104</v>
      </c>
      <c r="TWL92" t="s">
        <v>103</v>
      </c>
      <c r="TWM92" t="s">
        <v>398</v>
      </c>
      <c r="TWN92">
        <v>1</v>
      </c>
      <c r="TWO92" t="s">
        <v>438</v>
      </c>
      <c r="TWP92" t="s">
        <v>439</v>
      </c>
      <c r="TWQ92" t="s">
        <v>428</v>
      </c>
      <c r="TWS92" t="s">
        <v>104</v>
      </c>
      <c r="TWT92" t="s">
        <v>103</v>
      </c>
      <c r="TWU92" t="s">
        <v>398</v>
      </c>
      <c r="TWV92">
        <v>1</v>
      </c>
      <c r="TWW92" t="s">
        <v>438</v>
      </c>
      <c r="TWX92" t="s">
        <v>439</v>
      </c>
      <c r="TWY92" t="s">
        <v>428</v>
      </c>
      <c r="TXA92" t="s">
        <v>104</v>
      </c>
      <c r="TXB92" t="s">
        <v>103</v>
      </c>
      <c r="TXC92" t="s">
        <v>398</v>
      </c>
      <c r="TXD92">
        <v>1</v>
      </c>
      <c r="TXE92" t="s">
        <v>438</v>
      </c>
      <c r="TXF92" t="s">
        <v>439</v>
      </c>
      <c r="TXG92" t="s">
        <v>428</v>
      </c>
      <c r="TXI92" t="s">
        <v>104</v>
      </c>
      <c r="TXJ92" t="s">
        <v>103</v>
      </c>
      <c r="TXK92" t="s">
        <v>398</v>
      </c>
      <c r="TXL92">
        <v>1</v>
      </c>
      <c r="TXM92" t="s">
        <v>438</v>
      </c>
      <c r="TXN92" t="s">
        <v>439</v>
      </c>
      <c r="TXO92" t="s">
        <v>428</v>
      </c>
      <c r="TXQ92" t="s">
        <v>104</v>
      </c>
      <c r="TXR92" t="s">
        <v>103</v>
      </c>
      <c r="TXS92" t="s">
        <v>398</v>
      </c>
      <c r="TXT92">
        <v>1</v>
      </c>
      <c r="TXU92" t="s">
        <v>438</v>
      </c>
      <c r="TXV92" t="s">
        <v>439</v>
      </c>
      <c r="TXW92" t="s">
        <v>428</v>
      </c>
      <c r="TXY92" t="s">
        <v>104</v>
      </c>
      <c r="TXZ92" t="s">
        <v>103</v>
      </c>
      <c r="TYA92" t="s">
        <v>398</v>
      </c>
      <c r="TYB92">
        <v>1</v>
      </c>
      <c r="TYC92" t="s">
        <v>438</v>
      </c>
      <c r="TYD92" t="s">
        <v>439</v>
      </c>
      <c r="TYE92" t="s">
        <v>428</v>
      </c>
      <c r="TYG92" t="s">
        <v>104</v>
      </c>
      <c r="TYH92" t="s">
        <v>103</v>
      </c>
      <c r="TYI92" t="s">
        <v>398</v>
      </c>
      <c r="TYJ92">
        <v>1</v>
      </c>
      <c r="TYK92" t="s">
        <v>438</v>
      </c>
      <c r="TYL92" t="s">
        <v>439</v>
      </c>
      <c r="TYM92" t="s">
        <v>428</v>
      </c>
      <c r="TYO92" t="s">
        <v>104</v>
      </c>
      <c r="TYP92" t="s">
        <v>103</v>
      </c>
      <c r="TYQ92" t="s">
        <v>398</v>
      </c>
      <c r="TYR92">
        <v>1</v>
      </c>
      <c r="TYS92" t="s">
        <v>438</v>
      </c>
      <c r="TYT92" t="s">
        <v>439</v>
      </c>
      <c r="TYU92" t="s">
        <v>428</v>
      </c>
      <c r="TYW92" t="s">
        <v>104</v>
      </c>
      <c r="TYX92" t="s">
        <v>103</v>
      </c>
      <c r="TYY92" t="s">
        <v>398</v>
      </c>
      <c r="TYZ92">
        <v>1</v>
      </c>
      <c r="TZA92" t="s">
        <v>438</v>
      </c>
      <c r="TZB92" t="s">
        <v>439</v>
      </c>
      <c r="TZC92" t="s">
        <v>428</v>
      </c>
      <c r="TZE92" t="s">
        <v>104</v>
      </c>
      <c r="TZF92" t="s">
        <v>103</v>
      </c>
      <c r="TZG92" t="s">
        <v>398</v>
      </c>
      <c r="TZH92">
        <v>1</v>
      </c>
      <c r="TZI92" t="s">
        <v>438</v>
      </c>
      <c r="TZJ92" t="s">
        <v>439</v>
      </c>
      <c r="TZK92" t="s">
        <v>428</v>
      </c>
      <c r="TZM92" t="s">
        <v>104</v>
      </c>
      <c r="TZN92" t="s">
        <v>103</v>
      </c>
      <c r="TZO92" t="s">
        <v>398</v>
      </c>
      <c r="TZP92">
        <v>1</v>
      </c>
      <c r="TZQ92" t="s">
        <v>438</v>
      </c>
      <c r="TZR92" t="s">
        <v>439</v>
      </c>
      <c r="TZS92" t="s">
        <v>428</v>
      </c>
      <c r="TZU92" t="s">
        <v>104</v>
      </c>
      <c r="TZV92" t="s">
        <v>103</v>
      </c>
      <c r="TZW92" t="s">
        <v>398</v>
      </c>
      <c r="TZX92">
        <v>1</v>
      </c>
      <c r="TZY92" t="s">
        <v>438</v>
      </c>
      <c r="TZZ92" t="s">
        <v>439</v>
      </c>
      <c r="UAA92" t="s">
        <v>428</v>
      </c>
      <c r="UAC92" t="s">
        <v>104</v>
      </c>
      <c r="UAD92" t="s">
        <v>103</v>
      </c>
      <c r="UAE92" t="s">
        <v>398</v>
      </c>
      <c r="UAF92">
        <v>1</v>
      </c>
      <c r="UAG92" t="s">
        <v>438</v>
      </c>
      <c r="UAH92" t="s">
        <v>439</v>
      </c>
      <c r="UAI92" t="s">
        <v>428</v>
      </c>
      <c r="UAK92" t="s">
        <v>104</v>
      </c>
      <c r="UAL92" t="s">
        <v>103</v>
      </c>
      <c r="UAM92" t="s">
        <v>398</v>
      </c>
      <c r="UAN92">
        <v>1</v>
      </c>
      <c r="UAO92" t="s">
        <v>438</v>
      </c>
      <c r="UAP92" t="s">
        <v>439</v>
      </c>
      <c r="UAQ92" t="s">
        <v>428</v>
      </c>
      <c r="UAS92" t="s">
        <v>104</v>
      </c>
      <c r="UAT92" t="s">
        <v>103</v>
      </c>
      <c r="UAU92" t="s">
        <v>398</v>
      </c>
      <c r="UAV92">
        <v>1</v>
      </c>
      <c r="UAW92" t="s">
        <v>438</v>
      </c>
      <c r="UAX92" t="s">
        <v>439</v>
      </c>
      <c r="UAY92" t="s">
        <v>428</v>
      </c>
      <c r="UBA92" t="s">
        <v>104</v>
      </c>
      <c r="UBB92" t="s">
        <v>103</v>
      </c>
      <c r="UBC92" t="s">
        <v>398</v>
      </c>
      <c r="UBD92">
        <v>1</v>
      </c>
      <c r="UBE92" t="s">
        <v>438</v>
      </c>
      <c r="UBF92" t="s">
        <v>439</v>
      </c>
      <c r="UBG92" t="s">
        <v>428</v>
      </c>
      <c r="UBI92" t="s">
        <v>104</v>
      </c>
      <c r="UBJ92" t="s">
        <v>103</v>
      </c>
      <c r="UBK92" t="s">
        <v>398</v>
      </c>
      <c r="UBL92">
        <v>1</v>
      </c>
      <c r="UBM92" t="s">
        <v>438</v>
      </c>
      <c r="UBN92" t="s">
        <v>439</v>
      </c>
      <c r="UBO92" t="s">
        <v>428</v>
      </c>
      <c r="UBQ92" t="s">
        <v>104</v>
      </c>
      <c r="UBR92" t="s">
        <v>103</v>
      </c>
      <c r="UBS92" t="s">
        <v>398</v>
      </c>
      <c r="UBT92">
        <v>1</v>
      </c>
      <c r="UBU92" t="s">
        <v>438</v>
      </c>
      <c r="UBV92" t="s">
        <v>439</v>
      </c>
      <c r="UBW92" t="s">
        <v>428</v>
      </c>
      <c r="UBY92" t="s">
        <v>104</v>
      </c>
      <c r="UBZ92" t="s">
        <v>103</v>
      </c>
      <c r="UCA92" t="s">
        <v>398</v>
      </c>
      <c r="UCB92">
        <v>1</v>
      </c>
      <c r="UCC92" t="s">
        <v>438</v>
      </c>
      <c r="UCD92" t="s">
        <v>439</v>
      </c>
      <c r="UCE92" t="s">
        <v>428</v>
      </c>
      <c r="UCG92" t="s">
        <v>104</v>
      </c>
      <c r="UCH92" t="s">
        <v>103</v>
      </c>
      <c r="UCI92" t="s">
        <v>398</v>
      </c>
      <c r="UCJ92">
        <v>1</v>
      </c>
      <c r="UCK92" t="s">
        <v>438</v>
      </c>
      <c r="UCL92" t="s">
        <v>439</v>
      </c>
      <c r="UCM92" t="s">
        <v>428</v>
      </c>
      <c r="UCO92" t="s">
        <v>104</v>
      </c>
      <c r="UCP92" t="s">
        <v>103</v>
      </c>
      <c r="UCQ92" t="s">
        <v>398</v>
      </c>
      <c r="UCR92">
        <v>1</v>
      </c>
      <c r="UCS92" t="s">
        <v>438</v>
      </c>
      <c r="UCT92" t="s">
        <v>439</v>
      </c>
      <c r="UCU92" t="s">
        <v>428</v>
      </c>
      <c r="UCW92" t="s">
        <v>104</v>
      </c>
      <c r="UCX92" t="s">
        <v>103</v>
      </c>
      <c r="UCY92" t="s">
        <v>398</v>
      </c>
      <c r="UCZ92">
        <v>1</v>
      </c>
      <c r="UDA92" t="s">
        <v>438</v>
      </c>
      <c r="UDB92" t="s">
        <v>439</v>
      </c>
      <c r="UDC92" t="s">
        <v>428</v>
      </c>
      <c r="UDE92" t="s">
        <v>104</v>
      </c>
      <c r="UDF92" t="s">
        <v>103</v>
      </c>
      <c r="UDG92" t="s">
        <v>398</v>
      </c>
      <c r="UDH92">
        <v>1</v>
      </c>
      <c r="UDI92" t="s">
        <v>438</v>
      </c>
      <c r="UDJ92" t="s">
        <v>439</v>
      </c>
      <c r="UDK92" t="s">
        <v>428</v>
      </c>
      <c r="UDM92" t="s">
        <v>104</v>
      </c>
      <c r="UDN92" t="s">
        <v>103</v>
      </c>
      <c r="UDO92" t="s">
        <v>398</v>
      </c>
      <c r="UDP92">
        <v>1</v>
      </c>
      <c r="UDQ92" t="s">
        <v>438</v>
      </c>
      <c r="UDR92" t="s">
        <v>439</v>
      </c>
      <c r="UDS92" t="s">
        <v>428</v>
      </c>
      <c r="UDU92" t="s">
        <v>104</v>
      </c>
      <c r="UDV92" t="s">
        <v>103</v>
      </c>
      <c r="UDW92" t="s">
        <v>398</v>
      </c>
      <c r="UDX92">
        <v>1</v>
      </c>
      <c r="UDY92" t="s">
        <v>438</v>
      </c>
      <c r="UDZ92" t="s">
        <v>439</v>
      </c>
      <c r="UEA92" t="s">
        <v>428</v>
      </c>
      <c r="UEC92" t="s">
        <v>104</v>
      </c>
      <c r="UED92" t="s">
        <v>103</v>
      </c>
      <c r="UEE92" t="s">
        <v>398</v>
      </c>
      <c r="UEF92">
        <v>1</v>
      </c>
      <c r="UEG92" t="s">
        <v>438</v>
      </c>
      <c r="UEH92" t="s">
        <v>439</v>
      </c>
      <c r="UEI92" t="s">
        <v>428</v>
      </c>
      <c r="UEK92" t="s">
        <v>104</v>
      </c>
      <c r="UEL92" t="s">
        <v>103</v>
      </c>
      <c r="UEM92" t="s">
        <v>398</v>
      </c>
      <c r="UEN92">
        <v>1</v>
      </c>
      <c r="UEO92" t="s">
        <v>438</v>
      </c>
      <c r="UEP92" t="s">
        <v>439</v>
      </c>
      <c r="UEQ92" t="s">
        <v>428</v>
      </c>
      <c r="UES92" t="s">
        <v>104</v>
      </c>
      <c r="UET92" t="s">
        <v>103</v>
      </c>
      <c r="UEU92" t="s">
        <v>398</v>
      </c>
      <c r="UEV92">
        <v>1</v>
      </c>
      <c r="UEW92" t="s">
        <v>438</v>
      </c>
      <c r="UEX92" t="s">
        <v>439</v>
      </c>
      <c r="UEY92" t="s">
        <v>428</v>
      </c>
      <c r="UFA92" t="s">
        <v>104</v>
      </c>
      <c r="UFB92" t="s">
        <v>103</v>
      </c>
      <c r="UFC92" t="s">
        <v>398</v>
      </c>
      <c r="UFD92">
        <v>1</v>
      </c>
      <c r="UFE92" t="s">
        <v>438</v>
      </c>
      <c r="UFF92" t="s">
        <v>439</v>
      </c>
      <c r="UFG92" t="s">
        <v>428</v>
      </c>
      <c r="UFI92" t="s">
        <v>104</v>
      </c>
      <c r="UFJ92" t="s">
        <v>103</v>
      </c>
      <c r="UFK92" t="s">
        <v>398</v>
      </c>
      <c r="UFL92">
        <v>1</v>
      </c>
      <c r="UFM92" t="s">
        <v>438</v>
      </c>
      <c r="UFN92" t="s">
        <v>439</v>
      </c>
      <c r="UFO92" t="s">
        <v>428</v>
      </c>
      <c r="UFQ92" t="s">
        <v>104</v>
      </c>
      <c r="UFR92" t="s">
        <v>103</v>
      </c>
      <c r="UFS92" t="s">
        <v>398</v>
      </c>
      <c r="UFT92">
        <v>1</v>
      </c>
      <c r="UFU92" t="s">
        <v>438</v>
      </c>
      <c r="UFV92" t="s">
        <v>439</v>
      </c>
      <c r="UFW92" t="s">
        <v>428</v>
      </c>
      <c r="UFY92" t="s">
        <v>104</v>
      </c>
      <c r="UFZ92" t="s">
        <v>103</v>
      </c>
      <c r="UGA92" t="s">
        <v>398</v>
      </c>
      <c r="UGB92">
        <v>1</v>
      </c>
      <c r="UGC92" t="s">
        <v>438</v>
      </c>
      <c r="UGD92" t="s">
        <v>439</v>
      </c>
      <c r="UGE92" t="s">
        <v>428</v>
      </c>
      <c r="UGG92" t="s">
        <v>104</v>
      </c>
      <c r="UGH92" t="s">
        <v>103</v>
      </c>
      <c r="UGI92" t="s">
        <v>398</v>
      </c>
      <c r="UGJ92">
        <v>1</v>
      </c>
      <c r="UGK92" t="s">
        <v>438</v>
      </c>
      <c r="UGL92" t="s">
        <v>439</v>
      </c>
      <c r="UGM92" t="s">
        <v>428</v>
      </c>
      <c r="UGO92" t="s">
        <v>104</v>
      </c>
      <c r="UGP92" t="s">
        <v>103</v>
      </c>
      <c r="UGQ92" t="s">
        <v>398</v>
      </c>
      <c r="UGR92">
        <v>1</v>
      </c>
      <c r="UGS92" t="s">
        <v>438</v>
      </c>
      <c r="UGT92" t="s">
        <v>439</v>
      </c>
      <c r="UGU92" t="s">
        <v>428</v>
      </c>
      <c r="UGW92" t="s">
        <v>104</v>
      </c>
      <c r="UGX92" t="s">
        <v>103</v>
      </c>
      <c r="UGY92" t="s">
        <v>398</v>
      </c>
      <c r="UGZ92">
        <v>1</v>
      </c>
      <c r="UHA92" t="s">
        <v>438</v>
      </c>
      <c r="UHB92" t="s">
        <v>439</v>
      </c>
      <c r="UHC92" t="s">
        <v>428</v>
      </c>
      <c r="UHE92" t="s">
        <v>104</v>
      </c>
      <c r="UHF92" t="s">
        <v>103</v>
      </c>
      <c r="UHG92" t="s">
        <v>398</v>
      </c>
      <c r="UHH92">
        <v>1</v>
      </c>
      <c r="UHI92" t="s">
        <v>438</v>
      </c>
      <c r="UHJ92" t="s">
        <v>439</v>
      </c>
      <c r="UHK92" t="s">
        <v>428</v>
      </c>
      <c r="UHM92" t="s">
        <v>104</v>
      </c>
      <c r="UHN92" t="s">
        <v>103</v>
      </c>
      <c r="UHO92" t="s">
        <v>398</v>
      </c>
      <c r="UHP92">
        <v>1</v>
      </c>
      <c r="UHQ92" t="s">
        <v>438</v>
      </c>
      <c r="UHR92" t="s">
        <v>439</v>
      </c>
      <c r="UHS92" t="s">
        <v>428</v>
      </c>
      <c r="UHU92" t="s">
        <v>104</v>
      </c>
      <c r="UHV92" t="s">
        <v>103</v>
      </c>
      <c r="UHW92" t="s">
        <v>398</v>
      </c>
      <c r="UHX92">
        <v>1</v>
      </c>
      <c r="UHY92" t="s">
        <v>438</v>
      </c>
      <c r="UHZ92" t="s">
        <v>439</v>
      </c>
      <c r="UIA92" t="s">
        <v>428</v>
      </c>
      <c r="UIC92" t="s">
        <v>104</v>
      </c>
      <c r="UID92" t="s">
        <v>103</v>
      </c>
      <c r="UIE92" t="s">
        <v>398</v>
      </c>
      <c r="UIF92">
        <v>1</v>
      </c>
      <c r="UIG92" t="s">
        <v>438</v>
      </c>
      <c r="UIH92" t="s">
        <v>439</v>
      </c>
      <c r="UII92" t="s">
        <v>428</v>
      </c>
      <c r="UIK92" t="s">
        <v>104</v>
      </c>
      <c r="UIL92" t="s">
        <v>103</v>
      </c>
      <c r="UIM92" t="s">
        <v>398</v>
      </c>
      <c r="UIN92">
        <v>1</v>
      </c>
      <c r="UIO92" t="s">
        <v>438</v>
      </c>
      <c r="UIP92" t="s">
        <v>439</v>
      </c>
      <c r="UIQ92" t="s">
        <v>428</v>
      </c>
      <c r="UIS92" t="s">
        <v>104</v>
      </c>
      <c r="UIT92" t="s">
        <v>103</v>
      </c>
      <c r="UIU92" t="s">
        <v>398</v>
      </c>
      <c r="UIV92">
        <v>1</v>
      </c>
      <c r="UIW92" t="s">
        <v>438</v>
      </c>
      <c r="UIX92" t="s">
        <v>439</v>
      </c>
      <c r="UIY92" t="s">
        <v>428</v>
      </c>
      <c r="UJA92" t="s">
        <v>104</v>
      </c>
      <c r="UJB92" t="s">
        <v>103</v>
      </c>
      <c r="UJC92" t="s">
        <v>398</v>
      </c>
      <c r="UJD92">
        <v>1</v>
      </c>
      <c r="UJE92" t="s">
        <v>438</v>
      </c>
      <c r="UJF92" t="s">
        <v>439</v>
      </c>
      <c r="UJG92" t="s">
        <v>428</v>
      </c>
      <c r="UJI92" t="s">
        <v>104</v>
      </c>
      <c r="UJJ92" t="s">
        <v>103</v>
      </c>
      <c r="UJK92" t="s">
        <v>398</v>
      </c>
      <c r="UJL92">
        <v>1</v>
      </c>
      <c r="UJM92" t="s">
        <v>438</v>
      </c>
      <c r="UJN92" t="s">
        <v>439</v>
      </c>
      <c r="UJO92" t="s">
        <v>428</v>
      </c>
      <c r="UJQ92" t="s">
        <v>104</v>
      </c>
      <c r="UJR92" t="s">
        <v>103</v>
      </c>
      <c r="UJS92" t="s">
        <v>398</v>
      </c>
      <c r="UJT92">
        <v>1</v>
      </c>
      <c r="UJU92" t="s">
        <v>438</v>
      </c>
      <c r="UJV92" t="s">
        <v>439</v>
      </c>
      <c r="UJW92" t="s">
        <v>428</v>
      </c>
      <c r="UJY92" t="s">
        <v>104</v>
      </c>
      <c r="UJZ92" t="s">
        <v>103</v>
      </c>
      <c r="UKA92" t="s">
        <v>398</v>
      </c>
      <c r="UKB92">
        <v>1</v>
      </c>
      <c r="UKC92" t="s">
        <v>438</v>
      </c>
      <c r="UKD92" t="s">
        <v>439</v>
      </c>
      <c r="UKE92" t="s">
        <v>428</v>
      </c>
      <c r="UKG92" t="s">
        <v>104</v>
      </c>
      <c r="UKH92" t="s">
        <v>103</v>
      </c>
      <c r="UKI92" t="s">
        <v>398</v>
      </c>
      <c r="UKJ92">
        <v>1</v>
      </c>
      <c r="UKK92" t="s">
        <v>438</v>
      </c>
      <c r="UKL92" t="s">
        <v>439</v>
      </c>
      <c r="UKM92" t="s">
        <v>428</v>
      </c>
      <c r="UKO92" t="s">
        <v>104</v>
      </c>
      <c r="UKP92" t="s">
        <v>103</v>
      </c>
      <c r="UKQ92" t="s">
        <v>398</v>
      </c>
      <c r="UKR92">
        <v>1</v>
      </c>
      <c r="UKS92" t="s">
        <v>438</v>
      </c>
      <c r="UKT92" t="s">
        <v>439</v>
      </c>
      <c r="UKU92" t="s">
        <v>428</v>
      </c>
      <c r="UKW92" t="s">
        <v>104</v>
      </c>
      <c r="UKX92" t="s">
        <v>103</v>
      </c>
      <c r="UKY92" t="s">
        <v>398</v>
      </c>
      <c r="UKZ92">
        <v>1</v>
      </c>
      <c r="ULA92" t="s">
        <v>438</v>
      </c>
      <c r="ULB92" t="s">
        <v>439</v>
      </c>
      <c r="ULC92" t="s">
        <v>428</v>
      </c>
      <c r="ULE92" t="s">
        <v>104</v>
      </c>
      <c r="ULF92" t="s">
        <v>103</v>
      </c>
      <c r="ULG92" t="s">
        <v>398</v>
      </c>
      <c r="ULH92">
        <v>1</v>
      </c>
      <c r="ULI92" t="s">
        <v>438</v>
      </c>
      <c r="ULJ92" t="s">
        <v>439</v>
      </c>
      <c r="ULK92" t="s">
        <v>428</v>
      </c>
      <c r="ULM92" t="s">
        <v>104</v>
      </c>
      <c r="ULN92" t="s">
        <v>103</v>
      </c>
      <c r="ULO92" t="s">
        <v>398</v>
      </c>
      <c r="ULP92">
        <v>1</v>
      </c>
      <c r="ULQ92" t="s">
        <v>438</v>
      </c>
      <c r="ULR92" t="s">
        <v>439</v>
      </c>
      <c r="ULS92" t="s">
        <v>428</v>
      </c>
      <c r="ULU92" t="s">
        <v>104</v>
      </c>
      <c r="ULV92" t="s">
        <v>103</v>
      </c>
      <c r="ULW92" t="s">
        <v>398</v>
      </c>
      <c r="ULX92">
        <v>1</v>
      </c>
      <c r="ULY92" t="s">
        <v>438</v>
      </c>
      <c r="ULZ92" t="s">
        <v>439</v>
      </c>
      <c r="UMA92" t="s">
        <v>428</v>
      </c>
      <c r="UMC92" t="s">
        <v>104</v>
      </c>
      <c r="UMD92" t="s">
        <v>103</v>
      </c>
      <c r="UME92" t="s">
        <v>398</v>
      </c>
      <c r="UMF92">
        <v>1</v>
      </c>
      <c r="UMG92" t="s">
        <v>438</v>
      </c>
      <c r="UMH92" t="s">
        <v>439</v>
      </c>
      <c r="UMI92" t="s">
        <v>428</v>
      </c>
      <c r="UMK92" t="s">
        <v>104</v>
      </c>
      <c r="UML92" t="s">
        <v>103</v>
      </c>
      <c r="UMM92" t="s">
        <v>398</v>
      </c>
      <c r="UMN92">
        <v>1</v>
      </c>
      <c r="UMO92" t="s">
        <v>438</v>
      </c>
      <c r="UMP92" t="s">
        <v>439</v>
      </c>
      <c r="UMQ92" t="s">
        <v>428</v>
      </c>
      <c r="UMS92" t="s">
        <v>104</v>
      </c>
      <c r="UMT92" t="s">
        <v>103</v>
      </c>
      <c r="UMU92" t="s">
        <v>398</v>
      </c>
      <c r="UMV92">
        <v>1</v>
      </c>
      <c r="UMW92" t="s">
        <v>438</v>
      </c>
      <c r="UMX92" t="s">
        <v>439</v>
      </c>
      <c r="UMY92" t="s">
        <v>428</v>
      </c>
      <c r="UNA92" t="s">
        <v>104</v>
      </c>
      <c r="UNB92" t="s">
        <v>103</v>
      </c>
      <c r="UNC92" t="s">
        <v>398</v>
      </c>
      <c r="UND92">
        <v>1</v>
      </c>
      <c r="UNE92" t="s">
        <v>438</v>
      </c>
      <c r="UNF92" t="s">
        <v>439</v>
      </c>
      <c r="UNG92" t="s">
        <v>428</v>
      </c>
      <c r="UNI92" t="s">
        <v>104</v>
      </c>
      <c r="UNJ92" t="s">
        <v>103</v>
      </c>
      <c r="UNK92" t="s">
        <v>398</v>
      </c>
      <c r="UNL92">
        <v>1</v>
      </c>
      <c r="UNM92" t="s">
        <v>438</v>
      </c>
      <c r="UNN92" t="s">
        <v>439</v>
      </c>
      <c r="UNO92" t="s">
        <v>428</v>
      </c>
      <c r="UNQ92" t="s">
        <v>104</v>
      </c>
      <c r="UNR92" t="s">
        <v>103</v>
      </c>
      <c r="UNS92" t="s">
        <v>398</v>
      </c>
      <c r="UNT92">
        <v>1</v>
      </c>
      <c r="UNU92" t="s">
        <v>438</v>
      </c>
      <c r="UNV92" t="s">
        <v>439</v>
      </c>
      <c r="UNW92" t="s">
        <v>428</v>
      </c>
      <c r="UNY92" t="s">
        <v>104</v>
      </c>
      <c r="UNZ92" t="s">
        <v>103</v>
      </c>
      <c r="UOA92" t="s">
        <v>398</v>
      </c>
      <c r="UOB92">
        <v>1</v>
      </c>
      <c r="UOC92" t="s">
        <v>438</v>
      </c>
      <c r="UOD92" t="s">
        <v>439</v>
      </c>
      <c r="UOE92" t="s">
        <v>428</v>
      </c>
      <c r="UOG92" t="s">
        <v>104</v>
      </c>
      <c r="UOH92" t="s">
        <v>103</v>
      </c>
      <c r="UOI92" t="s">
        <v>398</v>
      </c>
      <c r="UOJ92">
        <v>1</v>
      </c>
      <c r="UOK92" t="s">
        <v>438</v>
      </c>
      <c r="UOL92" t="s">
        <v>439</v>
      </c>
      <c r="UOM92" t="s">
        <v>428</v>
      </c>
      <c r="UOO92" t="s">
        <v>104</v>
      </c>
      <c r="UOP92" t="s">
        <v>103</v>
      </c>
      <c r="UOQ92" t="s">
        <v>398</v>
      </c>
      <c r="UOR92">
        <v>1</v>
      </c>
      <c r="UOS92" t="s">
        <v>438</v>
      </c>
      <c r="UOT92" t="s">
        <v>439</v>
      </c>
      <c r="UOU92" t="s">
        <v>428</v>
      </c>
      <c r="UOW92" t="s">
        <v>104</v>
      </c>
      <c r="UOX92" t="s">
        <v>103</v>
      </c>
      <c r="UOY92" t="s">
        <v>398</v>
      </c>
      <c r="UOZ92">
        <v>1</v>
      </c>
      <c r="UPA92" t="s">
        <v>438</v>
      </c>
      <c r="UPB92" t="s">
        <v>439</v>
      </c>
      <c r="UPC92" t="s">
        <v>428</v>
      </c>
      <c r="UPE92" t="s">
        <v>104</v>
      </c>
      <c r="UPF92" t="s">
        <v>103</v>
      </c>
      <c r="UPG92" t="s">
        <v>398</v>
      </c>
      <c r="UPH92">
        <v>1</v>
      </c>
      <c r="UPI92" t="s">
        <v>438</v>
      </c>
      <c r="UPJ92" t="s">
        <v>439</v>
      </c>
      <c r="UPK92" t="s">
        <v>428</v>
      </c>
      <c r="UPM92" t="s">
        <v>104</v>
      </c>
      <c r="UPN92" t="s">
        <v>103</v>
      </c>
      <c r="UPO92" t="s">
        <v>398</v>
      </c>
      <c r="UPP92">
        <v>1</v>
      </c>
      <c r="UPQ92" t="s">
        <v>438</v>
      </c>
      <c r="UPR92" t="s">
        <v>439</v>
      </c>
      <c r="UPS92" t="s">
        <v>428</v>
      </c>
      <c r="UPU92" t="s">
        <v>104</v>
      </c>
      <c r="UPV92" t="s">
        <v>103</v>
      </c>
      <c r="UPW92" t="s">
        <v>398</v>
      </c>
      <c r="UPX92">
        <v>1</v>
      </c>
      <c r="UPY92" t="s">
        <v>438</v>
      </c>
      <c r="UPZ92" t="s">
        <v>439</v>
      </c>
      <c r="UQA92" t="s">
        <v>428</v>
      </c>
      <c r="UQC92" t="s">
        <v>104</v>
      </c>
      <c r="UQD92" t="s">
        <v>103</v>
      </c>
      <c r="UQE92" t="s">
        <v>398</v>
      </c>
      <c r="UQF92">
        <v>1</v>
      </c>
      <c r="UQG92" t="s">
        <v>438</v>
      </c>
      <c r="UQH92" t="s">
        <v>439</v>
      </c>
      <c r="UQI92" t="s">
        <v>428</v>
      </c>
      <c r="UQK92" t="s">
        <v>104</v>
      </c>
      <c r="UQL92" t="s">
        <v>103</v>
      </c>
      <c r="UQM92" t="s">
        <v>398</v>
      </c>
      <c r="UQN92">
        <v>1</v>
      </c>
      <c r="UQO92" t="s">
        <v>438</v>
      </c>
      <c r="UQP92" t="s">
        <v>439</v>
      </c>
      <c r="UQQ92" t="s">
        <v>428</v>
      </c>
      <c r="UQS92" t="s">
        <v>104</v>
      </c>
      <c r="UQT92" t="s">
        <v>103</v>
      </c>
      <c r="UQU92" t="s">
        <v>398</v>
      </c>
      <c r="UQV92">
        <v>1</v>
      </c>
      <c r="UQW92" t="s">
        <v>438</v>
      </c>
      <c r="UQX92" t="s">
        <v>439</v>
      </c>
      <c r="UQY92" t="s">
        <v>428</v>
      </c>
      <c r="URA92" t="s">
        <v>104</v>
      </c>
      <c r="URB92" t="s">
        <v>103</v>
      </c>
      <c r="URC92" t="s">
        <v>398</v>
      </c>
      <c r="URD92">
        <v>1</v>
      </c>
      <c r="URE92" t="s">
        <v>438</v>
      </c>
      <c r="URF92" t="s">
        <v>439</v>
      </c>
      <c r="URG92" t="s">
        <v>428</v>
      </c>
      <c r="URI92" t="s">
        <v>104</v>
      </c>
      <c r="URJ92" t="s">
        <v>103</v>
      </c>
      <c r="URK92" t="s">
        <v>398</v>
      </c>
      <c r="URL92">
        <v>1</v>
      </c>
      <c r="URM92" t="s">
        <v>438</v>
      </c>
      <c r="URN92" t="s">
        <v>439</v>
      </c>
      <c r="URO92" t="s">
        <v>428</v>
      </c>
      <c r="URQ92" t="s">
        <v>104</v>
      </c>
      <c r="URR92" t="s">
        <v>103</v>
      </c>
      <c r="URS92" t="s">
        <v>398</v>
      </c>
      <c r="URT92">
        <v>1</v>
      </c>
      <c r="URU92" t="s">
        <v>438</v>
      </c>
      <c r="URV92" t="s">
        <v>439</v>
      </c>
      <c r="URW92" t="s">
        <v>428</v>
      </c>
      <c r="URY92" t="s">
        <v>104</v>
      </c>
      <c r="URZ92" t="s">
        <v>103</v>
      </c>
      <c r="USA92" t="s">
        <v>398</v>
      </c>
      <c r="USB92">
        <v>1</v>
      </c>
      <c r="USC92" t="s">
        <v>438</v>
      </c>
      <c r="USD92" t="s">
        <v>439</v>
      </c>
      <c r="USE92" t="s">
        <v>428</v>
      </c>
      <c r="USG92" t="s">
        <v>104</v>
      </c>
      <c r="USH92" t="s">
        <v>103</v>
      </c>
      <c r="USI92" t="s">
        <v>398</v>
      </c>
      <c r="USJ92">
        <v>1</v>
      </c>
      <c r="USK92" t="s">
        <v>438</v>
      </c>
      <c r="USL92" t="s">
        <v>439</v>
      </c>
      <c r="USM92" t="s">
        <v>428</v>
      </c>
      <c r="USO92" t="s">
        <v>104</v>
      </c>
      <c r="USP92" t="s">
        <v>103</v>
      </c>
      <c r="USQ92" t="s">
        <v>398</v>
      </c>
      <c r="USR92">
        <v>1</v>
      </c>
      <c r="USS92" t="s">
        <v>438</v>
      </c>
      <c r="UST92" t="s">
        <v>439</v>
      </c>
      <c r="USU92" t="s">
        <v>428</v>
      </c>
      <c r="USW92" t="s">
        <v>104</v>
      </c>
      <c r="USX92" t="s">
        <v>103</v>
      </c>
      <c r="USY92" t="s">
        <v>398</v>
      </c>
      <c r="USZ92">
        <v>1</v>
      </c>
      <c r="UTA92" t="s">
        <v>438</v>
      </c>
      <c r="UTB92" t="s">
        <v>439</v>
      </c>
      <c r="UTC92" t="s">
        <v>428</v>
      </c>
      <c r="UTE92" t="s">
        <v>104</v>
      </c>
      <c r="UTF92" t="s">
        <v>103</v>
      </c>
      <c r="UTG92" t="s">
        <v>398</v>
      </c>
      <c r="UTH92">
        <v>1</v>
      </c>
      <c r="UTI92" t="s">
        <v>438</v>
      </c>
      <c r="UTJ92" t="s">
        <v>439</v>
      </c>
      <c r="UTK92" t="s">
        <v>428</v>
      </c>
      <c r="UTM92" t="s">
        <v>104</v>
      </c>
      <c r="UTN92" t="s">
        <v>103</v>
      </c>
      <c r="UTO92" t="s">
        <v>398</v>
      </c>
      <c r="UTP92">
        <v>1</v>
      </c>
      <c r="UTQ92" t="s">
        <v>438</v>
      </c>
      <c r="UTR92" t="s">
        <v>439</v>
      </c>
      <c r="UTS92" t="s">
        <v>428</v>
      </c>
      <c r="UTU92" t="s">
        <v>104</v>
      </c>
      <c r="UTV92" t="s">
        <v>103</v>
      </c>
      <c r="UTW92" t="s">
        <v>398</v>
      </c>
      <c r="UTX92">
        <v>1</v>
      </c>
      <c r="UTY92" t="s">
        <v>438</v>
      </c>
      <c r="UTZ92" t="s">
        <v>439</v>
      </c>
      <c r="UUA92" t="s">
        <v>428</v>
      </c>
      <c r="UUC92" t="s">
        <v>104</v>
      </c>
      <c r="UUD92" t="s">
        <v>103</v>
      </c>
      <c r="UUE92" t="s">
        <v>398</v>
      </c>
      <c r="UUF92">
        <v>1</v>
      </c>
      <c r="UUG92" t="s">
        <v>438</v>
      </c>
      <c r="UUH92" t="s">
        <v>439</v>
      </c>
      <c r="UUI92" t="s">
        <v>428</v>
      </c>
      <c r="UUK92" t="s">
        <v>104</v>
      </c>
      <c r="UUL92" t="s">
        <v>103</v>
      </c>
      <c r="UUM92" t="s">
        <v>398</v>
      </c>
      <c r="UUN92">
        <v>1</v>
      </c>
      <c r="UUO92" t="s">
        <v>438</v>
      </c>
      <c r="UUP92" t="s">
        <v>439</v>
      </c>
      <c r="UUQ92" t="s">
        <v>428</v>
      </c>
      <c r="UUS92" t="s">
        <v>104</v>
      </c>
      <c r="UUT92" t="s">
        <v>103</v>
      </c>
      <c r="UUU92" t="s">
        <v>398</v>
      </c>
      <c r="UUV92">
        <v>1</v>
      </c>
      <c r="UUW92" t="s">
        <v>438</v>
      </c>
      <c r="UUX92" t="s">
        <v>439</v>
      </c>
      <c r="UUY92" t="s">
        <v>428</v>
      </c>
      <c r="UVA92" t="s">
        <v>104</v>
      </c>
      <c r="UVB92" t="s">
        <v>103</v>
      </c>
      <c r="UVC92" t="s">
        <v>398</v>
      </c>
      <c r="UVD92">
        <v>1</v>
      </c>
      <c r="UVE92" t="s">
        <v>438</v>
      </c>
      <c r="UVF92" t="s">
        <v>439</v>
      </c>
      <c r="UVG92" t="s">
        <v>428</v>
      </c>
      <c r="UVI92" t="s">
        <v>104</v>
      </c>
      <c r="UVJ92" t="s">
        <v>103</v>
      </c>
      <c r="UVK92" t="s">
        <v>398</v>
      </c>
      <c r="UVL92">
        <v>1</v>
      </c>
      <c r="UVM92" t="s">
        <v>438</v>
      </c>
      <c r="UVN92" t="s">
        <v>439</v>
      </c>
      <c r="UVO92" t="s">
        <v>428</v>
      </c>
      <c r="UVQ92" t="s">
        <v>104</v>
      </c>
      <c r="UVR92" t="s">
        <v>103</v>
      </c>
      <c r="UVS92" t="s">
        <v>398</v>
      </c>
      <c r="UVT92">
        <v>1</v>
      </c>
      <c r="UVU92" t="s">
        <v>438</v>
      </c>
      <c r="UVV92" t="s">
        <v>439</v>
      </c>
      <c r="UVW92" t="s">
        <v>428</v>
      </c>
      <c r="UVY92" t="s">
        <v>104</v>
      </c>
      <c r="UVZ92" t="s">
        <v>103</v>
      </c>
      <c r="UWA92" t="s">
        <v>398</v>
      </c>
      <c r="UWB92">
        <v>1</v>
      </c>
      <c r="UWC92" t="s">
        <v>438</v>
      </c>
      <c r="UWD92" t="s">
        <v>439</v>
      </c>
      <c r="UWE92" t="s">
        <v>428</v>
      </c>
      <c r="UWG92" t="s">
        <v>104</v>
      </c>
      <c r="UWH92" t="s">
        <v>103</v>
      </c>
      <c r="UWI92" t="s">
        <v>398</v>
      </c>
      <c r="UWJ92">
        <v>1</v>
      </c>
      <c r="UWK92" t="s">
        <v>438</v>
      </c>
      <c r="UWL92" t="s">
        <v>439</v>
      </c>
      <c r="UWM92" t="s">
        <v>428</v>
      </c>
      <c r="UWO92" t="s">
        <v>104</v>
      </c>
      <c r="UWP92" t="s">
        <v>103</v>
      </c>
      <c r="UWQ92" t="s">
        <v>398</v>
      </c>
      <c r="UWR92">
        <v>1</v>
      </c>
      <c r="UWS92" t="s">
        <v>438</v>
      </c>
      <c r="UWT92" t="s">
        <v>439</v>
      </c>
      <c r="UWU92" t="s">
        <v>428</v>
      </c>
      <c r="UWW92" t="s">
        <v>104</v>
      </c>
      <c r="UWX92" t="s">
        <v>103</v>
      </c>
      <c r="UWY92" t="s">
        <v>398</v>
      </c>
      <c r="UWZ92">
        <v>1</v>
      </c>
      <c r="UXA92" t="s">
        <v>438</v>
      </c>
      <c r="UXB92" t="s">
        <v>439</v>
      </c>
      <c r="UXC92" t="s">
        <v>428</v>
      </c>
      <c r="UXE92" t="s">
        <v>104</v>
      </c>
      <c r="UXF92" t="s">
        <v>103</v>
      </c>
      <c r="UXG92" t="s">
        <v>398</v>
      </c>
      <c r="UXH92">
        <v>1</v>
      </c>
      <c r="UXI92" t="s">
        <v>438</v>
      </c>
      <c r="UXJ92" t="s">
        <v>439</v>
      </c>
      <c r="UXK92" t="s">
        <v>428</v>
      </c>
      <c r="UXM92" t="s">
        <v>104</v>
      </c>
      <c r="UXN92" t="s">
        <v>103</v>
      </c>
      <c r="UXO92" t="s">
        <v>398</v>
      </c>
      <c r="UXP92">
        <v>1</v>
      </c>
      <c r="UXQ92" t="s">
        <v>438</v>
      </c>
      <c r="UXR92" t="s">
        <v>439</v>
      </c>
      <c r="UXS92" t="s">
        <v>428</v>
      </c>
      <c r="UXU92" t="s">
        <v>104</v>
      </c>
      <c r="UXV92" t="s">
        <v>103</v>
      </c>
      <c r="UXW92" t="s">
        <v>398</v>
      </c>
      <c r="UXX92">
        <v>1</v>
      </c>
      <c r="UXY92" t="s">
        <v>438</v>
      </c>
      <c r="UXZ92" t="s">
        <v>439</v>
      </c>
      <c r="UYA92" t="s">
        <v>428</v>
      </c>
      <c r="UYC92" t="s">
        <v>104</v>
      </c>
      <c r="UYD92" t="s">
        <v>103</v>
      </c>
      <c r="UYE92" t="s">
        <v>398</v>
      </c>
      <c r="UYF92">
        <v>1</v>
      </c>
      <c r="UYG92" t="s">
        <v>438</v>
      </c>
      <c r="UYH92" t="s">
        <v>439</v>
      </c>
      <c r="UYI92" t="s">
        <v>428</v>
      </c>
      <c r="UYK92" t="s">
        <v>104</v>
      </c>
      <c r="UYL92" t="s">
        <v>103</v>
      </c>
      <c r="UYM92" t="s">
        <v>398</v>
      </c>
      <c r="UYN92">
        <v>1</v>
      </c>
      <c r="UYO92" t="s">
        <v>438</v>
      </c>
      <c r="UYP92" t="s">
        <v>439</v>
      </c>
      <c r="UYQ92" t="s">
        <v>428</v>
      </c>
      <c r="UYS92" t="s">
        <v>104</v>
      </c>
      <c r="UYT92" t="s">
        <v>103</v>
      </c>
      <c r="UYU92" t="s">
        <v>398</v>
      </c>
      <c r="UYV92">
        <v>1</v>
      </c>
      <c r="UYW92" t="s">
        <v>438</v>
      </c>
      <c r="UYX92" t="s">
        <v>439</v>
      </c>
      <c r="UYY92" t="s">
        <v>428</v>
      </c>
      <c r="UZA92" t="s">
        <v>104</v>
      </c>
      <c r="UZB92" t="s">
        <v>103</v>
      </c>
      <c r="UZC92" t="s">
        <v>398</v>
      </c>
      <c r="UZD92">
        <v>1</v>
      </c>
      <c r="UZE92" t="s">
        <v>438</v>
      </c>
      <c r="UZF92" t="s">
        <v>439</v>
      </c>
      <c r="UZG92" t="s">
        <v>428</v>
      </c>
      <c r="UZI92" t="s">
        <v>104</v>
      </c>
      <c r="UZJ92" t="s">
        <v>103</v>
      </c>
      <c r="UZK92" t="s">
        <v>398</v>
      </c>
      <c r="UZL92">
        <v>1</v>
      </c>
      <c r="UZM92" t="s">
        <v>438</v>
      </c>
      <c r="UZN92" t="s">
        <v>439</v>
      </c>
      <c r="UZO92" t="s">
        <v>428</v>
      </c>
      <c r="UZQ92" t="s">
        <v>104</v>
      </c>
      <c r="UZR92" t="s">
        <v>103</v>
      </c>
      <c r="UZS92" t="s">
        <v>398</v>
      </c>
      <c r="UZT92">
        <v>1</v>
      </c>
      <c r="UZU92" t="s">
        <v>438</v>
      </c>
      <c r="UZV92" t="s">
        <v>439</v>
      </c>
      <c r="UZW92" t="s">
        <v>428</v>
      </c>
      <c r="UZY92" t="s">
        <v>104</v>
      </c>
      <c r="UZZ92" t="s">
        <v>103</v>
      </c>
      <c r="VAA92" t="s">
        <v>398</v>
      </c>
      <c r="VAB92">
        <v>1</v>
      </c>
      <c r="VAC92" t="s">
        <v>438</v>
      </c>
      <c r="VAD92" t="s">
        <v>439</v>
      </c>
      <c r="VAE92" t="s">
        <v>428</v>
      </c>
      <c r="VAG92" t="s">
        <v>104</v>
      </c>
      <c r="VAH92" t="s">
        <v>103</v>
      </c>
      <c r="VAI92" t="s">
        <v>398</v>
      </c>
      <c r="VAJ92">
        <v>1</v>
      </c>
      <c r="VAK92" t="s">
        <v>438</v>
      </c>
      <c r="VAL92" t="s">
        <v>439</v>
      </c>
      <c r="VAM92" t="s">
        <v>428</v>
      </c>
      <c r="VAO92" t="s">
        <v>104</v>
      </c>
      <c r="VAP92" t="s">
        <v>103</v>
      </c>
      <c r="VAQ92" t="s">
        <v>398</v>
      </c>
      <c r="VAR92">
        <v>1</v>
      </c>
      <c r="VAS92" t="s">
        <v>438</v>
      </c>
      <c r="VAT92" t="s">
        <v>439</v>
      </c>
      <c r="VAU92" t="s">
        <v>428</v>
      </c>
      <c r="VAW92" t="s">
        <v>104</v>
      </c>
      <c r="VAX92" t="s">
        <v>103</v>
      </c>
      <c r="VAY92" t="s">
        <v>398</v>
      </c>
      <c r="VAZ92">
        <v>1</v>
      </c>
      <c r="VBA92" t="s">
        <v>438</v>
      </c>
      <c r="VBB92" t="s">
        <v>439</v>
      </c>
      <c r="VBC92" t="s">
        <v>428</v>
      </c>
      <c r="VBE92" t="s">
        <v>104</v>
      </c>
      <c r="VBF92" t="s">
        <v>103</v>
      </c>
      <c r="VBG92" t="s">
        <v>398</v>
      </c>
      <c r="VBH92">
        <v>1</v>
      </c>
      <c r="VBI92" t="s">
        <v>438</v>
      </c>
      <c r="VBJ92" t="s">
        <v>439</v>
      </c>
      <c r="VBK92" t="s">
        <v>428</v>
      </c>
      <c r="VBM92" t="s">
        <v>104</v>
      </c>
      <c r="VBN92" t="s">
        <v>103</v>
      </c>
      <c r="VBO92" t="s">
        <v>398</v>
      </c>
      <c r="VBP92">
        <v>1</v>
      </c>
      <c r="VBQ92" t="s">
        <v>438</v>
      </c>
      <c r="VBR92" t="s">
        <v>439</v>
      </c>
      <c r="VBS92" t="s">
        <v>428</v>
      </c>
      <c r="VBU92" t="s">
        <v>104</v>
      </c>
      <c r="VBV92" t="s">
        <v>103</v>
      </c>
      <c r="VBW92" t="s">
        <v>398</v>
      </c>
      <c r="VBX92">
        <v>1</v>
      </c>
      <c r="VBY92" t="s">
        <v>438</v>
      </c>
      <c r="VBZ92" t="s">
        <v>439</v>
      </c>
      <c r="VCA92" t="s">
        <v>428</v>
      </c>
      <c r="VCC92" t="s">
        <v>104</v>
      </c>
      <c r="VCD92" t="s">
        <v>103</v>
      </c>
      <c r="VCE92" t="s">
        <v>398</v>
      </c>
      <c r="VCF92">
        <v>1</v>
      </c>
      <c r="VCG92" t="s">
        <v>438</v>
      </c>
      <c r="VCH92" t="s">
        <v>439</v>
      </c>
      <c r="VCI92" t="s">
        <v>428</v>
      </c>
      <c r="VCK92" t="s">
        <v>104</v>
      </c>
      <c r="VCL92" t="s">
        <v>103</v>
      </c>
      <c r="VCM92" t="s">
        <v>398</v>
      </c>
      <c r="VCN92">
        <v>1</v>
      </c>
      <c r="VCO92" t="s">
        <v>438</v>
      </c>
      <c r="VCP92" t="s">
        <v>439</v>
      </c>
      <c r="VCQ92" t="s">
        <v>428</v>
      </c>
      <c r="VCS92" t="s">
        <v>104</v>
      </c>
      <c r="VCT92" t="s">
        <v>103</v>
      </c>
      <c r="VCU92" t="s">
        <v>398</v>
      </c>
      <c r="VCV92">
        <v>1</v>
      </c>
      <c r="VCW92" t="s">
        <v>438</v>
      </c>
      <c r="VCX92" t="s">
        <v>439</v>
      </c>
      <c r="VCY92" t="s">
        <v>428</v>
      </c>
      <c r="VDA92" t="s">
        <v>104</v>
      </c>
      <c r="VDB92" t="s">
        <v>103</v>
      </c>
      <c r="VDC92" t="s">
        <v>398</v>
      </c>
      <c r="VDD92">
        <v>1</v>
      </c>
      <c r="VDE92" t="s">
        <v>438</v>
      </c>
      <c r="VDF92" t="s">
        <v>439</v>
      </c>
      <c r="VDG92" t="s">
        <v>428</v>
      </c>
      <c r="VDI92" t="s">
        <v>104</v>
      </c>
      <c r="VDJ92" t="s">
        <v>103</v>
      </c>
      <c r="VDK92" t="s">
        <v>398</v>
      </c>
      <c r="VDL92">
        <v>1</v>
      </c>
      <c r="VDM92" t="s">
        <v>438</v>
      </c>
      <c r="VDN92" t="s">
        <v>439</v>
      </c>
      <c r="VDO92" t="s">
        <v>428</v>
      </c>
      <c r="VDQ92" t="s">
        <v>104</v>
      </c>
      <c r="VDR92" t="s">
        <v>103</v>
      </c>
      <c r="VDS92" t="s">
        <v>398</v>
      </c>
      <c r="VDT92">
        <v>1</v>
      </c>
      <c r="VDU92" t="s">
        <v>438</v>
      </c>
      <c r="VDV92" t="s">
        <v>439</v>
      </c>
      <c r="VDW92" t="s">
        <v>428</v>
      </c>
      <c r="VDY92" t="s">
        <v>104</v>
      </c>
      <c r="VDZ92" t="s">
        <v>103</v>
      </c>
      <c r="VEA92" t="s">
        <v>398</v>
      </c>
      <c r="VEB92">
        <v>1</v>
      </c>
      <c r="VEC92" t="s">
        <v>438</v>
      </c>
      <c r="VED92" t="s">
        <v>439</v>
      </c>
      <c r="VEE92" t="s">
        <v>428</v>
      </c>
      <c r="VEG92" t="s">
        <v>104</v>
      </c>
      <c r="VEH92" t="s">
        <v>103</v>
      </c>
      <c r="VEI92" t="s">
        <v>398</v>
      </c>
      <c r="VEJ92">
        <v>1</v>
      </c>
      <c r="VEK92" t="s">
        <v>438</v>
      </c>
      <c r="VEL92" t="s">
        <v>439</v>
      </c>
      <c r="VEM92" t="s">
        <v>428</v>
      </c>
      <c r="VEO92" t="s">
        <v>104</v>
      </c>
      <c r="VEP92" t="s">
        <v>103</v>
      </c>
      <c r="VEQ92" t="s">
        <v>398</v>
      </c>
      <c r="VER92">
        <v>1</v>
      </c>
      <c r="VES92" t="s">
        <v>438</v>
      </c>
      <c r="VET92" t="s">
        <v>439</v>
      </c>
      <c r="VEU92" t="s">
        <v>428</v>
      </c>
      <c r="VEW92" t="s">
        <v>104</v>
      </c>
      <c r="VEX92" t="s">
        <v>103</v>
      </c>
      <c r="VEY92" t="s">
        <v>398</v>
      </c>
      <c r="VEZ92">
        <v>1</v>
      </c>
      <c r="VFA92" t="s">
        <v>438</v>
      </c>
      <c r="VFB92" t="s">
        <v>439</v>
      </c>
      <c r="VFC92" t="s">
        <v>428</v>
      </c>
      <c r="VFE92" t="s">
        <v>104</v>
      </c>
      <c r="VFF92" t="s">
        <v>103</v>
      </c>
      <c r="VFG92" t="s">
        <v>398</v>
      </c>
      <c r="VFH92">
        <v>1</v>
      </c>
      <c r="VFI92" t="s">
        <v>438</v>
      </c>
      <c r="VFJ92" t="s">
        <v>439</v>
      </c>
      <c r="VFK92" t="s">
        <v>428</v>
      </c>
      <c r="VFM92" t="s">
        <v>104</v>
      </c>
      <c r="VFN92" t="s">
        <v>103</v>
      </c>
      <c r="VFO92" t="s">
        <v>398</v>
      </c>
      <c r="VFP92">
        <v>1</v>
      </c>
      <c r="VFQ92" t="s">
        <v>438</v>
      </c>
      <c r="VFR92" t="s">
        <v>439</v>
      </c>
      <c r="VFS92" t="s">
        <v>428</v>
      </c>
      <c r="VFU92" t="s">
        <v>104</v>
      </c>
      <c r="VFV92" t="s">
        <v>103</v>
      </c>
      <c r="VFW92" t="s">
        <v>398</v>
      </c>
      <c r="VFX92">
        <v>1</v>
      </c>
      <c r="VFY92" t="s">
        <v>438</v>
      </c>
      <c r="VFZ92" t="s">
        <v>439</v>
      </c>
      <c r="VGA92" t="s">
        <v>428</v>
      </c>
      <c r="VGC92" t="s">
        <v>104</v>
      </c>
      <c r="VGD92" t="s">
        <v>103</v>
      </c>
      <c r="VGE92" t="s">
        <v>398</v>
      </c>
      <c r="VGF92">
        <v>1</v>
      </c>
      <c r="VGG92" t="s">
        <v>438</v>
      </c>
      <c r="VGH92" t="s">
        <v>439</v>
      </c>
      <c r="VGI92" t="s">
        <v>428</v>
      </c>
      <c r="VGK92" t="s">
        <v>104</v>
      </c>
      <c r="VGL92" t="s">
        <v>103</v>
      </c>
      <c r="VGM92" t="s">
        <v>398</v>
      </c>
      <c r="VGN92">
        <v>1</v>
      </c>
      <c r="VGO92" t="s">
        <v>438</v>
      </c>
      <c r="VGP92" t="s">
        <v>439</v>
      </c>
      <c r="VGQ92" t="s">
        <v>428</v>
      </c>
      <c r="VGS92" t="s">
        <v>104</v>
      </c>
      <c r="VGT92" t="s">
        <v>103</v>
      </c>
      <c r="VGU92" t="s">
        <v>398</v>
      </c>
      <c r="VGV92">
        <v>1</v>
      </c>
      <c r="VGW92" t="s">
        <v>438</v>
      </c>
      <c r="VGX92" t="s">
        <v>439</v>
      </c>
      <c r="VGY92" t="s">
        <v>428</v>
      </c>
      <c r="VHA92" t="s">
        <v>104</v>
      </c>
      <c r="VHB92" t="s">
        <v>103</v>
      </c>
      <c r="VHC92" t="s">
        <v>398</v>
      </c>
      <c r="VHD92">
        <v>1</v>
      </c>
      <c r="VHE92" t="s">
        <v>438</v>
      </c>
      <c r="VHF92" t="s">
        <v>439</v>
      </c>
      <c r="VHG92" t="s">
        <v>428</v>
      </c>
      <c r="VHI92" t="s">
        <v>104</v>
      </c>
      <c r="VHJ92" t="s">
        <v>103</v>
      </c>
      <c r="VHK92" t="s">
        <v>398</v>
      </c>
      <c r="VHL92">
        <v>1</v>
      </c>
      <c r="VHM92" t="s">
        <v>438</v>
      </c>
      <c r="VHN92" t="s">
        <v>439</v>
      </c>
      <c r="VHO92" t="s">
        <v>428</v>
      </c>
      <c r="VHQ92" t="s">
        <v>104</v>
      </c>
      <c r="VHR92" t="s">
        <v>103</v>
      </c>
      <c r="VHS92" t="s">
        <v>398</v>
      </c>
      <c r="VHT92">
        <v>1</v>
      </c>
      <c r="VHU92" t="s">
        <v>438</v>
      </c>
      <c r="VHV92" t="s">
        <v>439</v>
      </c>
      <c r="VHW92" t="s">
        <v>428</v>
      </c>
      <c r="VHY92" t="s">
        <v>104</v>
      </c>
      <c r="VHZ92" t="s">
        <v>103</v>
      </c>
      <c r="VIA92" t="s">
        <v>398</v>
      </c>
      <c r="VIB92">
        <v>1</v>
      </c>
      <c r="VIC92" t="s">
        <v>438</v>
      </c>
      <c r="VID92" t="s">
        <v>439</v>
      </c>
      <c r="VIE92" t="s">
        <v>428</v>
      </c>
      <c r="VIG92" t="s">
        <v>104</v>
      </c>
      <c r="VIH92" t="s">
        <v>103</v>
      </c>
      <c r="VII92" t="s">
        <v>398</v>
      </c>
      <c r="VIJ92">
        <v>1</v>
      </c>
      <c r="VIK92" t="s">
        <v>438</v>
      </c>
      <c r="VIL92" t="s">
        <v>439</v>
      </c>
      <c r="VIM92" t="s">
        <v>428</v>
      </c>
      <c r="VIO92" t="s">
        <v>104</v>
      </c>
      <c r="VIP92" t="s">
        <v>103</v>
      </c>
      <c r="VIQ92" t="s">
        <v>398</v>
      </c>
      <c r="VIR92">
        <v>1</v>
      </c>
      <c r="VIS92" t="s">
        <v>438</v>
      </c>
      <c r="VIT92" t="s">
        <v>439</v>
      </c>
      <c r="VIU92" t="s">
        <v>428</v>
      </c>
      <c r="VIW92" t="s">
        <v>104</v>
      </c>
      <c r="VIX92" t="s">
        <v>103</v>
      </c>
      <c r="VIY92" t="s">
        <v>398</v>
      </c>
      <c r="VIZ92">
        <v>1</v>
      </c>
      <c r="VJA92" t="s">
        <v>438</v>
      </c>
      <c r="VJB92" t="s">
        <v>439</v>
      </c>
      <c r="VJC92" t="s">
        <v>428</v>
      </c>
      <c r="VJE92" t="s">
        <v>104</v>
      </c>
      <c r="VJF92" t="s">
        <v>103</v>
      </c>
      <c r="VJG92" t="s">
        <v>398</v>
      </c>
      <c r="VJH92">
        <v>1</v>
      </c>
      <c r="VJI92" t="s">
        <v>438</v>
      </c>
      <c r="VJJ92" t="s">
        <v>439</v>
      </c>
      <c r="VJK92" t="s">
        <v>428</v>
      </c>
      <c r="VJM92" t="s">
        <v>104</v>
      </c>
      <c r="VJN92" t="s">
        <v>103</v>
      </c>
      <c r="VJO92" t="s">
        <v>398</v>
      </c>
      <c r="VJP92">
        <v>1</v>
      </c>
      <c r="VJQ92" t="s">
        <v>438</v>
      </c>
      <c r="VJR92" t="s">
        <v>439</v>
      </c>
      <c r="VJS92" t="s">
        <v>428</v>
      </c>
      <c r="VJU92" t="s">
        <v>104</v>
      </c>
      <c r="VJV92" t="s">
        <v>103</v>
      </c>
      <c r="VJW92" t="s">
        <v>398</v>
      </c>
      <c r="VJX92">
        <v>1</v>
      </c>
      <c r="VJY92" t="s">
        <v>438</v>
      </c>
      <c r="VJZ92" t="s">
        <v>439</v>
      </c>
      <c r="VKA92" t="s">
        <v>428</v>
      </c>
      <c r="VKC92" t="s">
        <v>104</v>
      </c>
      <c r="VKD92" t="s">
        <v>103</v>
      </c>
      <c r="VKE92" t="s">
        <v>398</v>
      </c>
      <c r="VKF92">
        <v>1</v>
      </c>
      <c r="VKG92" t="s">
        <v>438</v>
      </c>
      <c r="VKH92" t="s">
        <v>439</v>
      </c>
      <c r="VKI92" t="s">
        <v>428</v>
      </c>
      <c r="VKK92" t="s">
        <v>104</v>
      </c>
      <c r="VKL92" t="s">
        <v>103</v>
      </c>
      <c r="VKM92" t="s">
        <v>398</v>
      </c>
      <c r="VKN92">
        <v>1</v>
      </c>
      <c r="VKO92" t="s">
        <v>438</v>
      </c>
      <c r="VKP92" t="s">
        <v>439</v>
      </c>
      <c r="VKQ92" t="s">
        <v>428</v>
      </c>
      <c r="VKS92" t="s">
        <v>104</v>
      </c>
      <c r="VKT92" t="s">
        <v>103</v>
      </c>
      <c r="VKU92" t="s">
        <v>398</v>
      </c>
      <c r="VKV92">
        <v>1</v>
      </c>
      <c r="VKW92" t="s">
        <v>438</v>
      </c>
      <c r="VKX92" t="s">
        <v>439</v>
      </c>
      <c r="VKY92" t="s">
        <v>428</v>
      </c>
      <c r="VLA92" t="s">
        <v>104</v>
      </c>
      <c r="VLB92" t="s">
        <v>103</v>
      </c>
      <c r="VLC92" t="s">
        <v>398</v>
      </c>
      <c r="VLD92">
        <v>1</v>
      </c>
      <c r="VLE92" t="s">
        <v>438</v>
      </c>
      <c r="VLF92" t="s">
        <v>439</v>
      </c>
      <c r="VLG92" t="s">
        <v>428</v>
      </c>
      <c r="VLI92" t="s">
        <v>104</v>
      </c>
      <c r="VLJ92" t="s">
        <v>103</v>
      </c>
      <c r="VLK92" t="s">
        <v>398</v>
      </c>
      <c r="VLL92">
        <v>1</v>
      </c>
      <c r="VLM92" t="s">
        <v>438</v>
      </c>
      <c r="VLN92" t="s">
        <v>439</v>
      </c>
      <c r="VLO92" t="s">
        <v>428</v>
      </c>
      <c r="VLQ92" t="s">
        <v>104</v>
      </c>
      <c r="VLR92" t="s">
        <v>103</v>
      </c>
      <c r="VLS92" t="s">
        <v>398</v>
      </c>
      <c r="VLT92">
        <v>1</v>
      </c>
      <c r="VLU92" t="s">
        <v>438</v>
      </c>
      <c r="VLV92" t="s">
        <v>439</v>
      </c>
      <c r="VLW92" t="s">
        <v>428</v>
      </c>
      <c r="VLY92" t="s">
        <v>104</v>
      </c>
      <c r="VLZ92" t="s">
        <v>103</v>
      </c>
      <c r="VMA92" t="s">
        <v>398</v>
      </c>
      <c r="VMB92">
        <v>1</v>
      </c>
      <c r="VMC92" t="s">
        <v>438</v>
      </c>
      <c r="VMD92" t="s">
        <v>439</v>
      </c>
      <c r="VME92" t="s">
        <v>428</v>
      </c>
      <c r="VMG92" t="s">
        <v>104</v>
      </c>
      <c r="VMH92" t="s">
        <v>103</v>
      </c>
      <c r="VMI92" t="s">
        <v>398</v>
      </c>
      <c r="VMJ92">
        <v>1</v>
      </c>
      <c r="VMK92" t="s">
        <v>438</v>
      </c>
      <c r="VML92" t="s">
        <v>439</v>
      </c>
      <c r="VMM92" t="s">
        <v>428</v>
      </c>
      <c r="VMO92" t="s">
        <v>104</v>
      </c>
      <c r="VMP92" t="s">
        <v>103</v>
      </c>
      <c r="VMQ92" t="s">
        <v>398</v>
      </c>
      <c r="VMR92">
        <v>1</v>
      </c>
      <c r="VMS92" t="s">
        <v>438</v>
      </c>
      <c r="VMT92" t="s">
        <v>439</v>
      </c>
      <c r="VMU92" t="s">
        <v>428</v>
      </c>
      <c r="VMW92" t="s">
        <v>104</v>
      </c>
      <c r="VMX92" t="s">
        <v>103</v>
      </c>
      <c r="VMY92" t="s">
        <v>398</v>
      </c>
      <c r="VMZ92">
        <v>1</v>
      </c>
      <c r="VNA92" t="s">
        <v>438</v>
      </c>
      <c r="VNB92" t="s">
        <v>439</v>
      </c>
      <c r="VNC92" t="s">
        <v>428</v>
      </c>
      <c r="VNE92" t="s">
        <v>104</v>
      </c>
      <c r="VNF92" t="s">
        <v>103</v>
      </c>
      <c r="VNG92" t="s">
        <v>398</v>
      </c>
      <c r="VNH92">
        <v>1</v>
      </c>
      <c r="VNI92" t="s">
        <v>438</v>
      </c>
      <c r="VNJ92" t="s">
        <v>439</v>
      </c>
      <c r="VNK92" t="s">
        <v>428</v>
      </c>
      <c r="VNM92" t="s">
        <v>104</v>
      </c>
      <c r="VNN92" t="s">
        <v>103</v>
      </c>
      <c r="VNO92" t="s">
        <v>398</v>
      </c>
      <c r="VNP92">
        <v>1</v>
      </c>
      <c r="VNQ92" t="s">
        <v>438</v>
      </c>
      <c r="VNR92" t="s">
        <v>439</v>
      </c>
      <c r="VNS92" t="s">
        <v>428</v>
      </c>
      <c r="VNU92" t="s">
        <v>104</v>
      </c>
      <c r="VNV92" t="s">
        <v>103</v>
      </c>
      <c r="VNW92" t="s">
        <v>398</v>
      </c>
      <c r="VNX92">
        <v>1</v>
      </c>
      <c r="VNY92" t="s">
        <v>438</v>
      </c>
      <c r="VNZ92" t="s">
        <v>439</v>
      </c>
      <c r="VOA92" t="s">
        <v>428</v>
      </c>
      <c r="VOC92" t="s">
        <v>104</v>
      </c>
      <c r="VOD92" t="s">
        <v>103</v>
      </c>
      <c r="VOE92" t="s">
        <v>398</v>
      </c>
      <c r="VOF92">
        <v>1</v>
      </c>
      <c r="VOG92" t="s">
        <v>438</v>
      </c>
      <c r="VOH92" t="s">
        <v>439</v>
      </c>
      <c r="VOI92" t="s">
        <v>428</v>
      </c>
      <c r="VOK92" t="s">
        <v>104</v>
      </c>
      <c r="VOL92" t="s">
        <v>103</v>
      </c>
      <c r="VOM92" t="s">
        <v>398</v>
      </c>
      <c r="VON92">
        <v>1</v>
      </c>
      <c r="VOO92" t="s">
        <v>438</v>
      </c>
      <c r="VOP92" t="s">
        <v>439</v>
      </c>
      <c r="VOQ92" t="s">
        <v>428</v>
      </c>
      <c r="VOS92" t="s">
        <v>104</v>
      </c>
      <c r="VOT92" t="s">
        <v>103</v>
      </c>
      <c r="VOU92" t="s">
        <v>398</v>
      </c>
      <c r="VOV92">
        <v>1</v>
      </c>
      <c r="VOW92" t="s">
        <v>438</v>
      </c>
      <c r="VOX92" t="s">
        <v>439</v>
      </c>
      <c r="VOY92" t="s">
        <v>428</v>
      </c>
      <c r="VPA92" t="s">
        <v>104</v>
      </c>
      <c r="VPB92" t="s">
        <v>103</v>
      </c>
      <c r="VPC92" t="s">
        <v>398</v>
      </c>
      <c r="VPD92">
        <v>1</v>
      </c>
      <c r="VPE92" t="s">
        <v>438</v>
      </c>
      <c r="VPF92" t="s">
        <v>439</v>
      </c>
      <c r="VPG92" t="s">
        <v>428</v>
      </c>
      <c r="VPI92" t="s">
        <v>104</v>
      </c>
      <c r="VPJ92" t="s">
        <v>103</v>
      </c>
      <c r="VPK92" t="s">
        <v>398</v>
      </c>
      <c r="VPL92">
        <v>1</v>
      </c>
      <c r="VPM92" t="s">
        <v>438</v>
      </c>
      <c r="VPN92" t="s">
        <v>439</v>
      </c>
      <c r="VPO92" t="s">
        <v>428</v>
      </c>
      <c r="VPQ92" t="s">
        <v>104</v>
      </c>
      <c r="VPR92" t="s">
        <v>103</v>
      </c>
      <c r="VPS92" t="s">
        <v>398</v>
      </c>
      <c r="VPT92">
        <v>1</v>
      </c>
      <c r="VPU92" t="s">
        <v>438</v>
      </c>
      <c r="VPV92" t="s">
        <v>439</v>
      </c>
      <c r="VPW92" t="s">
        <v>428</v>
      </c>
      <c r="VPY92" t="s">
        <v>104</v>
      </c>
      <c r="VPZ92" t="s">
        <v>103</v>
      </c>
      <c r="VQA92" t="s">
        <v>398</v>
      </c>
      <c r="VQB92">
        <v>1</v>
      </c>
      <c r="VQC92" t="s">
        <v>438</v>
      </c>
      <c r="VQD92" t="s">
        <v>439</v>
      </c>
      <c r="VQE92" t="s">
        <v>428</v>
      </c>
      <c r="VQG92" t="s">
        <v>104</v>
      </c>
      <c r="VQH92" t="s">
        <v>103</v>
      </c>
      <c r="VQI92" t="s">
        <v>398</v>
      </c>
      <c r="VQJ92">
        <v>1</v>
      </c>
      <c r="VQK92" t="s">
        <v>438</v>
      </c>
      <c r="VQL92" t="s">
        <v>439</v>
      </c>
      <c r="VQM92" t="s">
        <v>428</v>
      </c>
      <c r="VQO92" t="s">
        <v>104</v>
      </c>
      <c r="VQP92" t="s">
        <v>103</v>
      </c>
      <c r="VQQ92" t="s">
        <v>398</v>
      </c>
      <c r="VQR92">
        <v>1</v>
      </c>
      <c r="VQS92" t="s">
        <v>438</v>
      </c>
      <c r="VQT92" t="s">
        <v>439</v>
      </c>
      <c r="VQU92" t="s">
        <v>428</v>
      </c>
      <c r="VQW92" t="s">
        <v>104</v>
      </c>
      <c r="VQX92" t="s">
        <v>103</v>
      </c>
      <c r="VQY92" t="s">
        <v>398</v>
      </c>
      <c r="VQZ92">
        <v>1</v>
      </c>
      <c r="VRA92" t="s">
        <v>438</v>
      </c>
      <c r="VRB92" t="s">
        <v>439</v>
      </c>
      <c r="VRC92" t="s">
        <v>428</v>
      </c>
      <c r="VRE92" t="s">
        <v>104</v>
      </c>
      <c r="VRF92" t="s">
        <v>103</v>
      </c>
      <c r="VRG92" t="s">
        <v>398</v>
      </c>
      <c r="VRH92">
        <v>1</v>
      </c>
      <c r="VRI92" t="s">
        <v>438</v>
      </c>
      <c r="VRJ92" t="s">
        <v>439</v>
      </c>
      <c r="VRK92" t="s">
        <v>428</v>
      </c>
      <c r="VRM92" t="s">
        <v>104</v>
      </c>
      <c r="VRN92" t="s">
        <v>103</v>
      </c>
      <c r="VRO92" t="s">
        <v>398</v>
      </c>
      <c r="VRP92">
        <v>1</v>
      </c>
      <c r="VRQ92" t="s">
        <v>438</v>
      </c>
      <c r="VRR92" t="s">
        <v>439</v>
      </c>
      <c r="VRS92" t="s">
        <v>428</v>
      </c>
      <c r="VRU92" t="s">
        <v>104</v>
      </c>
      <c r="VRV92" t="s">
        <v>103</v>
      </c>
      <c r="VRW92" t="s">
        <v>398</v>
      </c>
      <c r="VRX92">
        <v>1</v>
      </c>
      <c r="VRY92" t="s">
        <v>438</v>
      </c>
      <c r="VRZ92" t="s">
        <v>439</v>
      </c>
      <c r="VSA92" t="s">
        <v>428</v>
      </c>
      <c r="VSC92" t="s">
        <v>104</v>
      </c>
      <c r="VSD92" t="s">
        <v>103</v>
      </c>
      <c r="VSE92" t="s">
        <v>398</v>
      </c>
      <c r="VSF92">
        <v>1</v>
      </c>
      <c r="VSG92" t="s">
        <v>438</v>
      </c>
      <c r="VSH92" t="s">
        <v>439</v>
      </c>
      <c r="VSI92" t="s">
        <v>428</v>
      </c>
      <c r="VSK92" t="s">
        <v>104</v>
      </c>
      <c r="VSL92" t="s">
        <v>103</v>
      </c>
      <c r="VSM92" t="s">
        <v>398</v>
      </c>
      <c r="VSN92">
        <v>1</v>
      </c>
      <c r="VSO92" t="s">
        <v>438</v>
      </c>
      <c r="VSP92" t="s">
        <v>439</v>
      </c>
      <c r="VSQ92" t="s">
        <v>428</v>
      </c>
      <c r="VSS92" t="s">
        <v>104</v>
      </c>
      <c r="VST92" t="s">
        <v>103</v>
      </c>
      <c r="VSU92" t="s">
        <v>398</v>
      </c>
      <c r="VSV92">
        <v>1</v>
      </c>
      <c r="VSW92" t="s">
        <v>438</v>
      </c>
      <c r="VSX92" t="s">
        <v>439</v>
      </c>
      <c r="VSY92" t="s">
        <v>428</v>
      </c>
      <c r="VTA92" t="s">
        <v>104</v>
      </c>
      <c r="VTB92" t="s">
        <v>103</v>
      </c>
      <c r="VTC92" t="s">
        <v>398</v>
      </c>
      <c r="VTD92">
        <v>1</v>
      </c>
      <c r="VTE92" t="s">
        <v>438</v>
      </c>
      <c r="VTF92" t="s">
        <v>439</v>
      </c>
      <c r="VTG92" t="s">
        <v>428</v>
      </c>
      <c r="VTI92" t="s">
        <v>104</v>
      </c>
      <c r="VTJ92" t="s">
        <v>103</v>
      </c>
      <c r="VTK92" t="s">
        <v>398</v>
      </c>
      <c r="VTL92">
        <v>1</v>
      </c>
      <c r="VTM92" t="s">
        <v>438</v>
      </c>
      <c r="VTN92" t="s">
        <v>439</v>
      </c>
      <c r="VTO92" t="s">
        <v>428</v>
      </c>
      <c r="VTQ92" t="s">
        <v>104</v>
      </c>
      <c r="VTR92" t="s">
        <v>103</v>
      </c>
      <c r="VTS92" t="s">
        <v>398</v>
      </c>
      <c r="VTT92">
        <v>1</v>
      </c>
      <c r="VTU92" t="s">
        <v>438</v>
      </c>
      <c r="VTV92" t="s">
        <v>439</v>
      </c>
      <c r="VTW92" t="s">
        <v>428</v>
      </c>
      <c r="VTY92" t="s">
        <v>104</v>
      </c>
      <c r="VTZ92" t="s">
        <v>103</v>
      </c>
      <c r="VUA92" t="s">
        <v>398</v>
      </c>
      <c r="VUB92">
        <v>1</v>
      </c>
      <c r="VUC92" t="s">
        <v>438</v>
      </c>
      <c r="VUD92" t="s">
        <v>439</v>
      </c>
      <c r="VUE92" t="s">
        <v>428</v>
      </c>
      <c r="VUG92" t="s">
        <v>104</v>
      </c>
      <c r="VUH92" t="s">
        <v>103</v>
      </c>
      <c r="VUI92" t="s">
        <v>398</v>
      </c>
      <c r="VUJ92">
        <v>1</v>
      </c>
      <c r="VUK92" t="s">
        <v>438</v>
      </c>
      <c r="VUL92" t="s">
        <v>439</v>
      </c>
      <c r="VUM92" t="s">
        <v>428</v>
      </c>
      <c r="VUO92" t="s">
        <v>104</v>
      </c>
      <c r="VUP92" t="s">
        <v>103</v>
      </c>
      <c r="VUQ92" t="s">
        <v>398</v>
      </c>
      <c r="VUR92">
        <v>1</v>
      </c>
      <c r="VUS92" t="s">
        <v>438</v>
      </c>
      <c r="VUT92" t="s">
        <v>439</v>
      </c>
      <c r="VUU92" t="s">
        <v>428</v>
      </c>
      <c r="VUW92" t="s">
        <v>104</v>
      </c>
      <c r="VUX92" t="s">
        <v>103</v>
      </c>
      <c r="VUY92" t="s">
        <v>398</v>
      </c>
      <c r="VUZ92">
        <v>1</v>
      </c>
      <c r="VVA92" t="s">
        <v>438</v>
      </c>
      <c r="VVB92" t="s">
        <v>439</v>
      </c>
      <c r="VVC92" t="s">
        <v>428</v>
      </c>
      <c r="VVE92" t="s">
        <v>104</v>
      </c>
      <c r="VVF92" t="s">
        <v>103</v>
      </c>
      <c r="VVG92" t="s">
        <v>398</v>
      </c>
      <c r="VVH92">
        <v>1</v>
      </c>
      <c r="VVI92" t="s">
        <v>438</v>
      </c>
      <c r="VVJ92" t="s">
        <v>439</v>
      </c>
      <c r="VVK92" t="s">
        <v>428</v>
      </c>
      <c r="VVM92" t="s">
        <v>104</v>
      </c>
      <c r="VVN92" t="s">
        <v>103</v>
      </c>
      <c r="VVO92" t="s">
        <v>398</v>
      </c>
      <c r="VVP92">
        <v>1</v>
      </c>
      <c r="VVQ92" t="s">
        <v>438</v>
      </c>
      <c r="VVR92" t="s">
        <v>439</v>
      </c>
      <c r="VVS92" t="s">
        <v>428</v>
      </c>
      <c r="VVU92" t="s">
        <v>104</v>
      </c>
      <c r="VVV92" t="s">
        <v>103</v>
      </c>
      <c r="VVW92" t="s">
        <v>398</v>
      </c>
      <c r="VVX92">
        <v>1</v>
      </c>
      <c r="VVY92" t="s">
        <v>438</v>
      </c>
      <c r="VVZ92" t="s">
        <v>439</v>
      </c>
      <c r="VWA92" t="s">
        <v>428</v>
      </c>
      <c r="VWC92" t="s">
        <v>104</v>
      </c>
      <c r="VWD92" t="s">
        <v>103</v>
      </c>
      <c r="VWE92" t="s">
        <v>398</v>
      </c>
      <c r="VWF92">
        <v>1</v>
      </c>
      <c r="VWG92" t="s">
        <v>438</v>
      </c>
      <c r="VWH92" t="s">
        <v>439</v>
      </c>
      <c r="VWI92" t="s">
        <v>428</v>
      </c>
      <c r="VWK92" t="s">
        <v>104</v>
      </c>
      <c r="VWL92" t="s">
        <v>103</v>
      </c>
      <c r="VWM92" t="s">
        <v>398</v>
      </c>
      <c r="VWN92">
        <v>1</v>
      </c>
      <c r="VWO92" t="s">
        <v>438</v>
      </c>
      <c r="VWP92" t="s">
        <v>439</v>
      </c>
      <c r="VWQ92" t="s">
        <v>428</v>
      </c>
      <c r="VWS92" t="s">
        <v>104</v>
      </c>
      <c r="VWT92" t="s">
        <v>103</v>
      </c>
      <c r="VWU92" t="s">
        <v>398</v>
      </c>
      <c r="VWV92">
        <v>1</v>
      </c>
      <c r="VWW92" t="s">
        <v>438</v>
      </c>
      <c r="VWX92" t="s">
        <v>439</v>
      </c>
      <c r="VWY92" t="s">
        <v>428</v>
      </c>
      <c r="VXA92" t="s">
        <v>104</v>
      </c>
      <c r="VXB92" t="s">
        <v>103</v>
      </c>
      <c r="VXC92" t="s">
        <v>398</v>
      </c>
      <c r="VXD92">
        <v>1</v>
      </c>
      <c r="VXE92" t="s">
        <v>438</v>
      </c>
      <c r="VXF92" t="s">
        <v>439</v>
      </c>
      <c r="VXG92" t="s">
        <v>428</v>
      </c>
      <c r="VXI92" t="s">
        <v>104</v>
      </c>
      <c r="VXJ92" t="s">
        <v>103</v>
      </c>
      <c r="VXK92" t="s">
        <v>398</v>
      </c>
      <c r="VXL92">
        <v>1</v>
      </c>
      <c r="VXM92" t="s">
        <v>438</v>
      </c>
      <c r="VXN92" t="s">
        <v>439</v>
      </c>
      <c r="VXO92" t="s">
        <v>428</v>
      </c>
      <c r="VXQ92" t="s">
        <v>104</v>
      </c>
      <c r="VXR92" t="s">
        <v>103</v>
      </c>
      <c r="VXS92" t="s">
        <v>398</v>
      </c>
      <c r="VXT92">
        <v>1</v>
      </c>
      <c r="VXU92" t="s">
        <v>438</v>
      </c>
      <c r="VXV92" t="s">
        <v>439</v>
      </c>
      <c r="VXW92" t="s">
        <v>428</v>
      </c>
      <c r="VXY92" t="s">
        <v>104</v>
      </c>
      <c r="VXZ92" t="s">
        <v>103</v>
      </c>
      <c r="VYA92" t="s">
        <v>398</v>
      </c>
      <c r="VYB92">
        <v>1</v>
      </c>
      <c r="VYC92" t="s">
        <v>438</v>
      </c>
      <c r="VYD92" t="s">
        <v>439</v>
      </c>
      <c r="VYE92" t="s">
        <v>428</v>
      </c>
      <c r="VYG92" t="s">
        <v>104</v>
      </c>
      <c r="VYH92" t="s">
        <v>103</v>
      </c>
      <c r="VYI92" t="s">
        <v>398</v>
      </c>
      <c r="VYJ92">
        <v>1</v>
      </c>
      <c r="VYK92" t="s">
        <v>438</v>
      </c>
      <c r="VYL92" t="s">
        <v>439</v>
      </c>
      <c r="VYM92" t="s">
        <v>428</v>
      </c>
      <c r="VYO92" t="s">
        <v>104</v>
      </c>
      <c r="VYP92" t="s">
        <v>103</v>
      </c>
      <c r="VYQ92" t="s">
        <v>398</v>
      </c>
      <c r="VYR92">
        <v>1</v>
      </c>
      <c r="VYS92" t="s">
        <v>438</v>
      </c>
      <c r="VYT92" t="s">
        <v>439</v>
      </c>
      <c r="VYU92" t="s">
        <v>428</v>
      </c>
      <c r="VYW92" t="s">
        <v>104</v>
      </c>
      <c r="VYX92" t="s">
        <v>103</v>
      </c>
      <c r="VYY92" t="s">
        <v>398</v>
      </c>
      <c r="VYZ92">
        <v>1</v>
      </c>
      <c r="VZA92" t="s">
        <v>438</v>
      </c>
      <c r="VZB92" t="s">
        <v>439</v>
      </c>
      <c r="VZC92" t="s">
        <v>428</v>
      </c>
      <c r="VZE92" t="s">
        <v>104</v>
      </c>
      <c r="VZF92" t="s">
        <v>103</v>
      </c>
      <c r="VZG92" t="s">
        <v>398</v>
      </c>
      <c r="VZH92">
        <v>1</v>
      </c>
      <c r="VZI92" t="s">
        <v>438</v>
      </c>
      <c r="VZJ92" t="s">
        <v>439</v>
      </c>
      <c r="VZK92" t="s">
        <v>428</v>
      </c>
      <c r="VZM92" t="s">
        <v>104</v>
      </c>
      <c r="VZN92" t="s">
        <v>103</v>
      </c>
      <c r="VZO92" t="s">
        <v>398</v>
      </c>
      <c r="VZP92">
        <v>1</v>
      </c>
      <c r="VZQ92" t="s">
        <v>438</v>
      </c>
      <c r="VZR92" t="s">
        <v>439</v>
      </c>
      <c r="VZS92" t="s">
        <v>428</v>
      </c>
      <c r="VZU92" t="s">
        <v>104</v>
      </c>
      <c r="VZV92" t="s">
        <v>103</v>
      </c>
      <c r="VZW92" t="s">
        <v>398</v>
      </c>
      <c r="VZX92">
        <v>1</v>
      </c>
      <c r="VZY92" t="s">
        <v>438</v>
      </c>
      <c r="VZZ92" t="s">
        <v>439</v>
      </c>
      <c r="WAA92" t="s">
        <v>428</v>
      </c>
      <c r="WAC92" t="s">
        <v>104</v>
      </c>
      <c r="WAD92" t="s">
        <v>103</v>
      </c>
      <c r="WAE92" t="s">
        <v>398</v>
      </c>
      <c r="WAF92">
        <v>1</v>
      </c>
      <c r="WAG92" t="s">
        <v>438</v>
      </c>
      <c r="WAH92" t="s">
        <v>439</v>
      </c>
      <c r="WAI92" t="s">
        <v>428</v>
      </c>
      <c r="WAK92" t="s">
        <v>104</v>
      </c>
      <c r="WAL92" t="s">
        <v>103</v>
      </c>
      <c r="WAM92" t="s">
        <v>398</v>
      </c>
      <c r="WAN92">
        <v>1</v>
      </c>
      <c r="WAO92" t="s">
        <v>438</v>
      </c>
      <c r="WAP92" t="s">
        <v>439</v>
      </c>
      <c r="WAQ92" t="s">
        <v>428</v>
      </c>
      <c r="WAS92" t="s">
        <v>104</v>
      </c>
      <c r="WAT92" t="s">
        <v>103</v>
      </c>
      <c r="WAU92" t="s">
        <v>398</v>
      </c>
      <c r="WAV92">
        <v>1</v>
      </c>
      <c r="WAW92" t="s">
        <v>438</v>
      </c>
      <c r="WAX92" t="s">
        <v>439</v>
      </c>
      <c r="WAY92" t="s">
        <v>428</v>
      </c>
      <c r="WBA92" t="s">
        <v>104</v>
      </c>
      <c r="WBB92" t="s">
        <v>103</v>
      </c>
      <c r="WBC92" t="s">
        <v>398</v>
      </c>
      <c r="WBD92">
        <v>1</v>
      </c>
      <c r="WBE92" t="s">
        <v>438</v>
      </c>
      <c r="WBF92" t="s">
        <v>439</v>
      </c>
      <c r="WBG92" t="s">
        <v>428</v>
      </c>
      <c r="WBI92" t="s">
        <v>104</v>
      </c>
      <c r="WBJ92" t="s">
        <v>103</v>
      </c>
      <c r="WBK92" t="s">
        <v>398</v>
      </c>
      <c r="WBL92">
        <v>1</v>
      </c>
      <c r="WBM92" t="s">
        <v>438</v>
      </c>
      <c r="WBN92" t="s">
        <v>439</v>
      </c>
      <c r="WBO92" t="s">
        <v>428</v>
      </c>
      <c r="WBQ92" t="s">
        <v>104</v>
      </c>
      <c r="WBR92" t="s">
        <v>103</v>
      </c>
      <c r="WBS92" t="s">
        <v>398</v>
      </c>
      <c r="WBT92">
        <v>1</v>
      </c>
      <c r="WBU92" t="s">
        <v>438</v>
      </c>
      <c r="WBV92" t="s">
        <v>439</v>
      </c>
      <c r="WBW92" t="s">
        <v>428</v>
      </c>
      <c r="WBY92" t="s">
        <v>104</v>
      </c>
      <c r="WBZ92" t="s">
        <v>103</v>
      </c>
      <c r="WCA92" t="s">
        <v>398</v>
      </c>
      <c r="WCB92">
        <v>1</v>
      </c>
      <c r="WCC92" t="s">
        <v>438</v>
      </c>
      <c r="WCD92" t="s">
        <v>439</v>
      </c>
      <c r="WCE92" t="s">
        <v>428</v>
      </c>
      <c r="WCG92" t="s">
        <v>104</v>
      </c>
      <c r="WCH92" t="s">
        <v>103</v>
      </c>
      <c r="WCI92" t="s">
        <v>398</v>
      </c>
      <c r="WCJ92">
        <v>1</v>
      </c>
      <c r="WCK92" t="s">
        <v>438</v>
      </c>
      <c r="WCL92" t="s">
        <v>439</v>
      </c>
      <c r="WCM92" t="s">
        <v>428</v>
      </c>
      <c r="WCO92" t="s">
        <v>104</v>
      </c>
      <c r="WCP92" t="s">
        <v>103</v>
      </c>
      <c r="WCQ92" t="s">
        <v>398</v>
      </c>
      <c r="WCR92">
        <v>1</v>
      </c>
      <c r="WCS92" t="s">
        <v>438</v>
      </c>
      <c r="WCT92" t="s">
        <v>439</v>
      </c>
      <c r="WCU92" t="s">
        <v>428</v>
      </c>
      <c r="WCW92" t="s">
        <v>104</v>
      </c>
      <c r="WCX92" t="s">
        <v>103</v>
      </c>
      <c r="WCY92" t="s">
        <v>398</v>
      </c>
      <c r="WCZ92">
        <v>1</v>
      </c>
      <c r="WDA92" t="s">
        <v>438</v>
      </c>
      <c r="WDB92" t="s">
        <v>439</v>
      </c>
      <c r="WDC92" t="s">
        <v>428</v>
      </c>
      <c r="WDE92" t="s">
        <v>104</v>
      </c>
      <c r="WDF92" t="s">
        <v>103</v>
      </c>
      <c r="WDG92" t="s">
        <v>398</v>
      </c>
      <c r="WDH92">
        <v>1</v>
      </c>
      <c r="WDI92" t="s">
        <v>438</v>
      </c>
      <c r="WDJ92" t="s">
        <v>439</v>
      </c>
      <c r="WDK92" t="s">
        <v>428</v>
      </c>
      <c r="WDM92" t="s">
        <v>104</v>
      </c>
      <c r="WDN92" t="s">
        <v>103</v>
      </c>
      <c r="WDO92" t="s">
        <v>398</v>
      </c>
      <c r="WDP92">
        <v>1</v>
      </c>
      <c r="WDQ92" t="s">
        <v>438</v>
      </c>
      <c r="WDR92" t="s">
        <v>439</v>
      </c>
      <c r="WDS92" t="s">
        <v>428</v>
      </c>
      <c r="WDU92" t="s">
        <v>104</v>
      </c>
      <c r="WDV92" t="s">
        <v>103</v>
      </c>
      <c r="WDW92" t="s">
        <v>398</v>
      </c>
      <c r="WDX92">
        <v>1</v>
      </c>
      <c r="WDY92" t="s">
        <v>438</v>
      </c>
      <c r="WDZ92" t="s">
        <v>439</v>
      </c>
      <c r="WEA92" t="s">
        <v>428</v>
      </c>
      <c r="WEC92" t="s">
        <v>104</v>
      </c>
      <c r="WED92" t="s">
        <v>103</v>
      </c>
      <c r="WEE92" t="s">
        <v>398</v>
      </c>
      <c r="WEF92">
        <v>1</v>
      </c>
      <c r="WEG92" t="s">
        <v>438</v>
      </c>
      <c r="WEH92" t="s">
        <v>439</v>
      </c>
      <c r="WEI92" t="s">
        <v>428</v>
      </c>
      <c r="WEK92" t="s">
        <v>104</v>
      </c>
      <c r="WEL92" t="s">
        <v>103</v>
      </c>
      <c r="WEM92" t="s">
        <v>398</v>
      </c>
      <c r="WEN92">
        <v>1</v>
      </c>
      <c r="WEO92" t="s">
        <v>438</v>
      </c>
      <c r="WEP92" t="s">
        <v>439</v>
      </c>
      <c r="WEQ92" t="s">
        <v>428</v>
      </c>
      <c r="WES92" t="s">
        <v>104</v>
      </c>
      <c r="WET92" t="s">
        <v>103</v>
      </c>
      <c r="WEU92" t="s">
        <v>398</v>
      </c>
      <c r="WEV92">
        <v>1</v>
      </c>
      <c r="WEW92" t="s">
        <v>438</v>
      </c>
      <c r="WEX92" t="s">
        <v>439</v>
      </c>
      <c r="WEY92" t="s">
        <v>428</v>
      </c>
      <c r="WFA92" t="s">
        <v>104</v>
      </c>
      <c r="WFB92" t="s">
        <v>103</v>
      </c>
      <c r="WFC92" t="s">
        <v>398</v>
      </c>
      <c r="WFD92">
        <v>1</v>
      </c>
      <c r="WFE92" t="s">
        <v>438</v>
      </c>
      <c r="WFF92" t="s">
        <v>439</v>
      </c>
      <c r="WFG92" t="s">
        <v>428</v>
      </c>
      <c r="WFI92" t="s">
        <v>104</v>
      </c>
      <c r="WFJ92" t="s">
        <v>103</v>
      </c>
      <c r="WFK92" t="s">
        <v>398</v>
      </c>
      <c r="WFL92">
        <v>1</v>
      </c>
      <c r="WFM92" t="s">
        <v>438</v>
      </c>
      <c r="WFN92" t="s">
        <v>439</v>
      </c>
      <c r="WFO92" t="s">
        <v>428</v>
      </c>
      <c r="WFQ92" t="s">
        <v>104</v>
      </c>
      <c r="WFR92" t="s">
        <v>103</v>
      </c>
      <c r="WFS92" t="s">
        <v>398</v>
      </c>
      <c r="WFT92">
        <v>1</v>
      </c>
      <c r="WFU92" t="s">
        <v>438</v>
      </c>
      <c r="WFV92" t="s">
        <v>439</v>
      </c>
      <c r="WFW92" t="s">
        <v>428</v>
      </c>
      <c r="WFY92" t="s">
        <v>104</v>
      </c>
      <c r="WFZ92" t="s">
        <v>103</v>
      </c>
      <c r="WGA92" t="s">
        <v>398</v>
      </c>
      <c r="WGB92">
        <v>1</v>
      </c>
      <c r="WGC92" t="s">
        <v>438</v>
      </c>
      <c r="WGD92" t="s">
        <v>439</v>
      </c>
      <c r="WGE92" t="s">
        <v>428</v>
      </c>
      <c r="WGG92" t="s">
        <v>104</v>
      </c>
      <c r="WGH92" t="s">
        <v>103</v>
      </c>
      <c r="WGI92" t="s">
        <v>398</v>
      </c>
      <c r="WGJ92">
        <v>1</v>
      </c>
      <c r="WGK92" t="s">
        <v>438</v>
      </c>
      <c r="WGL92" t="s">
        <v>439</v>
      </c>
      <c r="WGM92" t="s">
        <v>428</v>
      </c>
      <c r="WGO92" t="s">
        <v>104</v>
      </c>
      <c r="WGP92" t="s">
        <v>103</v>
      </c>
      <c r="WGQ92" t="s">
        <v>398</v>
      </c>
      <c r="WGR92">
        <v>1</v>
      </c>
      <c r="WGS92" t="s">
        <v>438</v>
      </c>
      <c r="WGT92" t="s">
        <v>439</v>
      </c>
      <c r="WGU92" t="s">
        <v>428</v>
      </c>
      <c r="WGW92" t="s">
        <v>104</v>
      </c>
      <c r="WGX92" t="s">
        <v>103</v>
      </c>
      <c r="WGY92" t="s">
        <v>398</v>
      </c>
      <c r="WGZ92">
        <v>1</v>
      </c>
      <c r="WHA92" t="s">
        <v>438</v>
      </c>
      <c r="WHB92" t="s">
        <v>439</v>
      </c>
      <c r="WHC92" t="s">
        <v>428</v>
      </c>
      <c r="WHE92" t="s">
        <v>104</v>
      </c>
      <c r="WHF92" t="s">
        <v>103</v>
      </c>
      <c r="WHG92" t="s">
        <v>398</v>
      </c>
      <c r="WHH92">
        <v>1</v>
      </c>
      <c r="WHI92" t="s">
        <v>438</v>
      </c>
      <c r="WHJ92" t="s">
        <v>439</v>
      </c>
      <c r="WHK92" t="s">
        <v>428</v>
      </c>
      <c r="WHM92" t="s">
        <v>104</v>
      </c>
      <c r="WHN92" t="s">
        <v>103</v>
      </c>
      <c r="WHO92" t="s">
        <v>398</v>
      </c>
      <c r="WHP92">
        <v>1</v>
      </c>
      <c r="WHQ92" t="s">
        <v>438</v>
      </c>
      <c r="WHR92" t="s">
        <v>439</v>
      </c>
      <c r="WHS92" t="s">
        <v>428</v>
      </c>
      <c r="WHU92" t="s">
        <v>104</v>
      </c>
      <c r="WHV92" t="s">
        <v>103</v>
      </c>
      <c r="WHW92" t="s">
        <v>398</v>
      </c>
      <c r="WHX92">
        <v>1</v>
      </c>
      <c r="WHY92" t="s">
        <v>438</v>
      </c>
      <c r="WHZ92" t="s">
        <v>439</v>
      </c>
      <c r="WIA92" t="s">
        <v>428</v>
      </c>
      <c r="WIC92" t="s">
        <v>104</v>
      </c>
      <c r="WID92" t="s">
        <v>103</v>
      </c>
      <c r="WIE92" t="s">
        <v>398</v>
      </c>
      <c r="WIF92">
        <v>1</v>
      </c>
      <c r="WIG92" t="s">
        <v>438</v>
      </c>
      <c r="WIH92" t="s">
        <v>439</v>
      </c>
      <c r="WII92" t="s">
        <v>428</v>
      </c>
      <c r="WIK92" t="s">
        <v>104</v>
      </c>
      <c r="WIL92" t="s">
        <v>103</v>
      </c>
      <c r="WIM92" t="s">
        <v>398</v>
      </c>
      <c r="WIN92">
        <v>1</v>
      </c>
      <c r="WIO92" t="s">
        <v>438</v>
      </c>
      <c r="WIP92" t="s">
        <v>439</v>
      </c>
      <c r="WIQ92" t="s">
        <v>428</v>
      </c>
      <c r="WIS92" t="s">
        <v>104</v>
      </c>
      <c r="WIT92" t="s">
        <v>103</v>
      </c>
      <c r="WIU92" t="s">
        <v>398</v>
      </c>
      <c r="WIV92">
        <v>1</v>
      </c>
      <c r="WIW92" t="s">
        <v>438</v>
      </c>
      <c r="WIX92" t="s">
        <v>439</v>
      </c>
      <c r="WIY92" t="s">
        <v>428</v>
      </c>
      <c r="WJA92" t="s">
        <v>104</v>
      </c>
      <c r="WJB92" t="s">
        <v>103</v>
      </c>
      <c r="WJC92" t="s">
        <v>398</v>
      </c>
      <c r="WJD92">
        <v>1</v>
      </c>
      <c r="WJE92" t="s">
        <v>438</v>
      </c>
      <c r="WJF92" t="s">
        <v>439</v>
      </c>
      <c r="WJG92" t="s">
        <v>428</v>
      </c>
      <c r="WJI92" t="s">
        <v>104</v>
      </c>
      <c r="WJJ92" t="s">
        <v>103</v>
      </c>
      <c r="WJK92" t="s">
        <v>398</v>
      </c>
      <c r="WJL92">
        <v>1</v>
      </c>
      <c r="WJM92" t="s">
        <v>438</v>
      </c>
      <c r="WJN92" t="s">
        <v>439</v>
      </c>
      <c r="WJO92" t="s">
        <v>428</v>
      </c>
      <c r="WJQ92" t="s">
        <v>104</v>
      </c>
      <c r="WJR92" t="s">
        <v>103</v>
      </c>
      <c r="WJS92" t="s">
        <v>398</v>
      </c>
      <c r="WJT92">
        <v>1</v>
      </c>
      <c r="WJU92" t="s">
        <v>438</v>
      </c>
      <c r="WJV92" t="s">
        <v>439</v>
      </c>
      <c r="WJW92" t="s">
        <v>428</v>
      </c>
      <c r="WJY92" t="s">
        <v>104</v>
      </c>
      <c r="WJZ92" t="s">
        <v>103</v>
      </c>
      <c r="WKA92" t="s">
        <v>398</v>
      </c>
      <c r="WKB92">
        <v>1</v>
      </c>
      <c r="WKC92" t="s">
        <v>438</v>
      </c>
      <c r="WKD92" t="s">
        <v>439</v>
      </c>
      <c r="WKE92" t="s">
        <v>428</v>
      </c>
      <c r="WKG92" t="s">
        <v>104</v>
      </c>
      <c r="WKH92" t="s">
        <v>103</v>
      </c>
      <c r="WKI92" t="s">
        <v>398</v>
      </c>
      <c r="WKJ92">
        <v>1</v>
      </c>
      <c r="WKK92" t="s">
        <v>438</v>
      </c>
      <c r="WKL92" t="s">
        <v>439</v>
      </c>
      <c r="WKM92" t="s">
        <v>428</v>
      </c>
      <c r="WKO92" t="s">
        <v>104</v>
      </c>
      <c r="WKP92" t="s">
        <v>103</v>
      </c>
      <c r="WKQ92" t="s">
        <v>398</v>
      </c>
      <c r="WKR92">
        <v>1</v>
      </c>
      <c r="WKS92" t="s">
        <v>438</v>
      </c>
      <c r="WKT92" t="s">
        <v>439</v>
      </c>
      <c r="WKU92" t="s">
        <v>428</v>
      </c>
      <c r="WKW92" t="s">
        <v>104</v>
      </c>
      <c r="WKX92" t="s">
        <v>103</v>
      </c>
      <c r="WKY92" t="s">
        <v>398</v>
      </c>
      <c r="WKZ92">
        <v>1</v>
      </c>
      <c r="WLA92" t="s">
        <v>438</v>
      </c>
      <c r="WLB92" t="s">
        <v>439</v>
      </c>
      <c r="WLC92" t="s">
        <v>428</v>
      </c>
      <c r="WLE92" t="s">
        <v>104</v>
      </c>
      <c r="WLF92" t="s">
        <v>103</v>
      </c>
      <c r="WLG92" t="s">
        <v>398</v>
      </c>
      <c r="WLH92">
        <v>1</v>
      </c>
      <c r="WLI92" t="s">
        <v>438</v>
      </c>
      <c r="WLJ92" t="s">
        <v>439</v>
      </c>
      <c r="WLK92" t="s">
        <v>428</v>
      </c>
      <c r="WLM92" t="s">
        <v>104</v>
      </c>
      <c r="WLN92" t="s">
        <v>103</v>
      </c>
      <c r="WLO92" t="s">
        <v>398</v>
      </c>
      <c r="WLP92">
        <v>1</v>
      </c>
      <c r="WLQ92" t="s">
        <v>438</v>
      </c>
      <c r="WLR92" t="s">
        <v>439</v>
      </c>
      <c r="WLS92" t="s">
        <v>428</v>
      </c>
      <c r="WLU92" t="s">
        <v>104</v>
      </c>
      <c r="WLV92" t="s">
        <v>103</v>
      </c>
      <c r="WLW92" t="s">
        <v>398</v>
      </c>
      <c r="WLX92">
        <v>1</v>
      </c>
      <c r="WLY92" t="s">
        <v>438</v>
      </c>
      <c r="WLZ92" t="s">
        <v>439</v>
      </c>
      <c r="WMA92" t="s">
        <v>428</v>
      </c>
      <c r="WMC92" t="s">
        <v>104</v>
      </c>
      <c r="WMD92" t="s">
        <v>103</v>
      </c>
      <c r="WME92" t="s">
        <v>398</v>
      </c>
      <c r="WMF92">
        <v>1</v>
      </c>
      <c r="WMG92" t="s">
        <v>438</v>
      </c>
      <c r="WMH92" t="s">
        <v>439</v>
      </c>
      <c r="WMI92" t="s">
        <v>428</v>
      </c>
      <c r="WMK92" t="s">
        <v>104</v>
      </c>
      <c r="WML92" t="s">
        <v>103</v>
      </c>
      <c r="WMM92" t="s">
        <v>398</v>
      </c>
      <c r="WMN92">
        <v>1</v>
      </c>
      <c r="WMO92" t="s">
        <v>438</v>
      </c>
      <c r="WMP92" t="s">
        <v>439</v>
      </c>
      <c r="WMQ92" t="s">
        <v>428</v>
      </c>
      <c r="WMS92" t="s">
        <v>104</v>
      </c>
      <c r="WMT92" t="s">
        <v>103</v>
      </c>
      <c r="WMU92" t="s">
        <v>398</v>
      </c>
      <c r="WMV92">
        <v>1</v>
      </c>
      <c r="WMW92" t="s">
        <v>438</v>
      </c>
      <c r="WMX92" t="s">
        <v>439</v>
      </c>
      <c r="WMY92" t="s">
        <v>428</v>
      </c>
      <c r="WNA92" t="s">
        <v>104</v>
      </c>
      <c r="WNB92" t="s">
        <v>103</v>
      </c>
      <c r="WNC92" t="s">
        <v>398</v>
      </c>
      <c r="WND92">
        <v>1</v>
      </c>
      <c r="WNE92" t="s">
        <v>438</v>
      </c>
      <c r="WNF92" t="s">
        <v>439</v>
      </c>
      <c r="WNG92" t="s">
        <v>428</v>
      </c>
      <c r="WNI92" t="s">
        <v>104</v>
      </c>
      <c r="WNJ92" t="s">
        <v>103</v>
      </c>
      <c r="WNK92" t="s">
        <v>398</v>
      </c>
      <c r="WNL92">
        <v>1</v>
      </c>
      <c r="WNM92" t="s">
        <v>438</v>
      </c>
      <c r="WNN92" t="s">
        <v>439</v>
      </c>
      <c r="WNO92" t="s">
        <v>428</v>
      </c>
      <c r="WNQ92" t="s">
        <v>104</v>
      </c>
      <c r="WNR92" t="s">
        <v>103</v>
      </c>
      <c r="WNS92" t="s">
        <v>398</v>
      </c>
      <c r="WNT92">
        <v>1</v>
      </c>
      <c r="WNU92" t="s">
        <v>438</v>
      </c>
      <c r="WNV92" t="s">
        <v>439</v>
      </c>
      <c r="WNW92" t="s">
        <v>428</v>
      </c>
      <c r="WNY92" t="s">
        <v>104</v>
      </c>
      <c r="WNZ92" t="s">
        <v>103</v>
      </c>
      <c r="WOA92" t="s">
        <v>398</v>
      </c>
      <c r="WOB92">
        <v>1</v>
      </c>
      <c r="WOC92" t="s">
        <v>438</v>
      </c>
      <c r="WOD92" t="s">
        <v>439</v>
      </c>
      <c r="WOE92" t="s">
        <v>428</v>
      </c>
      <c r="WOG92" t="s">
        <v>104</v>
      </c>
      <c r="WOH92" t="s">
        <v>103</v>
      </c>
      <c r="WOI92" t="s">
        <v>398</v>
      </c>
      <c r="WOJ92">
        <v>1</v>
      </c>
      <c r="WOK92" t="s">
        <v>438</v>
      </c>
      <c r="WOL92" t="s">
        <v>439</v>
      </c>
      <c r="WOM92" t="s">
        <v>428</v>
      </c>
      <c r="WOO92" t="s">
        <v>104</v>
      </c>
      <c r="WOP92" t="s">
        <v>103</v>
      </c>
      <c r="WOQ92" t="s">
        <v>398</v>
      </c>
      <c r="WOR92">
        <v>1</v>
      </c>
      <c r="WOS92" t="s">
        <v>438</v>
      </c>
      <c r="WOT92" t="s">
        <v>439</v>
      </c>
      <c r="WOU92" t="s">
        <v>428</v>
      </c>
      <c r="WOW92" t="s">
        <v>104</v>
      </c>
      <c r="WOX92" t="s">
        <v>103</v>
      </c>
      <c r="WOY92" t="s">
        <v>398</v>
      </c>
      <c r="WOZ92">
        <v>1</v>
      </c>
      <c r="WPA92" t="s">
        <v>438</v>
      </c>
      <c r="WPB92" t="s">
        <v>439</v>
      </c>
      <c r="WPC92" t="s">
        <v>428</v>
      </c>
      <c r="WPE92" t="s">
        <v>104</v>
      </c>
      <c r="WPF92" t="s">
        <v>103</v>
      </c>
      <c r="WPG92" t="s">
        <v>398</v>
      </c>
      <c r="WPH92">
        <v>1</v>
      </c>
      <c r="WPI92" t="s">
        <v>438</v>
      </c>
      <c r="WPJ92" t="s">
        <v>439</v>
      </c>
      <c r="WPK92" t="s">
        <v>428</v>
      </c>
      <c r="WPM92" t="s">
        <v>104</v>
      </c>
      <c r="WPN92" t="s">
        <v>103</v>
      </c>
      <c r="WPO92" t="s">
        <v>398</v>
      </c>
      <c r="WPP92">
        <v>1</v>
      </c>
      <c r="WPQ92" t="s">
        <v>438</v>
      </c>
      <c r="WPR92" t="s">
        <v>439</v>
      </c>
      <c r="WPS92" t="s">
        <v>428</v>
      </c>
      <c r="WPU92" t="s">
        <v>104</v>
      </c>
      <c r="WPV92" t="s">
        <v>103</v>
      </c>
      <c r="WPW92" t="s">
        <v>398</v>
      </c>
      <c r="WPX92">
        <v>1</v>
      </c>
      <c r="WPY92" t="s">
        <v>438</v>
      </c>
      <c r="WPZ92" t="s">
        <v>439</v>
      </c>
      <c r="WQA92" t="s">
        <v>428</v>
      </c>
      <c r="WQC92" t="s">
        <v>104</v>
      </c>
      <c r="WQD92" t="s">
        <v>103</v>
      </c>
      <c r="WQE92" t="s">
        <v>398</v>
      </c>
      <c r="WQF92">
        <v>1</v>
      </c>
      <c r="WQG92" t="s">
        <v>438</v>
      </c>
      <c r="WQH92" t="s">
        <v>439</v>
      </c>
      <c r="WQI92" t="s">
        <v>428</v>
      </c>
      <c r="WQK92" t="s">
        <v>104</v>
      </c>
      <c r="WQL92" t="s">
        <v>103</v>
      </c>
      <c r="WQM92" t="s">
        <v>398</v>
      </c>
      <c r="WQN92">
        <v>1</v>
      </c>
      <c r="WQO92" t="s">
        <v>438</v>
      </c>
      <c r="WQP92" t="s">
        <v>439</v>
      </c>
      <c r="WQQ92" t="s">
        <v>428</v>
      </c>
      <c r="WQS92" t="s">
        <v>104</v>
      </c>
      <c r="WQT92" t="s">
        <v>103</v>
      </c>
      <c r="WQU92" t="s">
        <v>398</v>
      </c>
      <c r="WQV92">
        <v>1</v>
      </c>
      <c r="WQW92" t="s">
        <v>438</v>
      </c>
      <c r="WQX92" t="s">
        <v>439</v>
      </c>
      <c r="WQY92" t="s">
        <v>428</v>
      </c>
      <c r="WRA92" t="s">
        <v>104</v>
      </c>
      <c r="WRB92" t="s">
        <v>103</v>
      </c>
      <c r="WRC92" t="s">
        <v>398</v>
      </c>
      <c r="WRD92">
        <v>1</v>
      </c>
      <c r="WRE92" t="s">
        <v>438</v>
      </c>
      <c r="WRF92" t="s">
        <v>439</v>
      </c>
      <c r="WRG92" t="s">
        <v>428</v>
      </c>
      <c r="WRI92" t="s">
        <v>104</v>
      </c>
      <c r="WRJ92" t="s">
        <v>103</v>
      </c>
      <c r="WRK92" t="s">
        <v>398</v>
      </c>
      <c r="WRL92">
        <v>1</v>
      </c>
      <c r="WRM92" t="s">
        <v>438</v>
      </c>
      <c r="WRN92" t="s">
        <v>439</v>
      </c>
      <c r="WRO92" t="s">
        <v>428</v>
      </c>
      <c r="WRQ92" t="s">
        <v>104</v>
      </c>
      <c r="WRR92" t="s">
        <v>103</v>
      </c>
      <c r="WRS92" t="s">
        <v>398</v>
      </c>
      <c r="WRT92">
        <v>1</v>
      </c>
      <c r="WRU92" t="s">
        <v>438</v>
      </c>
      <c r="WRV92" t="s">
        <v>439</v>
      </c>
      <c r="WRW92" t="s">
        <v>428</v>
      </c>
      <c r="WRY92" t="s">
        <v>104</v>
      </c>
      <c r="WRZ92" t="s">
        <v>103</v>
      </c>
      <c r="WSA92" t="s">
        <v>398</v>
      </c>
      <c r="WSB92">
        <v>1</v>
      </c>
      <c r="WSC92" t="s">
        <v>438</v>
      </c>
      <c r="WSD92" t="s">
        <v>439</v>
      </c>
      <c r="WSE92" t="s">
        <v>428</v>
      </c>
      <c r="WSG92" t="s">
        <v>104</v>
      </c>
      <c r="WSH92" t="s">
        <v>103</v>
      </c>
      <c r="WSI92" t="s">
        <v>398</v>
      </c>
      <c r="WSJ92">
        <v>1</v>
      </c>
      <c r="WSK92" t="s">
        <v>438</v>
      </c>
      <c r="WSL92" t="s">
        <v>439</v>
      </c>
      <c r="WSM92" t="s">
        <v>428</v>
      </c>
      <c r="WSO92" t="s">
        <v>104</v>
      </c>
      <c r="WSP92" t="s">
        <v>103</v>
      </c>
      <c r="WSQ92" t="s">
        <v>398</v>
      </c>
      <c r="WSR92">
        <v>1</v>
      </c>
      <c r="WSS92" t="s">
        <v>438</v>
      </c>
      <c r="WST92" t="s">
        <v>439</v>
      </c>
      <c r="WSU92" t="s">
        <v>428</v>
      </c>
      <c r="WSW92" t="s">
        <v>104</v>
      </c>
      <c r="WSX92" t="s">
        <v>103</v>
      </c>
      <c r="WSY92" t="s">
        <v>398</v>
      </c>
      <c r="WSZ92">
        <v>1</v>
      </c>
      <c r="WTA92" t="s">
        <v>438</v>
      </c>
      <c r="WTB92" t="s">
        <v>439</v>
      </c>
      <c r="WTC92" t="s">
        <v>428</v>
      </c>
      <c r="WTE92" t="s">
        <v>104</v>
      </c>
      <c r="WTF92" t="s">
        <v>103</v>
      </c>
      <c r="WTG92" t="s">
        <v>398</v>
      </c>
      <c r="WTH92">
        <v>1</v>
      </c>
      <c r="WTI92" t="s">
        <v>438</v>
      </c>
      <c r="WTJ92" t="s">
        <v>439</v>
      </c>
      <c r="WTK92" t="s">
        <v>428</v>
      </c>
      <c r="WTM92" t="s">
        <v>104</v>
      </c>
      <c r="WTN92" t="s">
        <v>103</v>
      </c>
      <c r="WTO92" t="s">
        <v>398</v>
      </c>
      <c r="WTP92">
        <v>1</v>
      </c>
      <c r="WTQ92" t="s">
        <v>438</v>
      </c>
      <c r="WTR92" t="s">
        <v>439</v>
      </c>
      <c r="WTS92" t="s">
        <v>428</v>
      </c>
      <c r="WTU92" t="s">
        <v>104</v>
      </c>
      <c r="WTV92" t="s">
        <v>103</v>
      </c>
      <c r="WTW92" t="s">
        <v>398</v>
      </c>
      <c r="WTX92">
        <v>1</v>
      </c>
      <c r="WTY92" t="s">
        <v>438</v>
      </c>
      <c r="WTZ92" t="s">
        <v>439</v>
      </c>
      <c r="WUA92" t="s">
        <v>428</v>
      </c>
      <c r="WUC92" t="s">
        <v>104</v>
      </c>
      <c r="WUD92" t="s">
        <v>103</v>
      </c>
      <c r="WUE92" t="s">
        <v>398</v>
      </c>
      <c r="WUF92">
        <v>1</v>
      </c>
      <c r="WUG92" t="s">
        <v>438</v>
      </c>
      <c r="WUH92" t="s">
        <v>439</v>
      </c>
      <c r="WUI92" t="s">
        <v>428</v>
      </c>
      <c r="WUK92" t="s">
        <v>104</v>
      </c>
      <c r="WUL92" t="s">
        <v>103</v>
      </c>
      <c r="WUM92" t="s">
        <v>398</v>
      </c>
      <c r="WUN92">
        <v>1</v>
      </c>
      <c r="WUO92" t="s">
        <v>438</v>
      </c>
      <c r="WUP92" t="s">
        <v>439</v>
      </c>
      <c r="WUQ92" t="s">
        <v>428</v>
      </c>
      <c r="WUS92" t="s">
        <v>104</v>
      </c>
      <c r="WUT92" t="s">
        <v>103</v>
      </c>
      <c r="WUU92" t="s">
        <v>398</v>
      </c>
      <c r="WUV92">
        <v>1</v>
      </c>
      <c r="WUW92" t="s">
        <v>438</v>
      </c>
      <c r="WUX92" t="s">
        <v>439</v>
      </c>
      <c r="WUY92" t="s">
        <v>428</v>
      </c>
      <c r="WVA92" t="s">
        <v>104</v>
      </c>
      <c r="WVB92" t="s">
        <v>103</v>
      </c>
      <c r="WVC92" t="s">
        <v>398</v>
      </c>
      <c r="WVD92">
        <v>1</v>
      </c>
      <c r="WVE92" t="s">
        <v>438</v>
      </c>
      <c r="WVF92" t="s">
        <v>439</v>
      </c>
      <c r="WVG92" t="s">
        <v>428</v>
      </c>
      <c r="WVI92" t="s">
        <v>104</v>
      </c>
      <c r="WVJ92" t="s">
        <v>103</v>
      </c>
      <c r="WVK92" t="s">
        <v>398</v>
      </c>
      <c r="WVL92">
        <v>1</v>
      </c>
      <c r="WVM92" t="s">
        <v>438</v>
      </c>
      <c r="WVN92" t="s">
        <v>439</v>
      </c>
      <c r="WVO92" t="s">
        <v>428</v>
      </c>
      <c r="WVQ92" t="s">
        <v>104</v>
      </c>
      <c r="WVR92" t="s">
        <v>103</v>
      </c>
      <c r="WVS92" t="s">
        <v>398</v>
      </c>
      <c r="WVT92">
        <v>1</v>
      </c>
      <c r="WVU92" t="s">
        <v>438</v>
      </c>
      <c r="WVV92" t="s">
        <v>439</v>
      </c>
      <c r="WVW92" t="s">
        <v>428</v>
      </c>
      <c r="WVY92" t="s">
        <v>104</v>
      </c>
      <c r="WVZ92" t="s">
        <v>103</v>
      </c>
      <c r="WWA92" t="s">
        <v>398</v>
      </c>
      <c r="WWB92">
        <v>1</v>
      </c>
      <c r="WWC92" t="s">
        <v>438</v>
      </c>
      <c r="WWD92" t="s">
        <v>439</v>
      </c>
      <c r="WWE92" t="s">
        <v>428</v>
      </c>
      <c r="WWG92" t="s">
        <v>104</v>
      </c>
      <c r="WWH92" t="s">
        <v>103</v>
      </c>
      <c r="WWI92" t="s">
        <v>398</v>
      </c>
      <c r="WWJ92">
        <v>1</v>
      </c>
      <c r="WWK92" t="s">
        <v>438</v>
      </c>
      <c r="WWL92" t="s">
        <v>439</v>
      </c>
      <c r="WWM92" t="s">
        <v>428</v>
      </c>
      <c r="WWO92" t="s">
        <v>104</v>
      </c>
      <c r="WWP92" t="s">
        <v>103</v>
      </c>
      <c r="WWQ92" t="s">
        <v>398</v>
      </c>
      <c r="WWR92">
        <v>1</v>
      </c>
      <c r="WWS92" t="s">
        <v>438</v>
      </c>
      <c r="WWT92" t="s">
        <v>439</v>
      </c>
      <c r="WWU92" t="s">
        <v>428</v>
      </c>
      <c r="WWW92" t="s">
        <v>104</v>
      </c>
      <c r="WWX92" t="s">
        <v>103</v>
      </c>
      <c r="WWY92" t="s">
        <v>398</v>
      </c>
      <c r="WWZ92">
        <v>1</v>
      </c>
      <c r="WXA92" t="s">
        <v>438</v>
      </c>
      <c r="WXB92" t="s">
        <v>439</v>
      </c>
      <c r="WXC92" t="s">
        <v>428</v>
      </c>
      <c r="WXE92" t="s">
        <v>104</v>
      </c>
      <c r="WXF92" t="s">
        <v>103</v>
      </c>
      <c r="WXG92" t="s">
        <v>398</v>
      </c>
      <c r="WXH92">
        <v>1</v>
      </c>
      <c r="WXI92" t="s">
        <v>438</v>
      </c>
      <c r="WXJ92" t="s">
        <v>439</v>
      </c>
      <c r="WXK92" t="s">
        <v>428</v>
      </c>
      <c r="WXM92" t="s">
        <v>104</v>
      </c>
      <c r="WXN92" t="s">
        <v>103</v>
      </c>
      <c r="WXO92" t="s">
        <v>398</v>
      </c>
      <c r="WXP92">
        <v>1</v>
      </c>
      <c r="WXQ92" t="s">
        <v>438</v>
      </c>
      <c r="WXR92" t="s">
        <v>439</v>
      </c>
      <c r="WXS92" t="s">
        <v>428</v>
      </c>
      <c r="WXU92" t="s">
        <v>104</v>
      </c>
      <c r="WXV92" t="s">
        <v>103</v>
      </c>
      <c r="WXW92" t="s">
        <v>398</v>
      </c>
      <c r="WXX92">
        <v>1</v>
      </c>
      <c r="WXY92" t="s">
        <v>438</v>
      </c>
      <c r="WXZ92" t="s">
        <v>439</v>
      </c>
      <c r="WYA92" t="s">
        <v>428</v>
      </c>
      <c r="WYC92" t="s">
        <v>104</v>
      </c>
      <c r="WYD92" t="s">
        <v>103</v>
      </c>
      <c r="WYE92" t="s">
        <v>398</v>
      </c>
      <c r="WYF92">
        <v>1</v>
      </c>
      <c r="WYG92" t="s">
        <v>438</v>
      </c>
      <c r="WYH92" t="s">
        <v>439</v>
      </c>
      <c r="WYI92" t="s">
        <v>428</v>
      </c>
      <c r="WYK92" t="s">
        <v>104</v>
      </c>
      <c r="WYL92" t="s">
        <v>103</v>
      </c>
      <c r="WYM92" t="s">
        <v>398</v>
      </c>
      <c r="WYN92">
        <v>1</v>
      </c>
      <c r="WYO92" t="s">
        <v>438</v>
      </c>
      <c r="WYP92" t="s">
        <v>439</v>
      </c>
      <c r="WYQ92" t="s">
        <v>428</v>
      </c>
      <c r="WYS92" t="s">
        <v>104</v>
      </c>
      <c r="WYT92" t="s">
        <v>103</v>
      </c>
      <c r="WYU92" t="s">
        <v>398</v>
      </c>
      <c r="WYV92">
        <v>1</v>
      </c>
      <c r="WYW92" t="s">
        <v>438</v>
      </c>
      <c r="WYX92" t="s">
        <v>439</v>
      </c>
      <c r="WYY92" t="s">
        <v>428</v>
      </c>
      <c r="WZA92" t="s">
        <v>104</v>
      </c>
      <c r="WZB92" t="s">
        <v>103</v>
      </c>
      <c r="WZC92" t="s">
        <v>398</v>
      </c>
      <c r="WZD92">
        <v>1</v>
      </c>
      <c r="WZE92" t="s">
        <v>438</v>
      </c>
      <c r="WZF92" t="s">
        <v>439</v>
      </c>
      <c r="WZG92" t="s">
        <v>428</v>
      </c>
      <c r="WZI92" t="s">
        <v>104</v>
      </c>
      <c r="WZJ92" t="s">
        <v>103</v>
      </c>
      <c r="WZK92" t="s">
        <v>398</v>
      </c>
      <c r="WZL92">
        <v>1</v>
      </c>
      <c r="WZM92" t="s">
        <v>438</v>
      </c>
      <c r="WZN92" t="s">
        <v>439</v>
      </c>
      <c r="WZO92" t="s">
        <v>428</v>
      </c>
      <c r="WZQ92" t="s">
        <v>104</v>
      </c>
      <c r="WZR92" t="s">
        <v>103</v>
      </c>
      <c r="WZS92" t="s">
        <v>398</v>
      </c>
      <c r="WZT92">
        <v>1</v>
      </c>
      <c r="WZU92" t="s">
        <v>438</v>
      </c>
      <c r="WZV92" t="s">
        <v>439</v>
      </c>
      <c r="WZW92" t="s">
        <v>428</v>
      </c>
      <c r="WZY92" t="s">
        <v>104</v>
      </c>
      <c r="WZZ92" t="s">
        <v>103</v>
      </c>
      <c r="XAA92" t="s">
        <v>398</v>
      </c>
      <c r="XAB92">
        <v>1</v>
      </c>
      <c r="XAC92" t="s">
        <v>438</v>
      </c>
      <c r="XAD92" t="s">
        <v>439</v>
      </c>
      <c r="XAE92" t="s">
        <v>428</v>
      </c>
      <c r="XAG92" t="s">
        <v>104</v>
      </c>
      <c r="XAH92" t="s">
        <v>103</v>
      </c>
      <c r="XAI92" t="s">
        <v>398</v>
      </c>
      <c r="XAJ92">
        <v>1</v>
      </c>
      <c r="XAK92" t="s">
        <v>438</v>
      </c>
      <c r="XAL92" t="s">
        <v>439</v>
      </c>
      <c r="XAM92" t="s">
        <v>428</v>
      </c>
      <c r="XAO92" t="s">
        <v>104</v>
      </c>
      <c r="XAP92" t="s">
        <v>103</v>
      </c>
      <c r="XAQ92" t="s">
        <v>398</v>
      </c>
      <c r="XAR92">
        <v>1</v>
      </c>
      <c r="XAS92" t="s">
        <v>438</v>
      </c>
      <c r="XAT92" t="s">
        <v>439</v>
      </c>
      <c r="XAU92" t="s">
        <v>428</v>
      </c>
      <c r="XAW92" t="s">
        <v>104</v>
      </c>
      <c r="XAX92" t="s">
        <v>103</v>
      </c>
      <c r="XAY92" t="s">
        <v>398</v>
      </c>
      <c r="XAZ92">
        <v>1</v>
      </c>
      <c r="XBA92" t="s">
        <v>438</v>
      </c>
      <c r="XBB92" t="s">
        <v>439</v>
      </c>
      <c r="XBC92" t="s">
        <v>428</v>
      </c>
      <c r="XBE92" t="s">
        <v>104</v>
      </c>
      <c r="XBF92" t="s">
        <v>103</v>
      </c>
      <c r="XBG92" t="s">
        <v>398</v>
      </c>
      <c r="XBH92">
        <v>1</v>
      </c>
      <c r="XBI92" t="s">
        <v>438</v>
      </c>
      <c r="XBJ92" t="s">
        <v>439</v>
      </c>
      <c r="XBK92" t="s">
        <v>428</v>
      </c>
      <c r="XBM92" t="s">
        <v>104</v>
      </c>
      <c r="XBN92" t="s">
        <v>103</v>
      </c>
      <c r="XBO92" t="s">
        <v>398</v>
      </c>
      <c r="XBP92">
        <v>1</v>
      </c>
      <c r="XBQ92" t="s">
        <v>438</v>
      </c>
      <c r="XBR92" t="s">
        <v>439</v>
      </c>
      <c r="XBS92" t="s">
        <v>428</v>
      </c>
      <c r="XBU92" t="s">
        <v>104</v>
      </c>
      <c r="XBV92" t="s">
        <v>103</v>
      </c>
      <c r="XBW92" t="s">
        <v>398</v>
      </c>
      <c r="XBX92">
        <v>1</v>
      </c>
      <c r="XBY92" t="s">
        <v>438</v>
      </c>
      <c r="XBZ92" t="s">
        <v>439</v>
      </c>
      <c r="XCA92" t="s">
        <v>428</v>
      </c>
      <c r="XCC92" t="s">
        <v>104</v>
      </c>
      <c r="XCD92" t="s">
        <v>103</v>
      </c>
      <c r="XCE92" t="s">
        <v>398</v>
      </c>
      <c r="XCF92">
        <v>1</v>
      </c>
      <c r="XCG92" t="s">
        <v>438</v>
      </c>
      <c r="XCH92" t="s">
        <v>439</v>
      </c>
      <c r="XCI92" t="s">
        <v>428</v>
      </c>
      <c r="XCK92" t="s">
        <v>104</v>
      </c>
      <c r="XCL92" t="s">
        <v>103</v>
      </c>
      <c r="XCM92" t="s">
        <v>398</v>
      </c>
      <c r="XCN92">
        <v>1</v>
      </c>
      <c r="XCO92" t="s">
        <v>438</v>
      </c>
      <c r="XCP92" t="s">
        <v>439</v>
      </c>
      <c r="XCQ92" t="s">
        <v>428</v>
      </c>
      <c r="XCS92" t="s">
        <v>104</v>
      </c>
      <c r="XCT92" t="s">
        <v>103</v>
      </c>
      <c r="XCU92" t="s">
        <v>398</v>
      </c>
      <c r="XCV92">
        <v>1</v>
      </c>
      <c r="XCW92" t="s">
        <v>438</v>
      </c>
      <c r="XCX92" t="s">
        <v>439</v>
      </c>
      <c r="XCY92" t="s">
        <v>428</v>
      </c>
      <c r="XDA92" t="s">
        <v>104</v>
      </c>
      <c r="XDB92" t="s">
        <v>103</v>
      </c>
      <c r="XDC92" t="s">
        <v>398</v>
      </c>
      <c r="XDD92">
        <v>1</v>
      </c>
      <c r="XDE92" t="s">
        <v>438</v>
      </c>
      <c r="XDF92" t="s">
        <v>439</v>
      </c>
      <c r="XDG92" t="s">
        <v>428</v>
      </c>
      <c r="XDI92" t="s">
        <v>104</v>
      </c>
      <c r="XDJ92" t="s">
        <v>103</v>
      </c>
      <c r="XDK92" t="s">
        <v>398</v>
      </c>
      <c r="XDL92">
        <v>1</v>
      </c>
      <c r="XDM92" t="s">
        <v>438</v>
      </c>
      <c r="XDN92" t="s">
        <v>439</v>
      </c>
      <c r="XDO92" t="s">
        <v>428</v>
      </c>
      <c r="XDQ92" t="s">
        <v>104</v>
      </c>
      <c r="XDR92" t="s">
        <v>103</v>
      </c>
      <c r="XDS92" t="s">
        <v>398</v>
      </c>
      <c r="XDT92">
        <v>1</v>
      </c>
      <c r="XDU92" t="s">
        <v>438</v>
      </c>
      <c r="XDV92" t="s">
        <v>439</v>
      </c>
      <c r="XDW92" t="s">
        <v>428</v>
      </c>
      <c r="XDY92" t="s">
        <v>104</v>
      </c>
      <c r="XDZ92" t="s">
        <v>103</v>
      </c>
      <c r="XEA92" t="s">
        <v>398</v>
      </c>
      <c r="XEB92">
        <v>1</v>
      </c>
      <c r="XEC92" t="s">
        <v>438</v>
      </c>
      <c r="XED92" t="s">
        <v>439</v>
      </c>
      <c r="XEE92" t="s">
        <v>428</v>
      </c>
      <c r="XEG92" t="s">
        <v>104</v>
      </c>
      <c r="XEH92" t="s">
        <v>103</v>
      </c>
      <c r="XEI92" t="s">
        <v>398</v>
      </c>
      <c r="XEJ92">
        <v>1</v>
      </c>
      <c r="XEK92" t="s">
        <v>438</v>
      </c>
      <c r="XEL92" t="s">
        <v>439</v>
      </c>
      <c r="XEM92" t="s">
        <v>428</v>
      </c>
      <c r="XEO92" t="s">
        <v>104</v>
      </c>
      <c r="XEP92" t="s">
        <v>103</v>
      </c>
      <c r="XEQ92" t="s">
        <v>398</v>
      </c>
      <c r="XER92">
        <v>1</v>
      </c>
      <c r="XES92" t="s">
        <v>438</v>
      </c>
      <c r="XET92" t="s">
        <v>439</v>
      </c>
      <c r="XEU92" t="s">
        <v>428</v>
      </c>
      <c r="XEW92" t="s">
        <v>104</v>
      </c>
      <c r="XEX92" t="s">
        <v>103</v>
      </c>
      <c r="XEY92" t="s">
        <v>398</v>
      </c>
      <c r="XEZ92">
        <v>1</v>
      </c>
      <c r="XFA92" t="s">
        <v>438</v>
      </c>
      <c r="XFB92" t="s">
        <v>439</v>
      </c>
      <c r="XFC92" t="s">
        <v>428</v>
      </c>
    </row>
    <row r="93" spans="1:1023 1025:2047 2049:3071 3073:4095 4097:5119 5121:6143 6145:7167 7169:8191 8193:9215 9217:10239 10241:11263 11265:12287 12289:13311 13313:14335 14337:15359 15361:16383" ht="15" customHeight="1" x14ac:dyDescent="0.2">
      <c r="A93" s="57" t="s">
        <v>146</v>
      </c>
      <c r="B93" s="57" t="s">
        <v>145</v>
      </c>
      <c r="C93" s="57" t="s">
        <v>398</v>
      </c>
      <c r="D93" s="57">
        <v>1</v>
      </c>
      <c r="E93" s="57" t="s">
        <v>436</v>
      </c>
      <c r="F93" s="57" t="s">
        <v>437</v>
      </c>
      <c r="G93" s="57" t="s">
        <v>428</v>
      </c>
      <c r="I93" s="13" t="s">
        <v>114</v>
      </c>
      <c r="J93" s="13" t="s">
        <v>113</v>
      </c>
      <c r="K93" s="13" t="s">
        <v>398</v>
      </c>
      <c r="L93" s="13">
        <v>1</v>
      </c>
      <c r="M93" s="13" t="s">
        <v>438</v>
      </c>
      <c r="N93" s="13" t="s">
        <v>440</v>
      </c>
      <c r="O93" s="13" t="s">
        <v>428</v>
      </c>
      <c r="Q93" s="13" t="s">
        <v>114</v>
      </c>
      <c r="R93" s="13" t="s">
        <v>113</v>
      </c>
      <c r="S93" s="13" t="s">
        <v>398</v>
      </c>
      <c r="T93" s="13">
        <v>1</v>
      </c>
      <c r="U93" s="13" t="s">
        <v>438</v>
      </c>
      <c r="V93" s="13" t="s">
        <v>440</v>
      </c>
      <c r="W93" s="13" t="s">
        <v>428</v>
      </c>
      <c r="Y93" s="13" t="s">
        <v>114</v>
      </c>
      <c r="Z93" s="13" t="s">
        <v>113</v>
      </c>
      <c r="AA93" s="13" t="s">
        <v>398</v>
      </c>
      <c r="AB93" s="13">
        <v>1</v>
      </c>
      <c r="AC93" s="13" t="s">
        <v>438</v>
      </c>
      <c r="AD93" s="13" t="s">
        <v>440</v>
      </c>
      <c r="AE93" s="13" t="s">
        <v>428</v>
      </c>
      <c r="AG93" s="13" t="s">
        <v>114</v>
      </c>
      <c r="AH93" s="13" t="s">
        <v>113</v>
      </c>
      <c r="AI93" s="13" t="s">
        <v>398</v>
      </c>
      <c r="AJ93" s="13">
        <v>1</v>
      </c>
      <c r="AK93" s="13" t="s">
        <v>438</v>
      </c>
      <c r="AL93" s="13" t="s">
        <v>440</v>
      </c>
      <c r="AM93" s="13" t="s">
        <v>428</v>
      </c>
      <c r="AO93" s="13" t="s">
        <v>114</v>
      </c>
      <c r="AP93" s="13" t="s">
        <v>113</v>
      </c>
      <c r="AQ93" s="13" t="s">
        <v>398</v>
      </c>
      <c r="AR93" s="13">
        <v>1</v>
      </c>
      <c r="AS93" s="13" t="s">
        <v>438</v>
      </c>
      <c r="AT93" s="13" t="s">
        <v>440</v>
      </c>
      <c r="AU93" s="13" t="s">
        <v>428</v>
      </c>
      <c r="AW93" s="13" t="s">
        <v>114</v>
      </c>
      <c r="AX93" s="13" t="s">
        <v>113</v>
      </c>
      <c r="AY93" s="13" t="s">
        <v>398</v>
      </c>
      <c r="AZ93" s="13">
        <v>1</v>
      </c>
      <c r="BA93" s="13" t="s">
        <v>438</v>
      </c>
      <c r="BB93" s="13" t="s">
        <v>440</v>
      </c>
      <c r="BC93" s="13" t="s">
        <v>428</v>
      </c>
      <c r="BE93" s="13" t="s">
        <v>114</v>
      </c>
      <c r="BF93" s="13" t="s">
        <v>113</v>
      </c>
      <c r="BG93" s="13" t="s">
        <v>398</v>
      </c>
      <c r="BH93" s="13">
        <v>1</v>
      </c>
      <c r="BI93" s="13" t="s">
        <v>438</v>
      </c>
      <c r="BJ93" s="13" t="s">
        <v>440</v>
      </c>
      <c r="BK93" s="13" t="s">
        <v>428</v>
      </c>
      <c r="BM93" s="13" t="s">
        <v>114</v>
      </c>
      <c r="BN93" s="13" t="s">
        <v>113</v>
      </c>
      <c r="BO93" s="13" t="s">
        <v>398</v>
      </c>
      <c r="BP93" s="13">
        <v>1</v>
      </c>
      <c r="BQ93" s="13" t="s">
        <v>438</v>
      </c>
      <c r="BR93" s="13" t="s">
        <v>440</v>
      </c>
      <c r="BS93" s="13" t="s">
        <v>428</v>
      </c>
      <c r="BU93" s="13" t="s">
        <v>114</v>
      </c>
      <c r="BV93" s="13" t="s">
        <v>113</v>
      </c>
      <c r="BW93" s="13" t="s">
        <v>398</v>
      </c>
      <c r="BX93" s="13">
        <v>1</v>
      </c>
      <c r="BY93" s="13" t="s">
        <v>438</v>
      </c>
      <c r="BZ93" s="13" t="s">
        <v>440</v>
      </c>
      <c r="CA93" s="13" t="s">
        <v>428</v>
      </c>
      <c r="CC93" s="13" t="s">
        <v>114</v>
      </c>
      <c r="CD93" s="13" t="s">
        <v>113</v>
      </c>
      <c r="CE93" s="13" t="s">
        <v>398</v>
      </c>
      <c r="CF93" s="13">
        <v>1</v>
      </c>
      <c r="CG93" s="13" t="s">
        <v>438</v>
      </c>
      <c r="CH93" t="s">
        <v>440</v>
      </c>
      <c r="CI93" t="s">
        <v>428</v>
      </c>
      <c r="CK93" t="s">
        <v>114</v>
      </c>
      <c r="CL93" t="s">
        <v>113</v>
      </c>
      <c r="CM93" t="s">
        <v>398</v>
      </c>
      <c r="CN93">
        <v>1</v>
      </c>
      <c r="CO93" t="s">
        <v>438</v>
      </c>
      <c r="CP93" t="s">
        <v>440</v>
      </c>
      <c r="CQ93" t="s">
        <v>428</v>
      </c>
      <c r="CS93" t="s">
        <v>114</v>
      </c>
      <c r="CT93" t="s">
        <v>113</v>
      </c>
      <c r="CU93" t="s">
        <v>398</v>
      </c>
      <c r="CV93">
        <v>1</v>
      </c>
      <c r="CW93" t="s">
        <v>438</v>
      </c>
      <c r="CX93" t="s">
        <v>440</v>
      </c>
      <c r="CY93" t="s">
        <v>428</v>
      </c>
      <c r="DA93" t="s">
        <v>114</v>
      </c>
      <c r="DB93" t="s">
        <v>113</v>
      </c>
      <c r="DC93" t="s">
        <v>398</v>
      </c>
      <c r="DD93">
        <v>1</v>
      </c>
      <c r="DE93" t="s">
        <v>438</v>
      </c>
      <c r="DF93" t="s">
        <v>440</v>
      </c>
      <c r="DG93" t="s">
        <v>428</v>
      </c>
      <c r="DI93" t="s">
        <v>114</v>
      </c>
      <c r="DJ93" t="s">
        <v>113</v>
      </c>
      <c r="DK93" t="s">
        <v>398</v>
      </c>
      <c r="DL93">
        <v>1</v>
      </c>
      <c r="DM93" t="s">
        <v>438</v>
      </c>
      <c r="DN93" t="s">
        <v>440</v>
      </c>
      <c r="DO93" t="s">
        <v>428</v>
      </c>
      <c r="DQ93" t="s">
        <v>114</v>
      </c>
      <c r="DR93" t="s">
        <v>113</v>
      </c>
      <c r="DS93" t="s">
        <v>398</v>
      </c>
      <c r="DT93">
        <v>1</v>
      </c>
      <c r="DU93" t="s">
        <v>438</v>
      </c>
      <c r="DV93" t="s">
        <v>440</v>
      </c>
      <c r="DW93" t="s">
        <v>428</v>
      </c>
      <c r="DY93" t="s">
        <v>114</v>
      </c>
      <c r="DZ93" t="s">
        <v>113</v>
      </c>
      <c r="EA93" t="s">
        <v>398</v>
      </c>
      <c r="EB93">
        <v>1</v>
      </c>
      <c r="EC93" t="s">
        <v>438</v>
      </c>
      <c r="ED93" t="s">
        <v>440</v>
      </c>
      <c r="EE93" t="s">
        <v>428</v>
      </c>
      <c r="EG93" t="s">
        <v>114</v>
      </c>
      <c r="EH93" t="s">
        <v>113</v>
      </c>
      <c r="EI93" t="s">
        <v>398</v>
      </c>
      <c r="EJ93">
        <v>1</v>
      </c>
      <c r="EK93" t="s">
        <v>438</v>
      </c>
      <c r="EL93" t="s">
        <v>440</v>
      </c>
      <c r="EM93" t="s">
        <v>428</v>
      </c>
      <c r="EO93" t="s">
        <v>114</v>
      </c>
      <c r="EP93" t="s">
        <v>113</v>
      </c>
      <c r="EQ93" t="s">
        <v>398</v>
      </c>
      <c r="ER93">
        <v>1</v>
      </c>
      <c r="ES93" t="s">
        <v>438</v>
      </c>
      <c r="ET93" t="s">
        <v>440</v>
      </c>
      <c r="EU93" t="s">
        <v>428</v>
      </c>
      <c r="EW93" t="s">
        <v>114</v>
      </c>
      <c r="EX93" t="s">
        <v>113</v>
      </c>
      <c r="EY93" t="s">
        <v>398</v>
      </c>
      <c r="EZ93">
        <v>1</v>
      </c>
      <c r="FA93" t="s">
        <v>438</v>
      </c>
      <c r="FB93" t="s">
        <v>440</v>
      </c>
      <c r="FC93" t="s">
        <v>428</v>
      </c>
      <c r="FE93" t="s">
        <v>114</v>
      </c>
      <c r="FF93" t="s">
        <v>113</v>
      </c>
      <c r="FG93" t="s">
        <v>398</v>
      </c>
      <c r="FH93">
        <v>1</v>
      </c>
      <c r="FI93" t="s">
        <v>438</v>
      </c>
      <c r="FJ93" t="s">
        <v>440</v>
      </c>
      <c r="FK93" t="s">
        <v>428</v>
      </c>
      <c r="FM93" t="s">
        <v>114</v>
      </c>
      <c r="FN93" t="s">
        <v>113</v>
      </c>
      <c r="FO93" t="s">
        <v>398</v>
      </c>
      <c r="FP93">
        <v>1</v>
      </c>
      <c r="FQ93" t="s">
        <v>438</v>
      </c>
      <c r="FR93" t="s">
        <v>440</v>
      </c>
      <c r="FS93" t="s">
        <v>428</v>
      </c>
      <c r="FU93" t="s">
        <v>114</v>
      </c>
      <c r="FV93" t="s">
        <v>113</v>
      </c>
      <c r="FW93" t="s">
        <v>398</v>
      </c>
      <c r="FX93">
        <v>1</v>
      </c>
      <c r="FY93" t="s">
        <v>438</v>
      </c>
      <c r="FZ93" t="s">
        <v>440</v>
      </c>
      <c r="GA93" t="s">
        <v>428</v>
      </c>
      <c r="GC93" t="s">
        <v>114</v>
      </c>
      <c r="GD93" t="s">
        <v>113</v>
      </c>
      <c r="GE93" t="s">
        <v>398</v>
      </c>
      <c r="GF93">
        <v>1</v>
      </c>
      <c r="GG93" t="s">
        <v>438</v>
      </c>
      <c r="GH93" t="s">
        <v>440</v>
      </c>
      <c r="GI93" t="s">
        <v>428</v>
      </c>
      <c r="GK93" t="s">
        <v>114</v>
      </c>
      <c r="GL93" t="s">
        <v>113</v>
      </c>
      <c r="GM93" t="s">
        <v>398</v>
      </c>
      <c r="GN93">
        <v>1</v>
      </c>
      <c r="GO93" t="s">
        <v>438</v>
      </c>
      <c r="GP93" t="s">
        <v>440</v>
      </c>
      <c r="GQ93" t="s">
        <v>428</v>
      </c>
      <c r="GS93" t="s">
        <v>114</v>
      </c>
      <c r="GT93" t="s">
        <v>113</v>
      </c>
      <c r="GU93" t="s">
        <v>398</v>
      </c>
      <c r="GV93">
        <v>1</v>
      </c>
      <c r="GW93" t="s">
        <v>438</v>
      </c>
      <c r="GX93" t="s">
        <v>440</v>
      </c>
      <c r="GY93" t="s">
        <v>428</v>
      </c>
      <c r="HA93" t="s">
        <v>114</v>
      </c>
      <c r="HB93" t="s">
        <v>113</v>
      </c>
      <c r="HC93" t="s">
        <v>398</v>
      </c>
      <c r="HD93">
        <v>1</v>
      </c>
      <c r="HE93" t="s">
        <v>438</v>
      </c>
      <c r="HF93" t="s">
        <v>440</v>
      </c>
      <c r="HG93" t="s">
        <v>428</v>
      </c>
      <c r="HI93" t="s">
        <v>114</v>
      </c>
      <c r="HJ93" t="s">
        <v>113</v>
      </c>
      <c r="HK93" t="s">
        <v>398</v>
      </c>
      <c r="HL93">
        <v>1</v>
      </c>
      <c r="HM93" t="s">
        <v>438</v>
      </c>
      <c r="HN93" t="s">
        <v>440</v>
      </c>
      <c r="HO93" t="s">
        <v>428</v>
      </c>
      <c r="HQ93" t="s">
        <v>114</v>
      </c>
      <c r="HR93" t="s">
        <v>113</v>
      </c>
      <c r="HS93" t="s">
        <v>398</v>
      </c>
      <c r="HT93">
        <v>1</v>
      </c>
      <c r="HU93" t="s">
        <v>438</v>
      </c>
      <c r="HV93" t="s">
        <v>440</v>
      </c>
      <c r="HW93" t="s">
        <v>428</v>
      </c>
      <c r="HY93" t="s">
        <v>114</v>
      </c>
      <c r="HZ93" t="s">
        <v>113</v>
      </c>
      <c r="IA93" t="s">
        <v>398</v>
      </c>
      <c r="IB93">
        <v>1</v>
      </c>
      <c r="IC93" t="s">
        <v>438</v>
      </c>
      <c r="ID93" t="s">
        <v>440</v>
      </c>
      <c r="IE93" t="s">
        <v>428</v>
      </c>
      <c r="IG93" t="s">
        <v>114</v>
      </c>
      <c r="IH93" t="s">
        <v>113</v>
      </c>
      <c r="II93" t="s">
        <v>398</v>
      </c>
      <c r="IJ93">
        <v>1</v>
      </c>
      <c r="IK93" t="s">
        <v>438</v>
      </c>
      <c r="IL93" t="s">
        <v>440</v>
      </c>
      <c r="IM93" t="s">
        <v>428</v>
      </c>
      <c r="IO93" t="s">
        <v>114</v>
      </c>
      <c r="IP93" t="s">
        <v>113</v>
      </c>
      <c r="IQ93" t="s">
        <v>398</v>
      </c>
      <c r="IR93">
        <v>1</v>
      </c>
      <c r="IS93" t="s">
        <v>438</v>
      </c>
      <c r="IT93" t="s">
        <v>440</v>
      </c>
      <c r="IU93" t="s">
        <v>428</v>
      </c>
      <c r="IW93" t="s">
        <v>114</v>
      </c>
      <c r="IX93" t="s">
        <v>113</v>
      </c>
      <c r="IY93" t="s">
        <v>398</v>
      </c>
      <c r="IZ93">
        <v>1</v>
      </c>
      <c r="JA93" t="s">
        <v>438</v>
      </c>
      <c r="JB93" t="s">
        <v>440</v>
      </c>
      <c r="JC93" t="s">
        <v>428</v>
      </c>
      <c r="JE93" t="s">
        <v>114</v>
      </c>
      <c r="JF93" t="s">
        <v>113</v>
      </c>
      <c r="JG93" t="s">
        <v>398</v>
      </c>
      <c r="JH93">
        <v>1</v>
      </c>
      <c r="JI93" t="s">
        <v>438</v>
      </c>
      <c r="JJ93" t="s">
        <v>440</v>
      </c>
      <c r="JK93" t="s">
        <v>428</v>
      </c>
      <c r="JM93" t="s">
        <v>114</v>
      </c>
      <c r="JN93" t="s">
        <v>113</v>
      </c>
      <c r="JO93" t="s">
        <v>398</v>
      </c>
      <c r="JP93">
        <v>1</v>
      </c>
      <c r="JQ93" t="s">
        <v>438</v>
      </c>
      <c r="JR93" t="s">
        <v>440</v>
      </c>
      <c r="JS93" t="s">
        <v>428</v>
      </c>
      <c r="JU93" t="s">
        <v>114</v>
      </c>
      <c r="JV93" t="s">
        <v>113</v>
      </c>
      <c r="JW93" t="s">
        <v>398</v>
      </c>
      <c r="JX93">
        <v>1</v>
      </c>
      <c r="JY93" t="s">
        <v>438</v>
      </c>
      <c r="JZ93" t="s">
        <v>440</v>
      </c>
      <c r="KA93" t="s">
        <v>428</v>
      </c>
      <c r="KC93" t="s">
        <v>114</v>
      </c>
      <c r="KD93" t="s">
        <v>113</v>
      </c>
      <c r="KE93" t="s">
        <v>398</v>
      </c>
      <c r="KF93">
        <v>1</v>
      </c>
      <c r="KG93" t="s">
        <v>438</v>
      </c>
      <c r="KH93" t="s">
        <v>440</v>
      </c>
      <c r="KI93" t="s">
        <v>428</v>
      </c>
      <c r="KK93" t="s">
        <v>114</v>
      </c>
      <c r="KL93" t="s">
        <v>113</v>
      </c>
      <c r="KM93" t="s">
        <v>398</v>
      </c>
      <c r="KN93">
        <v>1</v>
      </c>
      <c r="KO93" t="s">
        <v>438</v>
      </c>
      <c r="KP93" t="s">
        <v>440</v>
      </c>
      <c r="KQ93" t="s">
        <v>428</v>
      </c>
      <c r="KS93" t="s">
        <v>114</v>
      </c>
      <c r="KT93" t="s">
        <v>113</v>
      </c>
      <c r="KU93" t="s">
        <v>398</v>
      </c>
      <c r="KV93">
        <v>1</v>
      </c>
      <c r="KW93" t="s">
        <v>438</v>
      </c>
      <c r="KX93" t="s">
        <v>440</v>
      </c>
      <c r="KY93" t="s">
        <v>428</v>
      </c>
      <c r="LA93" t="s">
        <v>114</v>
      </c>
      <c r="LB93" t="s">
        <v>113</v>
      </c>
      <c r="LC93" t="s">
        <v>398</v>
      </c>
      <c r="LD93">
        <v>1</v>
      </c>
      <c r="LE93" t="s">
        <v>438</v>
      </c>
      <c r="LF93" t="s">
        <v>440</v>
      </c>
      <c r="LG93" t="s">
        <v>428</v>
      </c>
      <c r="LI93" t="s">
        <v>114</v>
      </c>
      <c r="LJ93" t="s">
        <v>113</v>
      </c>
      <c r="LK93" t="s">
        <v>398</v>
      </c>
      <c r="LL93">
        <v>1</v>
      </c>
      <c r="LM93" t="s">
        <v>438</v>
      </c>
      <c r="LN93" t="s">
        <v>440</v>
      </c>
      <c r="LO93" t="s">
        <v>428</v>
      </c>
      <c r="LQ93" t="s">
        <v>114</v>
      </c>
      <c r="LR93" t="s">
        <v>113</v>
      </c>
      <c r="LS93" t="s">
        <v>398</v>
      </c>
      <c r="LT93">
        <v>1</v>
      </c>
      <c r="LU93" t="s">
        <v>438</v>
      </c>
      <c r="LV93" t="s">
        <v>440</v>
      </c>
      <c r="LW93" t="s">
        <v>428</v>
      </c>
      <c r="LY93" t="s">
        <v>114</v>
      </c>
      <c r="LZ93" t="s">
        <v>113</v>
      </c>
      <c r="MA93" t="s">
        <v>398</v>
      </c>
      <c r="MB93">
        <v>1</v>
      </c>
      <c r="MC93" t="s">
        <v>438</v>
      </c>
      <c r="MD93" t="s">
        <v>440</v>
      </c>
      <c r="ME93" t="s">
        <v>428</v>
      </c>
      <c r="MG93" t="s">
        <v>114</v>
      </c>
      <c r="MH93" t="s">
        <v>113</v>
      </c>
      <c r="MI93" t="s">
        <v>398</v>
      </c>
      <c r="MJ93">
        <v>1</v>
      </c>
      <c r="MK93" t="s">
        <v>438</v>
      </c>
      <c r="ML93" t="s">
        <v>440</v>
      </c>
      <c r="MM93" t="s">
        <v>428</v>
      </c>
      <c r="MO93" t="s">
        <v>114</v>
      </c>
      <c r="MP93" t="s">
        <v>113</v>
      </c>
      <c r="MQ93" t="s">
        <v>398</v>
      </c>
      <c r="MR93">
        <v>1</v>
      </c>
      <c r="MS93" t="s">
        <v>438</v>
      </c>
      <c r="MT93" t="s">
        <v>440</v>
      </c>
      <c r="MU93" t="s">
        <v>428</v>
      </c>
      <c r="MW93" t="s">
        <v>114</v>
      </c>
      <c r="MX93" t="s">
        <v>113</v>
      </c>
      <c r="MY93" t="s">
        <v>398</v>
      </c>
      <c r="MZ93">
        <v>1</v>
      </c>
      <c r="NA93" t="s">
        <v>438</v>
      </c>
      <c r="NB93" t="s">
        <v>440</v>
      </c>
      <c r="NC93" t="s">
        <v>428</v>
      </c>
      <c r="NE93" t="s">
        <v>114</v>
      </c>
      <c r="NF93" t="s">
        <v>113</v>
      </c>
      <c r="NG93" t="s">
        <v>398</v>
      </c>
      <c r="NH93">
        <v>1</v>
      </c>
      <c r="NI93" t="s">
        <v>438</v>
      </c>
      <c r="NJ93" t="s">
        <v>440</v>
      </c>
      <c r="NK93" t="s">
        <v>428</v>
      </c>
      <c r="NM93" t="s">
        <v>114</v>
      </c>
      <c r="NN93" t="s">
        <v>113</v>
      </c>
      <c r="NO93" t="s">
        <v>398</v>
      </c>
      <c r="NP93">
        <v>1</v>
      </c>
      <c r="NQ93" t="s">
        <v>438</v>
      </c>
      <c r="NR93" t="s">
        <v>440</v>
      </c>
      <c r="NS93" t="s">
        <v>428</v>
      </c>
      <c r="NU93" t="s">
        <v>114</v>
      </c>
      <c r="NV93" t="s">
        <v>113</v>
      </c>
      <c r="NW93" t="s">
        <v>398</v>
      </c>
      <c r="NX93">
        <v>1</v>
      </c>
      <c r="NY93" t="s">
        <v>438</v>
      </c>
      <c r="NZ93" t="s">
        <v>440</v>
      </c>
      <c r="OA93" t="s">
        <v>428</v>
      </c>
      <c r="OC93" t="s">
        <v>114</v>
      </c>
      <c r="OD93" t="s">
        <v>113</v>
      </c>
      <c r="OE93" t="s">
        <v>398</v>
      </c>
      <c r="OF93">
        <v>1</v>
      </c>
      <c r="OG93" t="s">
        <v>438</v>
      </c>
      <c r="OH93" t="s">
        <v>440</v>
      </c>
      <c r="OI93" t="s">
        <v>428</v>
      </c>
      <c r="OK93" t="s">
        <v>114</v>
      </c>
      <c r="OL93" t="s">
        <v>113</v>
      </c>
      <c r="OM93" t="s">
        <v>398</v>
      </c>
      <c r="ON93">
        <v>1</v>
      </c>
      <c r="OO93" t="s">
        <v>438</v>
      </c>
      <c r="OP93" t="s">
        <v>440</v>
      </c>
      <c r="OQ93" t="s">
        <v>428</v>
      </c>
      <c r="OS93" t="s">
        <v>114</v>
      </c>
      <c r="OT93" t="s">
        <v>113</v>
      </c>
      <c r="OU93" t="s">
        <v>398</v>
      </c>
      <c r="OV93">
        <v>1</v>
      </c>
      <c r="OW93" t="s">
        <v>438</v>
      </c>
      <c r="OX93" t="s">
        <v>440</v>
      </c>
      <c r="OY93" t="s">
        <v>428</v>
      </c>
      <c r="PA93" t="s">
        <v>114</v>
      </c>
      <c r="PB93" t="s">
        <v>113</v>
      </c>
      <c r="PC93" t="s">
        <v>398</v>
      </c>
      <c r="PD93">
        <v>1</v>
      </c>
      <c r="PE93" t="s">
        <v>438</v>
      </c>
      <c r="PF93" t="s">
        <v>440</v>
      </c>
      <c r="PG93" t="s">
        <v>428</v>
      </c>
      <c r="PI93" t="s">
        <v>114</v>
      </c>
      <c r="PJ93" t="s">
        <v>113</v>
      </c>
      <c r="PK93" t="s">
        <v>398</v>
      </c>
      <c r="PL93">
        <v>1</v>
      </c>
      <c r="PM93" t="s">
        <v>438</v>
      </c>
      <c r="PN93" t="s">
        <v>440</v>
      </c>
      <c r="PO93" t="s">
        <v>428</v>
      </c>
      <c r="PQ93" t="s">
        <v>114</v>
      </c>
      <c r="PR93" t="s">
        <v>113</v>
      </c>
      <c r="PS93" t="s">
        <v>398</v>
      </c>
      <c r="PT93">
        <v>1</v>
      </c>
      <c r="PU93" t="s">
        <v>438</v>
      </c>
      <c r="PV93" t="s">
        <v>440</v>
      </c>
      <c r="PW93" t="s">
        <v>428</v>
      </c>
      <c r="PY93" t="s">
        <v>114</v>
      </c>
      <c r="PZ93" t="s">
        <v>113</v>
      </c>
      <c r="QA93" t="s">
        <v>398</v>
      </c>
      <c r="QB93">
        <v>1</v>
      </c>
      <c r="QC93" t="s">
        <v>438</v>
      </c>
      <c r="QD93" t="s">
        <v>440</v>
      </c>
      <c r="QE93" t="s">
        <v>428</v>
      </c>
      <c r="QG93" t="s">
        <v>114</v>
      </c>
      <c r="QH93" t="s">
        <v>113</v>
      </c>
      <c r="QI93" t="s">
        <v>398</v>
      </c>
      <c r="QJ93">
        <v>1</v>
      </c>
      <c r="QK93" t="s">
        <v>438</v>
      </c>
      <c r="QL93" t="s">
        <v>440</v>
      </c>
      <c r="QM93" t="s">
        <v>428</v>
      </c>
      <c r="QO93" t="s">
        <v>114</v>
      </c>
      <c r="QP93" t="s">
        <v>113</v>
      </c>
      <c r="QQ93" t="s">
        <v>398</v>
      </c>
      <c r="QR93">
        <v>1</v>
      </c>
      <c r="QS93" t="s">
        <v>438</v>
      </c>
      <c r="QT93" t="s">
        <v>440</v>
      </c>
      <c r="QU93" t="s">
        <v>428</v>
      </c>
      <c r="QW93" t="s">
        <v>114</v>
      </c>
      <c r="QX93" t="s">
        <v>113</v>
      </c>
      <c r="QY93" t="s">
        <v>398</v>
      </c>
      <c r="QZ93">
        <v>1</v>
      </c>
      <c r="RA93" t="s">
        <v>438</v>
      </c>
      <c r="RB93" t="s">
        <v>440</v>
      </c>
      <c r="RC93" t="s">
        <v>428</v>
      </c>
      <c r="RE93" t="s">
        <v>114</v>
      </c>
      <c r="RF93" t="s">
        <v>113</v>
      </c>
      <c r="RG93" t="s">
        <v>398</v>
      </c>
      <c r="RH93">
        <v>1</v>
      </c>
      <c r="RI93" t="s">
        <v>438</v>
      </c>
      <c r="RJ93" t="s">
        <v>440</v>
      </c>
      <c r="RK93" t="s">
        <v>428</v>
      </c>
      <c r="RM93" t="s">
        <v>114</v>
      </c>
      <c r="RN93" t="s">
        <v>113</v>
      </c>
      <c r="RO93" t="s">
        <v>398</v>
      </c>
      <c r="RP93">
        <v>1</v>
      </c>
      <c r="RQ93" t="s">
        <v>438</v>
      </c>
      <c r="RR93" t="s">
        <v>440</v>
      </c>
      <c r="RS93" t="s">
        <v>428</v>
      </c>
      <c r="RU93" t="s">
        <v>114</v>
      </c>
      <c r="RV93" t="s">
        <v>113</v>
      </c>
      <c r="RW93" t="s">
        <v>398</v>
      </c>
      <c r="RX93">
        <v>1</v>
      </c>
      <c r="RY93" t="s">
        <v>438</v>
      </c>
      <c r="RZ93" t="s">
        <v>440</v>
      </c>
      <c r="SA93" t="s">
        <v>428</v>
      </c>
      <c r="SC93" t="s">
        <v>114</v>
      </c>
      <c r="SD93" t="s">
        <v>113</v>
      </c>
      <c r="SE93" t="s">
        <v>398</v>
      </c>
      <c r="SF93">
        <v>1</v>
      </c>
      <c r="SG93" t="s">
        <v>438</v>
      </c>
      <c r="SH93" t="s">
        <v>440</v>
      </c>
      <c r="SI93" t="s">
        <v>428</v>
      </c>
      <c r="SK93" t="s">
        <v>114</v>
      </c>
      <c r="SL93" t="s">
        <v>113</v>
      </c>
      <c r="SM93" t="s">
        <v>398</v>
      </c>
      <c r="SN93">
        <v>1</v>
      </c>
      <c r="SO93" t="s">
        <v>438</v>
      </c>
      <c r="SP93" t="s">
        <v>440</v>
      </c>
      <c r="SQ93" t="s">
        <v>428</v>
      </c>
      <c r="SS93" t="s">
        <v>114</v>
      </c>
      <c r="ST93" t="s">
        <v>113</v>
      </c>
      <c r="SU93" t="s">
        <v>398</v>
      </c>
      <c r="SV93">
        <v>1</v>
      </c>
      <c r="SW93" t="s">
        <v>438</v>
      </c>
      <c r="SX93" t="s">
        <v>440</v>
      </c>
      <c r="SY93" t="s">
        <v>428</v>
      </c>
      <c r="TA93" t="s">
        <v>114</v>
      </c>
      <c r="TB93" t="s">
        <v>113</v>
      </c>
      <c r="TC93" t="s">
        <v>398</v>
      </c>
      <c r="TD93">
        <v>1</v>
      </c>
      <c r="TE93" t="s">
        <v>438</v>
      </c>
      <c r="TF93" t="s">
        <v>440</v>
      </c>
      <c r="TG93" t="s">
        <v>428</v>
      </c>
      <c r="TI93" t="s">
        <v>114</v>
      </c>
      <c r="TJ93" t="s">
        <v>113</v>
      </c>
      <c r="TK93" t="s">
        <v>398</v>
      </c>
      <c r="TL93">
        <v>1</v>
      </c>
      <c r="TM93" t="s">
        <v>438</v>
      </c>
      <c r="TN93" t="s">
        <v>440</v>
      </c>
      <c r="TO93" t="s">
        <v>428</v>
      </c>
      <c r="TQ93" t="s">
        <v>114</v>
      </c>
      <c r="TR93" t="s">
        <v>113</v>
      </c>
      <c r="TS93" t="s">
        <v>398</v>
      </c>
      <c r="TT93">
        <v>1</v>
      </c>
      <c r="TU93" t="s">
        <v>438</v>
      </c>
      <c r="TV93" t="s">
        <v>440</v>
      </c>
      <c r="TW93" t="s">
        <v>428</v>
      </c>
      <c r="TY93" t="s">
        <v>114</v>
      </c>
      <c r="TZ93" t="s">
        <v>113</v>
      </c>
      <c r="UA93" t="s">
        <v>398</v>
      </c>
      <c r="UB93">
        <v>1</v>
      </c>
      <c r="UC93" t="s">
        <v>438</v>
      </c>
      <c r="UD93" t="s">
        <v>440</v>
      </c>
      <c r="UE93" t="s">
        <v>428</v>
      </c>
      <c r="UG93" t="s">
        <v>114</v>
      </c>
      <c r="UH93" t="s">
        <v>113</v>
      </c>
      <c r="UI93" t="s">
        <v>398</v>
      </c>
      <c r="UJ93">
        <v>1</v>
      </c>
      <c r="UK93" t="s">
        <v>438</v>
      </c>
      <c r="UL93" t="s">
        <v>440</v>
      </c>
      <c r="UM93" t="s">
        <v>428</v>
      </c>
      <c r="UO93" t="s">
        <v>114</v>
      </c>
      <c r="UP93" t="s">
        <v>113</v>
      </c>
      <c r="UQ93" t="s">
        <v>398</v>
      </c>
      <c r="UR93">
        <v>1</v>
      </c>
      <c r="US93" t="s">
        <v>438</v>
      </c>
      <c r="UT93" t="s">
        <v>440</v>
      </c>
      <c r="UU93" t="s">
        <v>428</v>
      </c>
      <c r="UW93" t="s">
        <v>114</v>
      </c>
      <c r="UX93" t="s">
        <v>113</v>
      </c>
      <c r="UY93" t="s">
        <v>398</v>
      </c>
      <c r="UZ93">
        <v>1</v>
      </c>
      <c r="VA93" t="s">
        <v>438</v>
      </c>
      <c r="VB93" t="s">
        <v>440</v>
      </c>
      <c r="VC93" t="s">
        <v>428</v>
      </c>
      <c r="VE93" t="s">
        <v>114</v>
      </c>
      <c r="VF93" t="s">
        <v>113</v>
      </c>
      <c r="VG93" t="s">
        <v>398</v>
      </c>
      <c r="VH93">
        <v>1</v>
      </c>
      <c r="VI93" t="s">
        <v>438</v>
      </c>
      <c r="VJ93" t="s">
        <v>440</v>
      </c>
      <c r="VK93" t="s">
        <v>428</v>
      </c>
      <c r="VM93" t="s">
        <v>114</v>
      </c>
      <c r="VN93" t="s">
        <v>113</v>
      </c>
      <c r="VO93" t="s">
        <v>398</v>
      </c>
      <c r="VP93">
        <v>1</v>
      </c>
      <c r="VQ93" t="s">
        <v>438</v>
      </c>
      <c r="VR93" t="s">
        <v>440</v>
      </c>
      <c r="VS93" t="s">
        <v>428</v>
      </c>
      <c r="VU93" t="s">
        <v>114</v>
      </c>
      <c r="VV93" t="s">
        <v>113</v>
      </c>
      <c r="VW93" t="s">
        <v>398</v>
      </c>
      <c r="VX93">
        <v>1</v>
      </c>
      <c r="VY93" t="s">
        <v>438</v>
      </c>
      <c r="VZ93" t="s">
        <v>440</v>
      </c>
      <c r="WA93" t="s">
        <v>428</v>
      </c>
      <c r="WC93" t="s">
        <v>114</v>
      </c>
      <c r="WD93" t="s">
        <v>113</v>
      </c>
      <c r="WE93" t="s">
        <v>398</v>
      </c>
      <c r="WF93">
        <v>1</v>
      </c>
      <c r="WG93" t="s">
        <v>438</v>
      </c>
      <c r="WH93" t="s">
        <v>440</v>
      </c>
      <c r="WI93" t="s">
        <v>428</v>
      </c>
      <c r="WK93" t="s">
        <v>114</v>
      </c>
      <c r="WL93" t="s">
        <v>113</v>
      </c>
      <c r="WM93" t="s">
        <v>398</v>
      </c>
      <c r="WN93">
        <v>1</v>
      </c>
      <c r="WO93" t="s">
        <v>438</v>
      </c>
      <c r="WP93" t="s">
        <v>440</v>
      </c>
      <c r="WQ93" t="s">
        <v>428</v>
      </c>
      <c r="WS93" t="s">
        <v>114</v>
      </c>
      <c r="WT93" t="s">
        <v>113</v>
      </c>
      <c r="WU93" t="s">
        <v>398</v>
      </c>
      <c r="WV93">
        <v>1</v>
      </c>
      <c r="WW93" t="s">
        <v>438</v>
      </c>
      <c r="WX93" t="s">
        <v>440</v>
      </c>
      <c r="WY93" t="s">
        <v>428</v>
      </c>
      <c r="XA93" t="s">
        <v>114</v>
      </c>
      <c r="XB93" t="s">
        <v>113</v>
      </c>
      <c r="XC93" t="s">
        <v>398</v>
      </c>
      <c r="XD93">
        <v>1</v>
      </c>
      <c r="XE93" t="s">
        <v>438</v>
      </c>
      <c r="XF93" t="s">
        <v>440</v>
      </c>
      <c r="XG93" t="s">
        <v>428</v>
      </c>
      <c r="XI93" t="s">
        <v>114</v>
      </c>
      <c r="XJ93" t="s">
        <v>113</v>
      </c>
      <c r="XK93" t="s">
        <v>398</v>
      </c>
      <c r="XL93">
        <v>1</v>
      </c>
      <c r="XM93" t="s">
        <v>438</v>
      </c>
      <c r="XN93" t="s">
        <v>440</v>
      </c>
      <c r="XO93" t="s">
        <v>428</v>
      </c>
      <c r="XQ93" t="s">
        <v>114</v>
      </c>
      <c r="XR93" t="s">
        <v>113</v>
      </c>
      <c r="XS93" t="s">
        <v>398</v>
      </c>
      <c r="XT93">
        <v>1</v>
      </c>
      <c r="XU93" t="s">
        <v>438</v>
      </c>
      <c r="XV93" t="s">
        <v>440</v>
      </c>
      <c r="XW93" t="s">
        <v>428</v>
      </c>
      <c r="XY93" t="s">
        <v>114</v>
      </c>
      <c r="XZ93" t="s">
        <v>113</v>
      </c>
      <c r="YA93" t="s">
        <v>398</v>
      </c>
      <c r="YB93">
        <v>1</v>
      </c>
      <c r="YC93" t="s">
        <v>438</v>
      </c>
      <c r="YD93" t="s">
        <v>440</v>
      </c>
      <c r="YE93" t="s">
        <v>428</v>
      </c>
      <c r="YG93" t="s">
        <v>114</v>
      </c>
      <c r="YH93" t="s">
        <v>113</v>
      </c>
      <c r="YI93" t="s">
        <v>398</v>
      </c>
      <c r="YJ93">
        <v>1</v>
      </c>
      <c r="YK93" t="s">
        <v>438</v>
      </c>
      <c r="YL93" t="s">
        <v>440</v>
      </c>
      <c r="YM93" t="s">
        <v>428</v>
      </c>
      <c r="YO93" t="s">
        <v>114</v>
      </c>
      <c r="YP93" t="s">
        <v>113</v>
      </c>
      <c r="YQ93" t="s">
        <v>398</v>
      </c>
      <c r="YR93">
        <v>1</v>
      </c>
      <c r="YS93" t="s">
        <v>438</v>
      </c>
      <c r="YT93" t="s">
        <v>440</v>
      </c>
      <c r="YU93" t="s">
        <v>428</v>
      </c>
      <c r="YW93" t="s">
        <v>114</v>
      </c>
      <c r="YX93" t="s">
        <v>113</v>
      </c>
      <c r="YY93" t="s">
        <v>398</v>
      </c>
      <c r="YZ93">
        <v>1</v>
      </c>
      <c r="ZA93" t="s">
        <v>438</v>
      </c>
      <c r="ZB93" t="s">
        <v>440</v>
      </c>
      <c r="ZC93" t="s">
        <v>428</v>
      </c>
      <c r="ZE93" t="s">
        <v>114</v>
      </c>
      <c r="ZF93" t="s">
        <v>113</v>
      </c>
      <c r="ZG93" t="s">
        <v>398</v>
      </c>
      <c r="ZH93">
        <v>1</v>
      </c>
      <c r="ZI93" t="s">
        <v>438</v>
      </c>
      <c r="ZJ93" t="s">
        <v>440</v>
      </c>
      <c r="ZK93" t="s">
        <v>428</v>
      </c>
      <c r="ZM93" t="s">
        <v>114</v>
      </c>
      <c r="ZN93" t="s">
        <v>113</v>
      </c>
      <c r="ZO93" t="s">
        <v>398</v>
      </c>
      <c r="ZP93">
        <v>1</v>
      </c>
      <c r="ZQ93" t="s">
        <v>438</v>
      </c>
      <c r="ZR93" t="s">
        <v>440</v>
      </c>
      <c r="ZS93" t="s">
        <v>428</v>
      </c>
      <c r="ZU93" t="s">
        <v>114</v>
      </c>
      <c r="ZV93" t="s">
        <v>113</v>
      </c>
      <c r="ZW93" t="s">
        <v>398</v>
      </c>
      <c r="ZX93">
        <v>1</v>
      </c>
      <c r="ZY93" t="s">
        <v>438</v>
      </c>
      <c r="ZZ93" t="s">
        <v>440</v>
      </c>
      <c r="AAA93" t="s">
        <v>428</v>
      </c>
      <c r="AAC93" t="s">
        <v>114</v>
      </c>
      <c r="AAD93" t="s">
        <v>113</v>
      </c>
      <c r="AAE93" t="s">
        <v>398</v>
      </c>
      <c r="AAF93">
        <v>1</v>
      </c>
      <c r="AAG93" t="s">
        <v>438</v>
      </c>
      <c r="AAH93" t="s">
        <v>440</v>
      </c>
      <c r="AAI93" t="s">
        <v>428</v>
      </c>
      <c r="AAK93" t="s">
        <v>114</v>
      </c>
      <c r="AAL93" t="s">
        <v>113</v>
      </c>
      <c r="AAM93" t="s">
        <v>398</v>
      </c>
      <c r="AAN93">
        <v>1</v>
      </c>
      <c r="AAO93" t="s">
        <v>438</v>
      </c>
      <c r="AAP93" t="s">
        <v>440</v>
      </c>
      <c r="AAQ93" t="s">
        <v>428</v>
      </c>
      <c r="AAS93" t="s">
        <v>114</v>
      </c>
      <c r="AAT93" t="s">
        <v>113</v>
      </c>
      <c r="AAU93" t="s">
        <v>398</v>
      </c>
      <c r="AAV93">
        <v>1</v>
      </c>
      <c r="AAW93" t="s">
        <v>438</v>
      </c>
      <c r="AAX93" t="s">
        <v>440</v>
      </c>
      <c r="AAY93" t="s">
        <v>428</v>
      </c>
      <c r="ABA93" t="s">
        <v>114</v>
      </c>
      <c r="ABB93" t="s">
        <v>113</v>
      </c>
      <c r="ABC93" t="s">
        <v>398</v>
      </c>
      <c r="ABD93">
        <v>1</v>
      </c>
      <c r="ABE93" t="s">
        <v>438</v>
      </c>
      <c r="ABF93" t="s">
        <v>440</v>
      </c>
      <c r="ABG93" t="s">
        <v>428</v>
      </c>
      <c r="ABI93" t="s">
        <v>114</v>
      </c>
      <c r="ABJ93" t="s">
        <v>113</v>
      </c>
      <c r="ABK93" t="s">
        <v>398</v>
      </c>
      <c r="ABL93">
        <v>1</v>
      </c>
      <c r="ABM93" t="s">
        <v>438</v>
      </c>
      <c r="ABN93" t="s">
        <v>440</v>
      </c>
      <c r="ABO93" t="s">
        <v>428</v>
      </c>
      <c r="ABQ93" t="s">
        <v>114</v>
      </c>
      <c r="ABR93" t="s">
        <v>113</v>
      </c>
      <c r="ABS93" t="s">
        <v>398</v>
      </c>
      <c r="ABT93">
        <v>1</v>
      </c>
      <c r="ABU93" t="s">
        <v>438</v>
      </c>
      <c r="ABV93" t="s">
        <v>440</v>
      </c>
      <c r="ABW93" t="s">
        <v>428</v>
      </c>
      <c r="ABY93" t="s">
        <v>114</v>
      </c>
      <c r="ABZ93" t="s">
        <v>113</v>
      </c>
      <c r="ACA93" t="s">
        <v>398</v>
      </c>
      <c r="ACB93">
        <v>1</v>
      </c>
      <c r="ACC93" t="s">
        <v>438</v>
      </c>
      <c r="ACD93" t="s">
        <v>440</v>
      </c>
      <c r="ACE93" t="s">
        <v>428</v>
      </c>
      <c r="ACG93" t="s">
        <v>114</v>
      </c>
      <c r="ACH93" t="s">
        <v>113</v>
      </c>
      <c r="ACI93" t="s">
        <v>398</v>
      </c>
      <c r="ACJ93">
        <v>1</v>
      </c>
      <c r="ACK93" t="s">
        <v>438</v>
      </c>
      <c r="ACL93" t="s">
        <v>440</v>
      </c>
      <c r="ACM93" t="s">
        <v>428</v>
      </c>
      <c r="ACO93" t="s">
        <v>114</v>
      </c>
      <c r="ACP93" t="s">
        <v>113</v>
      </c>
      <c r="ACQ93" t="s">
        <v>398</v>
      </c>
      <c r="ACR93">
        <v>1</v>
      </c>
      <c r="ACS93" t="s">
        <v>438</v>
      </c>
      <c r="ACT93" t="s">
        <v>440</v>
      </c>
      <c r="ACU93" t="s">
        <v>428</v>
      </c>
      <c r="ACW93" t="s">
        <v>114</v>
      </c>
      <c r="ACX93" t="s">
        <v>113</v>
      </c>
      <c r="ACY93" t="s">
        <v>398</v>
      </c>
      <c r="ACZ93">
        <v>1</v>
      </c>
      <c r="ADA93" t="s">
        <v>438</v>
      </c>
      <c r="ADB93" t="s">
        <v>440</v>
      </c>
      <c r="ADC93" t="s">
        <v>428</v>
      </c>
      <c r="ADE93" t="s">
        <v>114</v>
      </c>
      <c r="ADF93" t="s">
        <v>113</v>
      </c>
      <c r="ADG93" t="s">
        <v>398</v>
      </c>
      <c r="ADH93">
        <v>1</v>
      </c>
      <c r="ADI93" t="s">
        <v>438</v>
      </c>
      <c r="ADJ93" t="s">
        <v>440</v>
      </c>
      <c r="ADK93" t="s">
        <v>428</v>
      </c>
      <c r="ADM93" t="s">
        <v>114</v>
      </c>
      <c r="ADN93" t="s">
        <v>113</v>
      </c>
      <c r="ADO93" t="s">
        <v>398</v>
      </c>
      <c r="ADP93">
        <v>1</v>
      </c>
      <c r="ADQ93" t="s">
        <v>438</v>
      </c>
      <c r="ADR93" t="s">
        <v>440</v>
      </c>
      <c r="ADS93" t="s">
        <v>428</v>
      </c>
      <c r="ADU93" t="s">
        <v>114</v>
      </c>
      <c r="ADV93" t="s">
        <v>113</v>
      </c>
      <c r="ADW93" t="s">
        <v>398</v>
      </c>
      <c r="ADX93">
        <v>1</v>
      </c>
      <c r="ADY93" t="s">
        <v>438</v>
      </c>
      <c r="ADZ93" t="s">
        <v>440</v>
      </c>
      <c r="AEA93" t="s">
        <v>428</v>
      </c>
      <c r="AEC93" t="s">
        <v>114</v>
      </c>
      <c r="AED93" t="s">
        <v>113</v>
      </c>
      <c r="AEE93" t="s">
        <v>398</v>
      </c>
      <c r="AEF93">
        <v>1</v>
      </c>
      <c r="AEG93" t="s">
        <v>438</v>
      </c>
      <c r="AEH93" t="s">
        <v>440</v>
      </c>
      <c r="AEI93" t="s">
        <v>428</v>
      </c>
      <c r="AEK93" t="s">
        <v>114</v>
      </c>
      <c r="AEL93" t="s">
        <v>113</v>
      </c>
      <c r="AEM93" t="s">
        <v>398</v>
      </c>
      <c r="AEN93">
        <v>1</v>
      </c>
      <c r="AEO93" t="s">
        <v>438</v>
      </c>
      <c r="AEP93" t="s">
        <v>440</v>
      </c>
      <c r="AEQ93" t="s">
        <v>428</v>
      </c>
      <c r="AES93" t="s">
        <v>114</v>
      </c>
      <c r="AET93" t="s">
        <v>113</v>
      </c>
      <c r="AEU93" t="s">
        <v>398</v>
      </c>
      <c r="AEV93">
        <v>1</v>
      </c>
      <c r="AEW93" t="s">
        <v>438</v>
      </c>
      <c r="AEX93" t="s">
        <v>440</v>
      </c>
      <c r="AEY93" t="s">
        <v>428</v>
      </c>
      <c r="AFA93" t="s">
        <v>114</v>
      </c>
      <c r="AFB93" t="s">
        <v>113</v>
      </c>
      <c r="AFC93" t="s">
        <v>398</v>
      </c>
      <c r="AFD93">
        <v>1</v>
      </c>
      <c r="AFE93" t="s">
        <v>438</v>
      </c>
      <c r="AFF93" t="s">
        <v>440</v>
      </c>
      <c r="AFG93" t="s">
        <v>428</v>
      </c>
      <c r="AFI93" t="s">
        <v>114</v>
      </c>
      <c r="AFJ93" t="s">
        <v>113</v>
      </c>
      <c r="AFK93" t="s">
        <v>398</v>
      </c>
      <c r="AFL93">
        <v>1</v>
      </c>
      <c r="AFM93" t="s">
        <v>438</v>
      </c>
      <c r="AFN93" t="s">
        <v>440</v>
      </c>
      <c r="AFO93" t="s">
        <v>428</v>
      </c>
      <c r="AFQ93" t="s">
        <v>114</v>
      </c>
      <c r="AFR93" t="s">
        <v>113</v>
      </c>
      <c r="AFS93" t="s">
        <v>398</v>
      </c>
      <c r="AFT93">
        <v>1</v>
      </c>
      <c r="AFU93" t="s">
        <v>438</v>
      </c>
      <c r="AFV93" t="s">
        <v>440</v>
      </c>
      <c r="AFW93" t="s">
        <v>428</v>
      </c>
      <c r="AFY93" t="s">
        <v>114</v>
      </c>
      <c r="AFZ93" t="s">
        <v>113</v>
      </c>
      <c r="AGA93" t="s">
        <v>398</v>
      </c>
      <c r="AGB93">
        <v>1</v>
      </c>
      <c r="AGC93" t="s">
        <v>438</v>
      </c>
      <c r="AGD93" t="s">
        <v>440</v>
      </c>
      <c r="AGE93" t="s">
        <v>428</v>
      </c>
      <c r="AGG93" t="s">
        <v>114</v>
      </c>
      <c r="AGH93" t="s">
        <v>113</v>
      </c>
      <c r="AGI93" t="s">
        <v>398</v>
      </c>
      <c r="AGJ93">
        <v>1</v>
      </c>
      <c r="AGK93" t="s">
        <v>438</v>
      </c>
      <c r="AGL93" t="s">
        <v>440</v>
      </c>
      <c r="AGM93" t="s">
        <v>428</v>
      </c>
      <c r="AGO93" t="s">
        <v>114</v>
      </c>
      <c r="AGP93" t="s">
        <v>113</v>
      </c>
      <c r="AGQ93" t="s">
        <v>398</v>
      </c>
      <c r="AGR93">
        <v>1</v>
      </c>
      <c r="AGS93" t="s">
        <v>438</v>
      </c>
      <c r="AGT93" t="s">
        <v>440</v>
      </c>
      <c r="AGU93" t="s">
        <v>428</v>
      </c>
      <c r="AGW93" t="s">
        <v>114</v>
      </c>
      <c r="AGX93" t="s">
        <v>113</v>
      </c>
      <c r="AGY93" t="s">
        <v>398</v>
      </c>
      <c r="AGZ93">
        <v>1</v>
      </c>
      <c r="AHA93" t="s">
        <v>438</v>
      </c>
      <c r="AHB93" t="s">
        <v>440</v>
      </c>
      <c r="AHC93" t="s">
        <v>428</v>
      </c>
      <c r="AHE93" t="s">
        <v>114</v>
      </c>
      <c r="AHF93" t="s">
        <v>113</v>
      </c>
      <c r="AHG93" t="s">
        <v>398</v>
      </c>
      <c r="AHH93">
        <v>1</v>
      </c>
      <c r="AHI93" t="s">
        <v>438</v>
      </c>
      <c r="AHJ93" t="s">
        <v>440</v>
      </c>
      <c r="AHK93" t="s">
        <v>428</v>
      </c>
      <c r="AHM93" t="s">
        <v>114</v>
      </c>
      <c r="AHN93" t="s">
        <v>113</v>
      </c>
      <c r="AHO93" t="s">
        <v>398</v>
      </c>
      <c r="AHP93">
        <v>1</v>
      </c>
      <c r="AHQ93" t="s">
        <v>438</v>
      </c>
      <c r="AHR93" t="s">
        <v>440</v>
      </c>
      <c r="AHS93" t="s">
        <v>428</v>
      </c>
      <c r="AHU93" t="s">
        <v>114</v>
      </c>
      <c r="AHV93" t="s">
        <v>113</v>
      </c>
      <c r="AHW93" t="s">
        <v>398</v>
      </c>
      <c r="AHX93">
        <v>1</v>
      </c>
      <c r="AHY93" t="s">
        <v>438</v>
      </c>
      <c r="AHZ93" t="s">
        <v>440</v>
      </c>
      <c r="AIA93" t="s">
        <v>428</v>
      </c>
      <c r="AIC93" t="s">
        <v>114</v>
      </c>
      <c r="AID93" t="s">
        <v>113</v>
      </c>
      <c r="AIE93" t="s">
        <v>398</v>
      </c>
      <c r="AIF93">
        <v>1</v>
      </c>
      <c r="AIG93" t="s">
        <v>438</v>
      </c>
      <c r="AIH93" t="s">
        <v>440</v>
      </c>
      <c r="AII93" t="s">
        <v>428</v>
      </c>
      <c r="AIK93" t="s">
        <v>114</v>
      </c>
      <c r="AIL93" t="s">
        <v>113</v>
      </c>
      <c r="AIM93" t="s">
        <v>398</v>
      </c>
      <c r="AIN93">
        <v>1</v>
      </c>
      <c r="AIO93" t="s">
        <v>438</v>
      </c>
      <c r="AIP93" t="s">
        <v>440</v>
      </c>
      <c r="AIQ93" t="s">
        <v>428</v>
      </c>
      <c r="AIS93" t="s">
        <v>114</v>
      </c>
      <c r="AIT93" t="s">
        <v>113</v>
      </c>
      <c r="AIU93" t="s">
        <v>398</v>
      </c>
      <c r="AIV93">
        <v>1</v>
      </c>
      <c r="AIW93" t="s">
        <v>438</v>
      </c>
      <c r="AIX93" t="s">
        <v>440</v>
      </c>
      <c r="AIY93" t="s">
        <v>428</v>
      </c>
      <c r="AJA93" t="s">
        <v>114</v>
      </c>
      <c r="AJB93" t="s">
        <v>113</v>
      </c>
      <c r="AJC93" t="s">
        <v>398</v>
      </c>
      <c r="AJD93">
        <v>1</v>
      </c>
      <c r="AJE93" t="s">
        <v>438</v>
      </c>
      <c r="AJF93" t="s">
        <v>440</v>
      </c>
      <c r="AJG93" t="s">
        <v>428</v>
      </c>
      <c r="AJI93" t="s">
        <v>114</v>
      </c>
      <c r="AJJ93" t="s">
        <v>113</v>
      </c>
      <c r="AJK93" t="s">
        <v>398</v>
      </c>
      <c r="AJL93">
        <v>1</v>
      </c>
      <c r="AJM93" t="s">
        <v>438</v>
      </c>
      <c r="AJN93" t="s">
        <v>440</v>
      </c>
      <c r="AJO93" t="s">
        <v>428</v>
      </c>
      <c r="AJQ93" t="s">
        <v>114</v>
      </c>
      <c r="AJR93" t="s">
        <v>113</v>
      </c>
      <c r="AJS93" t="s">
        <v>398</v>
      </c>
      <c r="AJT93">
        <v>1</v>
      </c>
      <c r="AJU93" t="s">
        <v>438</v>
      </c>
      <c r="AJV93" t="s">
        <v>440</v>
      </c>
      <c r="AJW93" t="s">
        <v>428</v>
      </c>
      <c r="AJY93" t="s">
        <v>114</v>
      </c>
      <c r="AJZ93" t="s">
        <v>113</v>
      </c>
      <c r="AKA93" t="s">
        <v>398</v>
      </c>
      <c r="AKB93">
        <v>1</v>
      </c>
      <c r="AKC93" t="s">
        <v>438</v>
      </c>
      <c r="AKD93" t="s">
        <v>440</v>
      </c>
      <c r="AKE93" t="s">
        <v>428</v>
      </c>
      <c r="AKG93" t="s">
        <v>114</v>
      </c>
      <c r="AKH93" t="s">
        <v>113</v>
      </c>
      <c r="AKI93" t="s">
        <v>398</v>
      </c>
      <c r="AKJ93">
        <v>1</v>
      </c>
      <c r="AKK93" t="s">
        <v>438</v>
      </c>
      <c r="AKL93" t="s">
        <v>440</v>
      </c>
      <c r="AKM93" t="s">
        <v>428</v>
      </c>
      <c r="AKO93" t="s">
        <v>114</v>
      </c>
      <c r="AKP93" t="s">
        <v>113</v>
      </c>
      <c r="AKQ93" t="s">
        <v>398</v>
      </c>
      <c r="AKR93">
        <v>1</v>
      </c>
      <c r="AKS93" t="s">
        <v>438</v>
      </c>
      <c r="AKT93" t="s">
        <v>440</v>
      </c>
      <c r="AKU93" t="s">
        <v>428</v>
      </c>
      <c r="AKW93" t="s">
        <v>114</v>
      </c>
      <c r="AKX93" t="s">
        <v>113</v>
      </c>
      <c r="AKY93" t="s">
        <v>398</v>
      </c>
      <c r="AKZ93">
        <v>1</v>
      </c>
      <c r="ALA93" t="s">
        <v>438</v>
      </c>
      <c r="ALB93" t="s">
        <v>440</v>
      </c>
      <c r="ALC93" t="s">
        <v>428</v>
      </c>
      <c r="ALE93" t="s">
        <v>114</v>
      </c>
      <c r="ALF93" t="s">
        <v>113</v>
      </c>
      <c r="ALG93" t="s">
        <v>398</v>
      </c>
      <c r="ALH93">
        <v>1</v>
      </c>
      <c r="ALI93" t="s">
        <v>438</v>
      </c>
      <c r="ALJ93" t="s">
        <v>440</v>
      </c>
      <c r="ALK93" t="s">
        <v>428</v>
      </c>
      <c r="ALM93" t="s">
        <v>114</v>
      </c>
      <c r="ALN93" t="s">
        <v>113</v>
      </c>
      <c r="ALO93" t="s">
        <v>398</v>
      </c>
      <c r="ALP93">
        <v>1</v>
      </c>
      <c r="ALQ93" t="s">
        <v>438</v>
      </c>
      <c r="ALR93" t="s">
        <v>440</v>
      </c>
      <c r="ALS93" t="s">
        <v>428</v>
      </c>
      <c r="ALU93" t="s">
        <v>114</v>
      </c>
      <c r="ALV93" t="s">
        <v>113</v>
      </c>
      <c r="ALW93" t="s">
        <v>398</v>
      </c>
      <c r="ALX93">
        <v>1</v>
      </c>
      <c r="ALY93" t="s">
        <v>438</v>
      </c>
      <c r="ALZ93" t="s">
        <v>440</v>
      </c>
      <c r="AMA93" t="s">
        <v>428</v>
      </c>
      <c r="AMC93" t="s">
        <v>114</v>
      </c>
      <c r="AMD93" t="s">
        <v>113</v>
      </c>
      <c r="AME93" t="s">
        <v>398</v>
      </c>
      <c r="AMF93">
        <v>1</v>
      </c>
      <c r="AMG93" t="s">
        <v>438</v>
      </c>
      <c r="AMH93" t="s">
        <v>440</v>
      </c>
      <c r="AMI93" t="s">
        <v>428</v>
      </c>
      <c r="AMK93" t="s">
        <v>114</v>
      </c>
      <c r="AML93" t="s">
        <v>113</v>
      </c>
      <c r="AMM93" t="s">
        <v>398</v>
      </c>
      <c r="AMN93">
        <v>1</v>
      </c>
      <c r="AMO93" t="s">
        <v>438</v>
      </c>
      <c r="AMP93" t="s">
        <v>440</v>
      </c>
      <c r="AMQ93" t="s">
        <v>428</v>
      </c>
      <c r="AMS93" t="s">
        <v>114</v>
      </c>
      <c r="AMT93" t="s">
        <v>113</v>
      </c>
      <c r="AMU93" t="s">
        <v>398</v>
      </c>
      <c r="AMV93">
        <v>1</v>
      </c>
      <c r="AMW93" t="s">
        <v>438</v>
      </c>
      <c r="AMX93" t="s">
        <v>440</v>
      </c>
      <c r="AMY93" t="s">
        <v>428</v>
      </c>
      <c r="ANA93" t="s">
        <v>114</v>
      </c>
      <c r="ANB93" t="s">
        <v>113</v>
      </c>
      <c r="ANC93" t="s">
        <v>398</v>
      </c>
      <c r="AND93">
        <v>1</v>
      </c>
      <c r="ANE93" t="s">
        <v>438</v>
      </c>
      <c r="ANF93" t="s">
        <v>440</v>
      </c>
      <c r="ANG93" t="s">
        <v>428</v>
      </c>
      <c r="ANI93" t="s">
        <v>114</v>
      </c>
      <c r="ANJ93" t="s">
        <v>113</v>
      </c>
      <c r="ANK93" t="s">
        <v>398</v>
      </c>
      <c r="ANL93">
        <v>1</v>
      </c>
      <c r="ANM93" t="s">
        <v>438</v>
      </c>
      <c r="ANN93" t="s">
        <v>440</v>
      </c>
      <c r="ANO93" t="s">
        <v>428</v>
      </c>
      <c r="ANQ93" t="s">
        <v>114</v>
      </c>
      <c r="ANR93" t="s">
        <v>113</v>
      </c>
      <c r="ANS93" t="s">
        <v>398</v>
      </c>
      <c r="ANT93">
        <v>1</v>
      </c>
      <c r="ANU93" t="s">
        <v>438</v>
      </c>
      <c r="ANV93" t="s">
        <v>440</v>
      </c>
      <c r="ANW93" t="s">
        <v>428</v>
      </c>
      <c r="ANY93" t="s">
        <v>114</v>
      </c>
      <c r="ANZ93" t="s">
        <v>113</v>
      </c>
      <c r="AOA93" t="s">
        <v>398</v>
      </c>
      <c r="AOB93">
        <v>1</v>
      </c>
      <c r="AOC93" t="s">
        <v>438</v>
      </c>
      <c r="AOD93" t="s">
        <v>440</v>
      </c>
      <c r="AOE93" t="s">
        <v>428</v>
      </c>
      <c r="AOG93" t="s">
        <v>114</v>
      </c>
      <c r="AOH93" t="s">
        <v>113</v>
      </c>
      <c r="AOI93" t="s">
        <v>398</v>
      </c>
      <c r="AOJ93">
        <v>1</v>
      </c>
      <c r="AOK93" t="s">
        <v>438</v>
      </c>
      <c r="AOL93" t="s">
        <v>440</v>
      </c>
      <c r="AOM93" t="s">
        <v>428</v>
      </c>
      <c r="AOO93" t="s">
        <v>114</v>
      </c>
      <c r="AOP93" t="s">
        <v>113</v>
      </c>
      <c r="AOQ93" t="s">
        <v>398</v>
      </c>
      <c r="AOR93">
        <v>1</v>
      </c>
      <c r="AOS93" t="s">
        <v>438</v>
      </c>
      <c r="AOT93" t="s">
        <v>440</v>
      </c>
      <c r="AOU93" t="s">
        <v>428</v>
      </c>
      <c r="AOW93" t="s">
        <v>114</v>
      </c>
      <c r="AOX93" t="s">
        <v>113</v>
      </c>
      <c r="AOY93" t="s">
        <v>398</v>
      </c>
      <c r="AOZ93">
        <v>1</v>
      </c>
      <c r="APA93" t="s">
        <v>438</v>
      </c>
      <c r="APB93" t="s">
        <v>440</v>
      </c>
      <c r="APC93" t="s">
        <v>428</v>
      </c>
      <c r="APE93" t="s">
        <v>114</v>
      </c>
      <c r="APF93" t="s">
        <v>113</v>
      </c>
      <c r="APG93" t="s">
        <v>398</v>
      </c>
      <c r="APH93">
        <v>1</v>
      </c>
      <c r="API93" t="s">
        <v>438</v>
      </c>
      <c r="APJ93" t="s">
        <v>440</v>
      </c>
      <c r="APK93" t="s">
        <v>428</v>
      </c>
      <c r="APM93" t="s">
        <v>114</v>
      </c>
      <c r="APN93" t="s">
        <v>113</v>
      </c>
      <c r="APO93" t="s">
        <v>398</v>
      </c>
      <c r="APP93">
        <v>1</v>
      </c>
      <c r="APQ93" t="s">
        <v>438</v>
      </c>
      <c r="APR93" t="s">
        <v>440</v>
      </c>
      <c r="APS93" t="s">
        <v>428</v>
      </c>
      <c r="APU93" t="s">
        <v>114</v>
      </c>
      <c r="APV93" t="s">
        <v>113</v>
      </c>
      <c r="APW93" t="s">
        <v>398</v>
      </c>
      <c r="APX93">
        <v>1</v>
      </c>
      <c r="APY93" t="s">
        <v>438</v>
      </c>
      <c r="APZ93" t="s">
        <v>440</v>
      </c>
      <c r="AQA93" t="s">
        <v>428</v>
      </c>
      <c r="AQC93" t="s">
        <v>114</v>
      </c>
      <c r="AQD93" t="s">
        <v>113</v>
      </c>
      <c r="AQE93" t="s">
        <v>398</v>
      </c>
      <c r="AQF93">
        <v>1</v>
      </c>
      <c r="AQG93" t="s">
        <v>438</v>
      </c>
      <c r="AQH93" t="s">
        <v>440</v>
      </c>
      <c r="AQI93" t="s">
        <v>428</v>
      </c>
      <c r="AQK93" t="s">
        <v>114</v>
      </c>
      <c r="AQL93" t="s">
        <v>113</v>
      </c>
      <c r="AQM93" t="s">
        <v>398</v>
      </c>
      <c r="AQN93">
        <v>1</v>
      </c>
      <c r="AQO93" t="s">
        <v>438</v>
      </c>
      <c r="AQP93" t="s">
        <v>440</v>
      </c>
      <c r="AQQ93" t="s">
        <v>428</v>
      </c>
      <c r="AQS93" t="s">
        <v>114</v>
      </c>
      <c r="AQT93" t="s">
        <v>113</v>
      </c>
      <c r="AQU93" t="s">
        <v>398</v>
      </c>
      <c r="AQV93">
        <v>1</v>
      </c>
      <c r="AQW93" t="s">
        <v>438</v>
      </c>
      <c r="AQX93" t="s">
        <v>440</v>
      </c>
      <c r="AQY93" t="s">
        <v>428</v>
      </c>
      <c r="ARA93" t="s">
        <v>114</v>
      </c>
      <c r="ARB93" t="s">
        <v>113</v>
      </c>
      <c r="ARC93" t="s">
        <v>398</v>
      </c>
      <c r="ARD93">
        <v>1</v>
      </c>
      <c r="ARE93" t="s">
        <v>438</v>
      </c>
      <c r="ARF93" t="s">
        <v>440</v>
      </c>
      <c r="ARG93" t="s">
        <v>428</v>
      </c>
      <c r="ARI93" t="s">
        <v>114</v>
      </c>
      <c r="ARJ93" t="s">
        <v>113</v>
      </c>
      <c r="ARK93" t="s">
        <v>398</v>
      </c>
      <c r="ARL93">
        <v>1</v>
      </c>
      <c r="ARM93" t="s">
        <v>438</v>
      </c>
      <c r="ARN93" t="s">
        <v>440</v>
      </c>
      <c r="ARO93" t="s">
        <v>428</v>
      </c>
      <c r="ARQ93" t="s">
        <v>114</v>
      </c>
      <c r="ARR93" t="s">
        <v>113</v>
      </c>
      <c r="ARS93" t="s">
        <v>398</v>
      </c>
      <c r="ART93">
        <v>1</v>
      </c>
      <c r="ARU93" t="s">
        <v>438</v>
      </c>
      <c r="ARV93" t="s">
        <v>440</v>
      </c>
      <c r="ARW93" t="s">
        <v>428</v>
      </c>
      <c r="ARY93" t="s">
        <v>114</v>
      </c>
      <c r="ARZ93" t="s">
        <v>113</v>
      </c>
      <c r="ASA93" t="s">
        <v>398</v>
      </c>
      <c r="ASB93">
        <v>1</v>
      </c>
      <c r="ASC93" t="s">
        <v>438</v>
      </c>
      <c r="ASD93" t="s">
        <v>440</v>
      </c>
      <c r="ASE93" t="s">
        <v>428</v>
      </c>
      <c r="ASG93" t="s">
        <v>114</v>
      </c>
      <c r="ASH93" t="s">
        <v>113</v>
      </c>
      <c r="ASI93" t="s">
        <v>398</v>
      </c>
      <c r="ASJ93">
        <v>1</v>
      </c>
      <c r="ASK93" t="s">
        <v>438</v>
      </c>
      <c r="ASL93" t="s">
        <v>440</v>
      </c>
      <c r="ASM93" t="s">
        <v>428</v>
      </c>
      <c r="ASO93" t="s">
        <v>114</v>
      </c>
      <c r="ASP93" t="s">
        <v>113</v>
      </c>
      <c r="ASQ93" t="s">
        <v>398</v>
      </c>
      <c r="ASR93">
        <v>1</v>
      </c>
      <c r="ASS93" t="s">
        <v>438</v>
      </c>
      <c r="AST93" t="s">
        <v>440</v>
      </c>
      <c r="ASU93" t="s">
        <v>428</v>
      </c>
      <c r="ASW93" t="s">
        <v>114</v>
      </c>
      <c r="ASX93" t="s">
        <v>113</v>
      </c>
      <c r="ASY93" t="s">
        <v>398</v>
      </c>
      <c r="ASZ93">
        <v>1</v>
      </c>
      <c r="ATA93" t="s">
        <v>438</v>
      </c>
      <c r="ATB93" t="s">
        <v>440</v>
      </c>
      <c r="ATC93" t="s">
        <v>428</v>
      </c>
      <c r="ATE93" t="s">
        <v>114</v>
      </c>
      <c r="ATF93" t="s">
        <v>113</v>
      </c>
      <c r="ATG93" t="s">
        <v>398</v>
      </c>
      <c r="ATH93">
        <v>1</v>
      </c>
      <c r="ATI93" t="s">
        <v>438</v>
      </c>
      <c r="ATJ93" t="s">
        <v>440</v>
      </c>
      <c r="ATK93" t="s">
        <v>428</v>
      </c>
      <c r="ATM93" t="s">
        <v>114</v>
      </c>
      <c r="ATN93" t="s">
        <v>113</v>
      </c>
      <c r="ATO93" t="s">
        <v>398</v>
      </c>
      <c r="ATP93">
        <v>1</v>
      </c>
      <c r="ATQ93" t="s">
        <v>438</v>
      </c>
      <c r="ATR93" t="s">
        <v>440</v>
      </c>
      <c r="ATS93" t="s">
        <v>428</v>
      </c>
      <c r="ATU93" t="s">
        <v>114</v>
      </c>
      <c r="ATV93" t="s">
        <v>113</v>
      </c>
      <c r="ATW93" t="s">
        <v>398</v>
      </c>
      <c r="ATX93">
        <v>1</v>
      </c>
      <c r="ATY93" t="s">
        <v>438</v>
      </c>
      <c r="ATZ93" t="s">
        <v>440</v>
      </c>
      <c r="AUA93" t="s">
        <v>428</v>
      </c>
      <c r="AUC93" t="s">
        <v>114</v>
      </c>
      <c r="AUD93" t="s">
        <v>113</v>
      </c>
      <c r="AUE93" t="s">
        <v>398</v>
      </c>
      <c r="AUF93">
        <v>1</v>
      </c>
      <c r="AUG93" t="s">
        <v>438</v>
      </c>
      <c r="AUH93" t="s">
        <v>440</v>
      </c>
      <c r="AUI93" t="s">
        <v>428</v>
      </c>
      <c r="AUK93" t="s">
        <v>114</v>
      </c>
      <c r="AUL93" t="s">
        <v>113</v>
      </c>
      <c r="AUM93" t="s">
        <v>398</v>
      </c>
      <c r="AUN93">
        <v>1</v>
      </c>
      <c r="AUO93" t="s">
        <v>438</v>
      </c>
      <c r="AUP93" t="s">
        <v>440</v>
      </c>
      <c r="AUQ93" t="s">
        <v>428</v>
      </c>
      <c r="AUS93" t="s">
        <v>114</v>
      </c>
      <c r="AUT93" t="s">
        <v>113</v>
      </c>
      <c r="AUU93" t="s">
        <v>398</v>
      </c>
      <c r="AUV93">
        <v>1</v>
      </c>
      <c r="AUW93" t="s">
        <v>438</v>
      </c>
      <c r="AUX93" t="s">
        <v>440</v>
      </c>
      <c r="AUY93" t="s">
        <v>428</v>
      </c>
      <c r="AVA93" t="s">
        <v>114</v>
      </c>
      <c r="AVB93" t="s">
        <v>113</v>
      </c>
      <c r="AVC93" t="s">
        <v>398</v>
      </c>
      <c r="AVD93">
        <v>1</v>
      </c>
      <c r="AVE93" t="s">
        <v>438</v>
      </c>
      <c r="AVF93" t="s">
        <v>440</v>
      </c>
      <c r="AVG93" t="s">
        <v>428</v>
      </c>
      <c r="AVI93" t="s">
        <v>114</v>
      </c>
      <c r="AVJ93" t="s">
        <v>113</v>
      </c>
      <c r="AVK93" t="s">
        <v>398</v>
      </c>
      <c r="AVL93">
        <v>1</v>
      </c>
      <c r="AVM93" t="s">
        <v>438</v>
      </c>
      <c r="AVN93" t="s">
        <v>440</v>
      </c>
      <c r="AVO93" t="s">
        <v>428</v>
      </c>
      <c r="AVQ93" t="s">
        <v>114</v>
      </c>
      <c r="AVR93" t="s">
        <v>113</v>
      </c>
      <c r="AVS93" t="s">
        <v>398</v>
      </c>
      <c r="AVT93">
        <v>1</v>
      </c>
      <c r="AVU93" t="s">
        <v>438</v>
      </c>
      <c r="AVV93" t="s">
        <v>440</v>
      </c>
      <c r="AVW93" t="s">
        <v>428</v>
      </c>
      <c r="AVY93" t="s">
        <v>114</v>
      </c>
      <c r="AVZ93" t="s">
        <v>113</v>
      </c>
      <c r="AWA93" t="s">
        <v>398</v>
      </c>
      <c r="AWB93">
        <v>1</v>
      </c>
      <c r="AWC93" t="s">
        <v>438</v>
      </c>
      <c r="AWD93" t="s">
        <v>440</v>
      </c>
      <c r="AWE93" t="s">
        <v>428</v>
      </c>
      <c r="AWG93" t="s">
        <v>114</v>
      </c>
      <c r="AWH93" t="s">
        <v>113</v>
      </c>
      <c r="AWI93" t="s">
        <v>398</v>
      </c>
      <c r="AWJ93">
        <v>1</v>
      </c>
      <c r="AWK93" t="s">
        <v>438</v>
      </c>
      <c r="AWL93" t="s">
        <v>440</v>
      </c>
      <c r="AWM93" t="s">
        <v>428</v>
      </c>
      <c r="AWO93" t="s">
        <v>114</v>
      </c>
      <c r="AWP93" t="s">
        <v>113</v>
      </c>
      <c r="AWQ93" t="s">
        <v>398</v>
      </c>
      <c r="AWR93">
        <v>1</v>
      </c>
      <c r="AWS93" t="s">
        <v>438</v>
      </c>
      <c r="AWT93" t="s">
        <v>440</v>
      </c>
      <c r="AWU93" t="s">
        <v>428</v>
      </c>
      <c r="AWW93" t="s">
        <v>114</v>
      </c>
      <c r="AWX93" t="s">
        <v>113</v>
      </c>
      <c r="AWY93" t="s">
        <v>398</v>
      </c>
      <c r="AWZ93">
        <v>1</v>
      </c>
      <c r="AXA93" t="s">
        <v>438</v>
      </c>
      <c r="AXB93" t="s">
        <v>440</v>
      </c>
      <c r="AXC93" t="s">
        <v>428</v>
      </c>
      <c r="AXE93" t="s">
        <v>114</v>
      </c>
      <c r="AXF93" t="s">
        <v>113</v>
      </c>
      <c r="AXG93" t="s">
        <v>398</v>
      </c>
      <c r="AXH93">
        <v>1</v>
      </c>
      <c r="AXI93" t="s">
        <v>438</v>
      </c>
      <c r="AXJ93" t="s">
        <v>440</v>
      </c>
      <c r="AXK93" t="s">
        <v>428</v>
      </c>
      <c r="AXM93" t="s">
        <v>114</v>
      </c>
      <c r="AXN93" t="s">
        <v>113</v>
      </c>
      <c r="AXO93" t="s">
        <v>398</v>
      </c>
      <c r="AXP93">
        <v>1</v>
      </c>
      <c r="AXQ93" t="s">
        <v>438</v>
      </c>
      <c r="AXR93" t="s">
        <v>440</v>
      </c>
      <c r="AXS93" t="s">
        <v>428</v>
      </c>
      <c r="AXU93" t="s">
        <v>114</v>
      </c>
      <c r="AXV93" t="s">
        <v>113</v>
      </c>
      <c r="AXW93" t="s">
        <v>398</v>
      </c>
      <c r="AXX93">
        <v>1</v>
      </c>
      <c r="AXY93" t="s">
        <v>438</v>
      </c>
      <c r="AXZ93" t="s">
        <v>440</v>
      </c>
      <c r="AYA93" t="s">
        <v>428</v>
      </c>
      <c r="AYC93" t="s">
        <v>114</v>
      </c>
      <c r="AYD93" t="s">
        <v>113</v>
      </c>
      <c r="AYE93" t="s">
        <v>398</v>
      </c>
      <c r="AYF93">
        <v>1</v>
      </c>
      <c r="AYG93" t="s">
        <v>438</v>
      </c>
      <c r="AYH93" t="s">
        <v>440</v>
      </c>
      <c r="AYI93" t="s">
        <v>428</v>
      </c>
      <c r="AYK93" t="s">
        <v>114</v>
      </c>
      <c r="AYL93" t="s">
        <v>113</v>
      </c>
      <c r="AYM93" t="s">
        <v>398</v>
      </c>
      <c r="AYN93">
        <v>1</v>
      </c>
      <c r="AYO93" t="s">
        <v>438</v>
      </c>
      <c r="AYP93" t="s">
        <v>440</v>
      </c>
      <c r="AYQ93" t="s">
        <v>428</v>
      </c>
      <c r="AYS93" t="s">
        <v>114</v>
      </c>
      <c r="AYT93" t="s">
        <v>113</v>
      </c>
      <c r="AYU93" t="s">
        <v>398</v>
      </c>
      <c r="AYV93">
        <v>1</v>
      </c>
      <c r="AYW93" t="s">
        <v>438</v>
      </c>
      <c r="AYX93" t="s">
        <v>440</v>
      </c>
      <c r="AYY93" t="s">
        <v>428</v>
      </c>
      <c r="AZA93" t="s">
        <v>114</v>
      </c>
      <c r="AZB93" t="s">
        <v>113</v>
      </c>
      <c r="AZC93" t="s">
        <v>398</v>
      </c>
      <c r="AZD93">
        <v>1</v>
      </c>
      <c r="AZE93" t="s">
        <v>438</v>
      </c>
      <c r="AZF93" t="s">
        <v>440</v>
      </c>
      <c r="AZG93" t="s">
        <v>428</v>
      </c>
      <c r="AZI93" t="s">
        <v>114</v>
      </c>
      <c r="AZJ93" t="s">
        <v>113</v>
      </c>
      <c r="AZK93" t="s">
        <v>398</v>
      </c>
      <c r="AZL93">
        <v>1</v>
      </c>
      <c r="AZM93" t="s">
        <v>438</v>
      </c>
      <c r="AZN93" t="s">
        <v>440</v>
      </c>
      <c r="AZO93" t="s">
        <v>428</v>
      </c>
      <c r="AZQ93" t="s">
        <v>114</v>
      </c>
      <c r="AZR93" t="s">
        <v>113</v>
      </c>
      <c r="AZS93" t="s">
        <v>398</v>
      </c>
      <c r="AZT93">
        <v>1</v>
      </c>
      <c r="AZU93" t="s">
        <v>438</v>
      </c>
      <c r="AZV93" t="s">
        <v>440</v>
      </c>
      <c r="AZW93" t="s">
        <v>428</v>
      </c>
      <c r="AZY93" t="s">
        <v>114</v>
      </c>
      <c r="AZZ93" t="s">
        <v>113</v>
      </c>
      <c r="BAA93" t="s">
        <v>398</v>
      </c>
      <c r="BAB93">
        <v>1</v>
      </c>
      <c r="BAC93" t="s">
        <v>438</v>
      </c>
      <c r="BAD93" t="s">
        <v>440</v>
      </c>
      <c r="BAE93" t="s">
        <v>428</v>
      </c>
      <c r="BAG93" t="s">
        <v>114</v>
      </c>
      <c r="BAH93" t="s">
        <v>113</v>
      </c>
      <c r="BAI93" t="s">
        <v>398</v>
      </c>
      <c r="BAJ93">
        <v>1</v>
      </c>
      <c r="BAK93" t="s">
        <v>438</v>
      </c>
      <c r="BAL93" t="s">
        <v>440</v>
      </c>
      <c r="BAM93" t="s">
        <v>428</v>
      </c>
      <c r="BAO93" t="s">
        <v>114</v>
      </c>
      <c r="BAP93" t="s">
        <v>113</v>
      </c>
      <c r="BAQ93" t="s">
        <v>398</v>
      </c>
      <c r="BAR93">
        <v>1</v>
      </c>
      <c r="BAS93" t="s">
        <v>438</v>
      </c>
      <c r="BAT93" t="s">
        <v>440</v>
      </c>
      <c r="BAU93" t="s">
        <v>428</v>
      </c>
      <c r="BAW93" t="s">
        <v>114</v>
      </c>
      <c r="BAX93" t="s">
        <v>113</v>
      </c>
      <c r="BAY93" t="s">
        <v>398</v>
      </c>
      <c r="BAZ93">
        <v>1</v>
      </c>
      <c r="BBA93" t="s">
        <v>438</v>
      </c>
      <c r="BBB93" t="s">
        <v>440</v>
      </c>
      <c r="BBC93" t="s">
        <v>428</v>
      </c>
      <c r="BBE93" t="s">
        <v>114</v>
      </c>
      <c r="BBF93" t="s">
        <v>113</v>
      </c>
      <c r="BBG93" t="s">
        <v>398</v>
      </c>
      <c r="BBH93">
        <v>1</v>
      </c>
      <c r="BBI93" t="s">
        <v>438</v>
      </c>
      <c r="BBJ93" t="s">
        <v>440</v>
      </c>
      <c r="BBK93" t="s">
        <v>428</v>
      </c>
      <c r="BBM93" t="s">
        <v>114</v>
      </c>
      <c r="BBN93" t="s">
        <v>113</v>
      </c>
      <c r="BBO93" t="s">
        <v>398</v>
      </c>
      <c r="BBP93">
        <v>1</v>
      </c>
      <c r="BBQ93" t="s">
        <v>438</v>
      </c>
      <c r="BBR93" t="s">
        <v>440</v>
      </c>
      <c r="BBS93" t="s">
        <v>428</v>
      </c>
      <c r="BBU93" t="s">
        <v>114</v>
      </c>
      <c r="BBV93" t="s">
        <v>113</v>
      </c>
      <c r="BBW93" t="s">
        <v>398</v>
      </c>
      <c r="BBX93">
        <v>1</v>
      </c>
      <c r="BBY93" t="s">
        <v>438</v>
      </c>
      <c r="BBZ93" t="s">
        <v>440</v>
      </c>
      <c r="BCA93" t="s">
        <v>428</v>
      </c>
      <c r="BCC93" t="s">
        <v>114</v>
      </c>
      <c r="BCD93" t="s">
        <v>113</v>
      </c>
      <c r="BCE93" t="s">
        <v>398</v>
      </c>
      <c r="BCF93">
        <v>1</v>
      </c>
      <c r="BCG93" t="s">
        <v>438</v>
      </c>
      <c r="BCH93" t="s">
        <v>440</v>
      </c>
      <c r="BCI93" t="s">
        <v>428</v>
      </c>
      <c r="BCK93" t="s">
        <v>114</v>
      </c>
      <c r="BCL93" t="s">
        <v>113</v>
      </c>
      <c r="BCM93" t="s">
        <v>398</v>
      </c>
      <c r="BCN93">
        <v>1</v>
      </c>
      <c r="BCO93" t="s">
        <v>438</v>
      </c>
      <c r="BCP93" t="s">
        <v>440</v>
      </c>
      <c r="BCQ93" t="s">
        <v>428</v>
      </c>
      <c r="BCS93" t="s">
        <v>114</v>
      </c>
      <c r="BCT93" t="s">
        <v>113</v>
      </c>
      <c r="BCU93" t="s">
        <v>398</v>
      </c>
      <c r="BCV93">
        <v>1</v>
      </c>
      <c r="BCW93" t="s">
        <v>438</v>
      </c>
      <c r="BCX93" t="s">
        <v>440</v>
      </c>
      <c r="BCY93" t="s">
        <v>428</v>
      </c>
      <c r="BDA93" t="s">
        <v>114</v>
      </c>
      <c r="BDB93" t="s">
        <v>113</v>
      </c>
      <c r="BDC93" t="s">
        <v>398</v>
      </c>
      <c r="BDD93">
        <v>1</v>
      </c>
      <c r="BDE93" t="s">
        <v>438</v>
      </c>
      <c r="BDF93" t="s">
        <v>440</v>
      </c>
      <c r="BDG93" t="s">
        <v>428</v>
      </c>
      <c r="BDI93" t="s">
        <v>114</v>
      </c>
      <c r="BDJ93" t="s">
        <v>113</v>
      </c>
      <c r="BDK93" t="s">
        <v>398</v>
      </c>
      <c r="BDL93">
        <v>1</v>
      </c>
      <c r="BDM93" t="s">
        <v>438</v>
      </c>
      <c r="BDN93" t="s">
        <v>440</v>
      </c>
      <c r="BDO93" t="s">
        <v>428</v>
      </c>
      <c r="BDQ93" t="s">
        <v>114</v>
      </c>
      <c r="BDR93" t="s">
        <v>113</v>
      </c>
      <c r="BDS93" t="s">
        <v>398</v>
      </c>
      <c r="BDT93">
        <v>1</v>
      </c>
      <c r="BDU93" t="s">
        <v>438</v>
      </c>
      <c r="BDV93" t="s">
        <v>440</v>
      </c>
      <c r="BDW93" t="s">
        <v>428</v>
      </c>
      <c r="BDY93" t="s">
        <v>114</v>
      </c>
      <c r="BDZ93" t="s">
        <v>113</v>
      </c>
      <c r="BEA93" t="s">
        <v>398</v>
      </c>
      <c r="BEB93">
        <v>1</v>
      </c>
      <c r="BEC93" t="s">
        <v>438</v>
      </c>
      <c r="BED93" t="s">
        <v>440</v>
      </c>
      <c r="BEE93" t="s">
        <v>428</v>
      </c>
      <c r="BEG93" t="s">
        <v>114</v>
      </c>
      <c r="BEH93" t="s">
        <v>113</v>
      </c>
      <c r="BEI93" t="s">
        <v>398</v>
      </c>
      <c r="BEJ93">
        <v>1</v>
      </c>
      <c r="BEK93" t="s">
        <v>438</v>
      </c>
      <c r="BEL93" t="s">
        <v>440</v>
      </c>
      <c r="BEM93" t="s">
        <v>428</v>
      </c>
      <c r="BEO93" t="s">
        <v>114</v>
      </c>
      <c r="BEP93" t="s">
        <v>113</v>
      </c>
      <c r="BEQ93" t="s">
        <v>398</v>
      </c>
      <c r="BER93">
        <v>1</v>
      </c>
      <c r="BES93" t="s">
        <v>438</v>
      </c>
      <c r="BET93" t="s">
        <v>440</v>
      </c>
      <c r="BEU93" t="s">
        <v>428</v>
      </c>
      <c r="BEW93" t="s">
        <v>114</v>
      </c>
      <c r="BEX93" t="s">
        <v>113</v>
      </c>
      <c r="BEY93" t="s">
        <v>398</v>
      </c>
      <c r="BEZ93">
        <v>1</v>
      </c>
      <c r="BFA93" t="s">
        <v>438</v>
      </c>
      <c r="BFB93" t="s">
        <v>440</v>
      </c>
      <c r="BFC93" t="s">
        <v>428</v>
      </c>
      <c r="BFE93" t="s">
        <v>114</v>
      </c>
      <c r="BFF93" t="s">
        <v>113</v>
      </c>
      <c r="BFG93" t="s">
        <v>398</v>
      </c>
      <c r="BFH93">
        <v>1</v>
      </c>
      <c r="BFI93" t="s">
        <v>438</v>
      </c>
      <c r="BFJ93" t="s">
        <v>440</v>
      </c>
      <c r="BFK93" t="s">
        <v>428</v>
      </c>
      <c r="BFM93" t="s">
        <v>114</v>
      </c>
      <c r="BFN93" t="s">
        <v>113</v>
      </c>
      <c r="BFO93" t="s">
        <v>398</v>
      </c>
      <c r="BFP93">
        <v>1</v>
      </c>
      <c r="BFQ93" t="s">
        <v>438</v>
      </c>
      <c r="BFR93" t="s">
        <v>440</v>
      </c>
      <c r="BFS93" t="s">
        <v>428</v>
      </c>
      <c r="BFU93" t="s">
        <v>114</v>
      </c>
      <c r="BFV93" t="s">
        <v>113</v>
      </c>
      <c r="BFW93" t="s">
        <v>398</v>
      </c>
      <c r="BFX93">
        <v>1</v>
      </c>
      <c r="BFY93" t="s">
        <v>438</v>
      </c>
      <c r="BFZ93" t="s">
        <v>440</v>
      </c>
      <c r="BGA93" t="s">
        <v>428</v>
      </c>
      <c r="BGC93" t="s">
        <v>114</v>
      </c>
      <c r="BGD93" t="s">
        <v>113</v>
      </c>
      <c r="BGE93" t="s">
        <v>398</v>
      </c>
      <c r="BGF93">
        <v>1</v>
      </c>
      <c r="BGG93" t="s">
        <v>438</v>
      </c>
      <c r="BGH93" t="s">
        <v>440</v>
      </c>
      <c r="BGI93" t="s">
        <v>428</v>
      </c>
      <c r="BGK93" t="s">
        <v>114</v>
      </c>
      <c r="BGL93" t="s">
        <v>113</v>
      </c>
      <c r="BGM93" t="s">
        <v>398</v>
      </c>
      <c r="BGN93">
        <v>1</v>
      </c>
      <c r="BGO93" t="s">
        <v>438</v>
      </c>
      <c r="BGP93" t="s">
        <v>440</v>
      </c>
      <c r="BGQ93" t="s">
        <v>428</v>
      </c>
      <c r="BGS93" t="s">
        <v>114</v>
      </c>
      <c r="BGT93" t="s">
        <v>113</v>
      </c>
      <c r="BGU93" t="s">
        <v>398</v>
      </c>
      <c r="BGV93">
        <v>1</v>
      </c>
      <c r="BGW93" t="s">
        <v>438</v>
      </c>
      <c r="BGX93" t="s">
        <v>440</v>
      </c>
      <c r="BGY93" t="s">
        <v>428</v>
      </c>
      <c r="BHA93" t="s">
        <v>114</v>
      </c>
      <c r="BHB93" t="s">
        <v>113</v>
      </c>
      <c r="BHC93" t="s">
        <v>398</v>
      </c>
      <c r="BHD93">
        <v>1</v>
      </c>
      <c r="BHE93" t="s">
        <v>438</v>
      </c>
      <c r="BHF93" t="s">
        <v>440</v>
      </c>
      <c r="BHG93" t="s">
        <v>428</v>
      </c>
      <c r="BHI93" t="s">
        <v>114</v>
      </c>
      <c r="BHJ93" t="s">
        <v>113</v>
      </c>
      <c r="BHK93" t="s">
        <v>398</v>
      </c>
      <c r="BHL93">
        <v>1</v>
      </c>
      <c r="BHM93" t="s">
        <v>438</v>
      </c>
      <c r="BHN93" t="s">
        <v>440</v>
      </c>
      <c r="BHO93" t="s">
        <v>428</v>
      </c>
      <c r="BHQ93" t="s">
        <v>114</v>
      </c>
      <c r="BHR93" t="s">
        <v>113</v>
      </c>
      <c r="BHS93" t="s">
        <v>398</v>
      </c>
      <c r="BHT93">
        <v>1</v>
      </c>
      <c r="BHU93" t="s">
        <v>438</v>
      </c>
      <c r="BHV93" t="s">
        <v>440</v>
      </c>
      <c r="BHW93" t="s">
        <v>428</v>
      </c>
      <c r="BHY93" t="s">
        <v>114</v>
      </c>
      <c r="BHZ93" t="s">
        <v>113</v>
      </c>
      <c r="BIA93" t="s">
        <v>398</v>
      </c>
      <c r="BIB93">
        <v>1</v>
      </c>
      <c r="BIC93" t="s">
        <v>438</v>
      </c>
      <c r="BID93" t="s">
        <v>440</v>
      </c>
      <c r="BIE93" t="s">
        <v>428</v>
      </c>
      <c r="BIG93" t="s">
        <v>114</v>
      </c>
      <c r="BIH93" t="s">
        <v>113</v>
      </c>
      <c r="BII93" t="s">
        <v>398</v>
      </c>
      <c r="BIJ93">
        <v>1</v>
      </c>
      <c r="BIK93" t="s">
        <v>438</v>
      </c>
      <c r="BIL93" t="s">
        <v>440</v>
      </c>
      <c r="BIM93" t="s">
        <v>428</v>
      </c>
      <c r="BIO93" t="s">
        <v>114</v>
      </c>
      <c r="BIP93" t="s">
        <v>113</v>
      </c>
      <c r="BIQ93" t="s">
        <v>398</v>
      </c>
      <c r="BIR93">
        <v>1</v>
      </c>
      <c r="BIS93" t="s">
        <v>438</v>
      </c>
      <c r="BIT93" t="s">
        <v>440</v>
      </c>
      <c r="BIU93" t="s">
        <v>428</v>
      </c>
      <c r="BIW93" t="s">
        <v>114</v>
      </c>
      <c r="BIX93" t="s">
        <v>113</v>
      </c>
      <c r="BIY93" t="s">
        <v>398</v>
      </c>
      <c r="BIZ93">
        <v>1</v>
      </c>
      <c r="BJA93" t="s">
        <v>438</v>
      </c>
      <c r="BJB93" t="s">
        <v>440</v>
      </c>
      <c r="BJC93" t="s">
        <v>428</v>
      </c>
      <c r="BJE93" t="s">
        <v>114</v>
      </c>
      <c r="BJF93" t="s">
        <v>113</v>
      </c>
      <c r="BJG93" t="s">
        <v>398</v>
      </c>
      <c r="BJH93">
        <v>1</v>
      </c>
      <c r="BJI93" t="s">
        <v>438</v>
      </c>
      <c r="BJJ93" t="s">
        <v>440</v>
      </c>
      <c r="BJK93" t="s">
        <v>428</v>
      </c>
      <c r="BJM93" t="s">
        <v>114</v>
      </c>
      <c r="BJN93" t="s">
        <v>113</v>
      </c>
      <c r="BJO93" t="s">
        <v>398</v>
      </c>
      <c r="BJP93">
        <v>1</v>
      </c>
      <c r="BJQ93" t="s">
        <v>438</v>
      </c>
      <c r="BJR93" t="s">
        <v>440</v>
      </c>
      <c r="BJS93" t="s">
        <v>428</v>
      </c>
      <c r="BJU93" t="s">
        <v>114</v>
      </c>
      <c r="BJV93" t="s">
        <v>113</v>
      </c>
      <c r="BJW93" t="s">
        <v>398</v>
      </c>
      <c r="BJX93">
        <v>1</v>
      </c>
      <c r="BJY93" t="s">
        <v>438</v>
      </c>
      <c r="BJZ93" t="s">
        <v>440</v>
      </c>
      <c r="BKA93" t="s">
        <v>428</v>
      </c>
      <c r="BKC93" t="s">
        <v>114</v>
      </c>
      <c r="BKD93" t="s">
        <v>113</v>
      </c>
      <c r="BKE93" t="s">
        <v>398</v>
      </c>
      <c r="BKF93">
        <v>1</v>
      </c>
      <c r="BKG93" t="s">
        <v>438</v>
      </c>
      <c r="BKH93" t="s">
        <v>440</v>
      </c>
      <c r="BKI93" t="s">
        <v>428</v>
      </c>
      <c r="BKK93" t="s">
        <v>114</v>
      </c>
      <c r="BKL93" t="s">
        <v>113</v>
      </c>
      <c r="BKM93" t="s">
        <v>398</v>
      </c>
      <c r="BKN93">
        <v>1</v>
      </c>
      <c r="BKO93" t="s">
        <v>438</v>
      </c>
      <c r="BKP93" t="s">
        <v>440</v>
      </c>
      <c r="BKQ93" t="s">
        <v>428</v>
      </c>
      <c r="BKS93" t="s">
        <v>114</v>
      </c>
      <c r="BKT93" t="s">
        <v>113</v>
      </c>
      <c r="BKU93" t="s">
        <v>398</v>
      </c>
      <c r="BKV93">
        <v>1</v>
      </c>
      <c r="BKW93" t="s">
        <v>438</v>
      </c>
      <c r="BKX93" t="s">
        <v>440</v>
      </c>
      <c r="BKY93" t="s">
        <v>428</v>
      </c>
      <c r="BLA93" t="s">
        <v>114</v>
      </c>
      <c r="BLB93" t="s">
        <v>113</v>
      </c>
      <c r="BLC93" t="s">
        <v>398</v>
      </c>
      <c r="BLD93">
        <v>1</v>
      </c>
      <c r="BLE93" t="s">
        <v>438</v>
      </c>
      <c r="BLF93" t="s">
        <v>440</v>
      </c>
      <c r="BLG93" t="s">
        <v>428</v>
      </c>
      <c r="BLI93" t="s">
        <v>114</v>
      </c>
      <c r="BLJ93" t="s">
        <v>113</v>
      </c>
      <c r="BLK93" t="s">
        <v>398</v>
      </c>
      <c r="BLL93">
        <v>1</v>
      </c>
      <c r="BLM93" t="s">
        <v>438</v>
      </c>
      <c r="BLN93" t="s">
        <v>440</v>
      </c>
      <c r="BLO93" t="s">
        <v>428</v>
      </c>
      <c r="BLQ93" t="s">
        <v>114</v>
      </c>
      <c r="BLR93" t="s">
        <v>113</v>
      </c>
      <c r="BLS93" t="s">
        <v>398</v>
      </c>
      <c r="BLT93">
        <v>1</v>
      </c>
      <c r="BLU93" t="s">
        <v>438</v>
      </c>
      <c r="BLV93" t="s">
        <v>440</v>
      </c>
      <c r="BLW93" t="s">
        <v>428</v>
      </c>
      <c r="BLY93" t="s">
        <v>114</v>
      </c>
      <c r="BLZ93" t="s">
        <v>113</v>
      </c>
      <c r="BMA93" t="s">
        <v>398</v>
      </c>
      <c r="BMB93">
        <v>1</v>
      </c>
      <c r="BMC93" t="s">
        <v>438</v>
      </c>
      <c r="BMD93" t="s">
        <v>440</v>
      </c>
      <c r="BME93" t="s">
        <v>428</v>
      </c>
      <c r="BMG93" t="s">
        <v>114</v>
      </c>
      <c r="BMH93" t="s">
        <v>113</v>
      </c>
      <c r="BMI93" t="s">
        <v>398</v>
      </c>
      <c r="BMJ93">
        <v>1</v>
      </c>
      <c r="BMK93" t="s">
        <v>438</v>
      </c>
      <c r="BML93" t="s">
        <v>440</v>
      </c>
      <c r="BMM93" t="s">
        <v>428</v>
      </c>
      <c r="BMO93" t="s">
        <v>114</v>
      </c>
      <c r="BMP93" t="s">
        <v>113</v>
      </c>
      <c r="BMQ93" t="s">
        <v>398</v>
      </c>
      <c r="BMR93">
        <v>1</v>
      </c>
      <c r="BMS93" t="s">
        <v>438</v>
      </c>
      <c r="BMT93" t="s">
        <v>440</v>
      </c>
      <c r="BMU93" t="s">
        <v>428</v>
      </c>
      <c r="BMW93" t="s">
        <v>114</v>
      </c>
      <c r="BMX93" t="s">
        <v>113</v>
      </c>
      <c r="BMY93" t="s">
        <v>398</v>
      </c>
      <c r="BMZ93">
        <v>1</v>
      </c>
      <c r="BNA93" t="s">
        <v>438</v>
      </c>
      <c r="BNB93" t="s">
        <v>440</v>
      </c>
      <c r="BNC93" t="s">
        <v>428</v>
      </c>
      <c r="BNE93" t="s">
        <v>114</v>
      </c>
      <c r="BNF93" t="s">
        <v>113</v>
      </c>
      <c r="BNG93" t="s">
        <v>398</v>
      </c>
      <c r="BNH93">
        <v>1</v>
      </c>
      <c r="BNI93" t="s">
        <v>438</v>
      </c>
      <c r="BNJ93" t="s">
        <v>440</v>
      </c>
      <c r="BNK93" t="s">
        <v>428</v>
      </c>
      <c r="BNM93" t="s">
        <v>114</v>
      </c>
      <c r="BNN93" t="s">
        <v>113</v>
      </c>
      <c r="BNO93" t="s">
        <v>398</v>
      </c>
      <c r="BNP93">
        <v>1</v>
      </c>
      <c r="BNQ93" t="s">
        <v>438</v>
      </c>
      <c r="BNR93" t="s">
        <v>440</v>
      </c>
      <c r="BNS93" t="s">
        <v>428</v>
      </c>
      <c r="BNU93" t="s">
        <v>114</v>
      </c>
      <c r="BNV93" t="s">
        <v>113</v>
      </c>
      <c r="BNW93" t="s">
        <v>398</v>
      </c>
      <c r="BNX93">
        <v>1</v>
      </c>
      <c r="BNY93" t="s">
        <v>438</v>
      </c>
      <c r="BNZ93" t="s">
        <v>440</v>
      </c>
      <c r="BOA93" t="s">
        <v>428</v>
      </c>
      <c r="BOC93" t="s">
        <v>114</v>
      </c>
      <c r="BOD93" t="s">
        <v>113</v>
      </c>
      <c r="BOE93" t="s">
        <v>398</v>
      </c>
      <c r="BOF93">
        <v>1</v>
      </c>
      <c r="BOG93" t="s">
        <v>438</v>
      </c>
      <c r="BOH93" t="s">
        <v>440</v>
      </c>
      <c r="BOI93" t="s">
        <v>428</v>
      </c>
      <c r="BOK93" t="s">
        <v>114</v>
      </c>
      <c r="BOL93" t="s">
        <v>113</v>
      </c>
      <c r="BOM93" t="s">
        <v>398</v>
      </c>
      <c r="BON93">
        <v>1</v>
      </c>
      <c r="BOO93" t="s">
        <v>438</v>
      </c>
      <c r="BOP93" t="s">
        <v>440</v>
      </c>
      <c r="BOQ93" t="s">
        <v>428</v>
      </c>
      <c r="BOS93" t="s">
        <v>114</v>
      </c>
      <c r="BOT93" t="s">
        <v>113</v>
      </c>
      <c r="BOU93" t="s">
        <v>398</v>
      </c>
      <c r="BOV93">
        <v>1</v>
      </c>
      <c r="BOW93" t="s">
        <v>438</v>
      </c>
      <c r="BOX93" t="s">
        <v>440</v>
      </c>
      <c r="BOY93" t="s">
        <v>428</v>
      </c>
      <c r="BPA93" t="s">
        <v>114</v>
      </c>
      <c r="BPB93" t="s">
        <v>113</v>
      </c>
      <c r="BPC93" t="s">
        <v>398</v>
      </c>
      <c r="BPD93">
        <v>1</v>
      </c>
      <c r="BPE93" t="s">
        <v>438</v>
      </c>
      <c r="BPF93" t="s">
        <v>440</v>
      </c>
      <c r="BPG93" t="s">
        <v>428</v>
      </c>
      <c r="BPI93" t="s">
        <v>114</v>
      </c>
      <c r="BPJ93" t="s">
        <v>113</v>
      </c>
      <c r="BPK93" t="s">
        <v>398</v>
      </c>
      <c r="BPL93">
        <v>1</v>
      </c>
      <c r="BPM93" t="s">
        <v>438</v>
      </c>
      <c r="BPN93" t="s">
        <v>440</v>
      </c>
      <c r="BPO93" t="s">
        <v>428</v>
      </c>
      <c r="BPQ93" t="s">
        <v>114</v>
      </c>
      <c r="BPR93" t="s">
        <v>113</v>
      </c>
      <c r="BPS93" t="s">
        <v>398</v>
      </c>
      <c r="BPT93">
        <v>1</v>
      </c>
      <c r="BPU93" t="s">
        <v>438</v>
      </c>
      <c r="BPV93" t="s">
        <v>440</v>
      </c>
      <c r="BPW93" t="s">
        <v>428</v>
      </c>
      <c r="BPY93" t="s">
        <v>114</v>
      </c>
      <c r="BPZ93" t="s">
        <v>113</v>
      </c>
      <c r="BQA93" t="s">
        <v>398</v>
      </c>
      <c r="BQB93">
        <v>1</v>
      </c>
      <c r="BQC93" t="s">
        <v>438</v>
      </c>
      <c r="BQD93" t="s">
        <v>440</v>
      </c>
      <c r="BQE93" t="s">
        <v>428</v>
      </c>
      <c r="BQG93" t="s">
        <v>114</v>
      </c>
      <c r="BQH93" t="s">
        <v>113</v>
      </c>
      <c r="BQI93" t="s">
        <v>398</v>
      </c>
      <c r="BQJ93">
        <v>1</v>
      </c>
      <c r="BQK93" t="s">
        <v>438</v>
      </c>
      <c r="BQL93" t="s">
        <v>440</v>
      </c>
      <c r="BQM93" t="s">
        <v>428</v>
      </c>
      <c r="BQO93" t="s">
        <v>114</v>
      </c>
      <c r="BQP93" t="s">
        <v>113</v>
      </c>
      <c r="BQQ93" t="s">
        <v>398</v>
      </c>
      <c r="BQR93">
        <v>1</v>
      </c>
      <c r="BQS93" t="s">
        <v>438</v>
      </c>
      <c r="BQT93" t="s">
        <v>440</v>
      </c>
      <c r="BQU93" t="s">
        <v>428</v>
      </c>
      <c r="BQW93" t="s">
        <v>114</v>
      </c>
      <c r="BQX93" t="s">
        <v>113</v>
      </c>
      <c r="BQY93" t="s">
        <v>398</v>
      </c>
      <c r="BQZ93">
        <v>1</v>
      </c>
      <c r="BRA93" t="s">
        <v>438</v>
      </c>
      <c r="BRB93" t="s">
        <v>440</v>
      </c>
      <c r="BRC93" t="s">
        <v>428</v>
      </c>
      <c r="BRE93" t="s">
        <v>114</v>
      </c>
      <c r="BRF93" t="s">
        <v>113</v>
      </c>
      <c r="BRG93" t="s">
        <v>398</v>
      </c>
      <c r="BRH93">
        <v>1</v>
      </c>
      <c r="BRI93" t="s">
        <v>438</v>
      </c>
      <c r="BRJ93" t="s">
        <v>440</v>
      </c>
      <c r="BRK93" t="s">
        <v>428</v>
      </c>
      <c r="BRM93" t="s">
        <v>114</v>
      </c>
      <c r="BRN93" t="s">
        <v>113</v>
      </c>
      <c r="BRO93" t="s">
        <v>398</v>
      </c>
      <c r="BRP93">
        <v>1</v>
      </c>
      <c r="BRQ93" t="s">
        <v>438</v>
      </c>
      <c r="BRR93" t="s">
        <v>440</v>
      </c>
      <c r="BRS93" t="s">
        <v>428</v>
      </c>
      <c r="BRU93" t="s">
        <v>114</v>
      </c>
      <c r="BRV93" t="s">
        <v>113</v>
      </c>
      <c r="BRW93" t="s">
        <v>398</v>
      </c>
      <c r="BRX93">
        <v>1</v>
      </c>
      <c r="BRY93" t="s">
        <v>438</v>
      </c>
      <c r="BRZ93" t="s">
        <v>440</v>
      </c>
      <c r="BSA93" t="s">
        <v>428</v>
      </c>
      <c r="BSC93" t="s">
        <v>114</v>
      </c>
      <c r="BSD93" t="s">
        <v>113</v>
      </c>
      <c r="BSE93" t="s">
        <v>398</v>
      </c>
      <c r="BSF93">
        <v>1</v>
      </c>
      <c r="BSG93" t="s">
        <v>438</v>
      </c>
      <c r="BSH93" t="s">
        <v>440</v>
      </c>
      <c r="BSI93" t="s">
        <v>428</v>
      </c>
      <c r="BSK93" t="s">
        <v>114</v>
      </c>
      <c r="BSL93" t="s">
        <v>113</v>
      </c>
      <c r="BSM93" t="s">
        <v>398</v>
      </c>
      <c r="BSN93">
        <v>1</v>
      </c>
      <c r="BSO93" t="s">
        <v>438</v>
      </c>
      <c r="BSP93" t="s">
        <v>440</v>
      </c>
      <c r="BSQ93" t="s">
        <v>428</v>
      </c>
      <c r="BSS93" t="s">
        <v>114</v>
      </c>
      <c r="BST93" t="s">
        <v>113</v>
      </c>
      <c r="BSU93" t="s">
        <v>398</v>
      </c>
      <c r="BSV93">
        <v>1</v>
      </c>
      <c r="BSW93" t="s">
        <v>438</v>
      </c>
      <c r="BSX93" t="s">
        <v>440</v>
      </c>
      <c r="BSY93" t="s">
        <v>428</v>
      </c>
      <c r="BTA93" t="s">
        <v>114</v>
      </c>
      <c r="BTB93" t="s">
        <v>113</v>
      </c>
      <c r="BTC93" t="s">
        <v>398</v>
      </c>
      <c r="BTD93">
        <v>1</v>
      </c>
      <c r="BTE93" t="s">
        <v>438</v>
      </c>
      <c r="BTF93" t="s">
        <v>440</v>
      </c>
      <c r="BTG93" t="s">
        <v>428</v>
      </c>
      <c r="BTI93" t="s">
        <v>114</v>
      </c>
      <c r="BTJ93" t="s">
        <v>113</v>
      </c>
      <c r="BTK93" t="s">
        <v>398</v>
      </c>
      <c r="BTL93">
        <v>1</v>
      </c>
      <c r="BTM93" t="s">
        <v>438</v>
      </c>
      <c r="BTN93" t="s">
        <v>440</v>
      </c>
      <c r="BTO93" t="s">
        <v>428</v>
      </c>
      <c r="BTQ93" t="s">
        <v>114</v>
      </c>
      <c r="BTR93" t="s">
        <v>113</v>
      </c>
      <c r="BTS93" t="s">
        <v>398</v>
      </c>
      <c r="BTT93">
        <v>1</v>
      </c>
      <c r="BTU93" t="s">
        <v>438</v>
      </c>
      <c r="BTV93" t="s">
        <v>440</v>
      </c>
      <c r="BTW93" t="s">
        <v>428</v>
      </c>
      <c r="BTY93" t="s">
        <v>114</v>
      </c>
      <c r="BTZ93" t="s">
        <v>113</v>
      </c>
      <c r="BUA93" t="s">
        <v>398</v>
      </c>
      <c r="BUB93">
        <v>1</v>
      </c>
      <c r="BUC93" t="s">
        <v>438</v>
      </c>
      <c r="BUD93" t="s">
        <v>440</v>
      </c>
      <c r="BUE93" t="s">
        <v>428</v>
      </c>
      <c r="BUG93" t="s">
        <v>114</v>
      </c>
      <c r="BUH93" t="s">
        <v>113</v>
      </c>
      <c r="BUI93" t="s">
        <v>398</v>
      </c>
      <c r="BUJ93">
        <v>1</v>
      </c>
      <c r="BUK93" t="s">
        <v>438</v>
      </c>
      <c r="BUL93" t="s">
        <v>440</v>
      </c>
      <c r="BUM93" t="s">
        <v>428</v>
      </c>
      <c r="BUO93" t="s">
        <v>114</v>
      </c>
      <c r="BUP93" t="s">
        <v>113</v>
      </c>
      <c r="BUQ93" t="s">
        <v>398</v>
      </c>
      <c r="BUR93">
        <v>1</v>
      </c>
      <c r="BUS93" t="s">
        <v>438</v>
      </c>
      <c r="BUT93" t="s">
        <v>440</v>
      </c>
      <c r="BUU93" t="s">
        <v>428</v>
      </c>
      <c r="BUW93" t="s">
        <v>114</v>
      </c>
      <c r="BUX93" t="s">
        <v>113</v>
      </c>
      <c r="BUY93" t="s">
        <v>398</v>
      </c>
      <c r="BUZ93">
        <v>1</v>
      </c>
      <c r="BVA93" t="s">
        <v>438</v>
      </c>
      <c r="BVB93" t="s">
        <v>440</v>
      </c>
      <c r="BVC93" t="s">
        <v>428</v>
      </c>
      <c r="BVE93" t="s">
        <v>114</v>
      </c>
      <c r="BVF93" t="s">
        <v>113</v>
      </c>
      <c r="BVG93" t="s">
        <v>398</v>
      </c>
      <c r="BVH93">
        <v>1</v>
      </c>
      <c r="BVI93" t="s">
        <v>438</v>
      </c>
      <c r="BVJ93" t="s">
        <v>440</v>
      </c>
      <c r="BVK93" t="s">
        <v>428</v>
      </c>
      <c r="BVM93" t="s">
        <v>114</v>
      </c>
      <c r="BVN93" t="s">
        <v>113</v>
      </c>
      <c r="BVO93" t="s">
        <v>398</v>
      </c>
      <c r="BVP93">
        <v>1</v>
      </c>
      <c r="BVQ93" t="s">
        <v>438</v>
      </c>
      <c r="BVR93" t="s">
        <v>440</v>
      </c>
      <c r="BVS93" t="s">
        <v>428</v>
      </c>
      <c r="BVU93" t="s">
        <v>114</v>
      </c>
      <c r="BVV93" t="s">
        <v>113</v>
      </c>
      <c r="BVW93" t="s">
        <v>398</v>
      </c>
      <c r="BVX93">
        <v>1</v>
      </c>
      <c r="BVY93" t="s">
        <v>438</v>
      </c>
      <c r="BVZ93" t="s">
        <v>440</v>
      </c>
      <c r="BWA93" t="s">
        <v>428</v>
      </c>
      <c r="BWC93" t="s">
        <v>114</v>
      </c>
      <c r="BWD93" t="s">
        <v>113</v>
      </c>
      <c r="BWE93" t="s">
        <v>398</v>
      </c>
      <c r="BWF93">
        <v>1</v>
      </c>
      <c r="BWG93" t="s">
        <v>438</v>
      </c>
      <c r="BWH93" t="s">
        <v>440</v>
      </c>
      <c r="BWI93" t="s">
        <v>428</v>
      </c>
      <c r="BWK93" t="s">
        <v>114</v>
      </c>
      <c r="BWL93" t="s">
        <v>113</v>
      </c>
      <c r="BWM93" t="s">
        <v>398</v>
      </c>
      <c r="BWN93">
        <v>1</v>
      </c>
      <c r="BWO93" t="s">
        <v>438</v>
      </c>
      <c r="BWP93" t="s">
        <v>440</v>
      </c>
      <c r="BWQ93" t="s">
        <v>428</v>
      </c>
      <c r="BWS93" t="s">
        <v>114</v>
      </c>
      <c r="BWT93" t="s">
        <v>113</v>
      </c>
      <c r="BWU93" t="s">
        <v>398</v>
      </c>
      <c r="BWV93">
        <v>1</v>
      </c>
      <c r="BWW93" t="s">
        <v>438</v>
      </c>
      <c r="BWX93" t="s">
        <v>440</v>
      </c>
      <c r="BWY93" t="s">
        <v>428</v>
      </c>
      <c r="BXA93" t="s">
        <v>114</v>
      </c>
      <c r="BXB93" t="s">
        <v>113</v>
      </c>
      <c r="BXC93" t="s">
        <v>398</v>
      </c>
      <c r="BXD93">
        <v>1</v>
      </c>
      <c r="BXE93" t="s">
        <v>438</v>
      </c>
      <c r="BXF93" t="s">
        <v>440</v>
      </c>
      <c r="BXG93" t="s">
        <v>428</v>
      </c>
      <c r="BXI93" t="s">
        <v>114</v>
      </c>
      <c r="BXJ93" t="s">
        <v>113</v>
      </c>
      <c r="BXK93" t="s">
        <v>398</v>
      </c>
      <c r="BXL93">
        <v>1</v>
      </c>
      <c r="BXM93" t="s">
        <v>438</v>
      </c>
      <c r="BXN93" t="s">
        <v>440</v>
      </c>
      <c r="BXO93" t="s">
        <v>428</v>
      </c>
      <c r="BXQ93" t="s">
        <v>114</v>
      </c>
      <c r="BXR93" t="s">
        <v>113</v>
      </c>
      <c r="BXS93" t="s">
        <v>398</v>
      </c>
      <c r="BXT93">
        <v>1</v>
      </c>
      <c r="BXU93" t="s">
        <v>438</v>
      </c>
      <c r="BXV93" t="s">
        <v>440</v>
      </c>
      <c r="BXW93" t="s">
        <v>428</v>
      </c>
      <c r="BXY93" t="s">
        <v>114</v>
      </c>
      <c r="BXZ93" t="s">
        <v>113</v>
      </c>
      <c r="BYA93" t="s">
        <v>398</v>
      </c>
      <c r="BYB93">
        <v>1</v>
      </c>
      <c r="BYC93" t="s">
        <v>438</v>
      </c>
      <c r="BYD93" t="s">
        <v>440</v>
      </c>
      <c r="BYE93" t="s">
        <v>428</v>
      </c>
      <c r="BYG93" t="s">
        <v>114</v>
      </c>
      <c r="BYH93" t="s">
        <v>113</v>
      </c>
      <c r="BYI93" t="s">
        <v>398</v>
      </c>
      <c r="BYJ93">
        <v>1</v>
      </c>
      <c r="BYK93" t="s">
        <v>438</v>
      </c>
      <c r="BYL93" t="s">
        <v>440</v>
      </c>
      <c r="BYM93" t="s">
        <v>428</v>
      </c>
      <c r="BYO93" t="s">
        <v>114</v>
      </c>
      <c r="BYP93" t="s">
        <v>113</v>
      </c>
      <c r="BYQ93" t="s">
        <v>398</v>
      </c>
      <c r="BYR93">
        <v>1</v>
      </c>
      <c r="BYS93" t="s">
        <v>438</v>
      </c>
      <c r="BYT93" t="s">
        <v>440</v>
      </c>
      <c r="BYU93" t="s">
        <v>428</v>
      </c>
      <c r="BYW93" t="s">
        <v>114</v>
      </c>
      <c r="BYX93" t="s">
        <v>113</v>
      </c>
      <c r="BYY93" t="s">
        <v>398</v>
      </c>
      <c r="BYZ93">
        <v>1</v>
      </c>
      <c r="BZA93" t="s">
        <v>438</v>
      </c>
      <c r="BZB93" t="s">
        <v>440</v>
      </c>
      <c r="BZC93" t="s">
        <v>428</v>
      </c>
      <c r="BZE93" t="s">
        <v>114</v>
      </c>
      <c r="BZF93" t="s">
        <v>113</v>
      </c>
      <c r="BZG93" t="s">
        <v>398</v>
      </c>
      <c r="BZH93">
        <v>1</v>
      </c>
      <c r="BZI93" t="s">
        <v>438</v>
      </c>
      <c r="BZJ93" t="s">
        <v>440</v>
      </c>
      <c r="BZK93" t="s">
        <v>428</v>
      </c>
      <c r="BZM93" t="s">
        <v>114</v>
      </c>
      <c r="BZN93" t="s">
        <v>113</v>
      </c>
      <c r="BZO93" t="s">
        <v>398</v>
      </c>
      <c r="BZP93">
        <v>1</v>
      </c>
      <c r="BZQ93" t="s">
        <v>438</v>
      </c>
      <c r="BZR93" t="s">
        <v>440</v>
      </c>
      <c r="BZS93" t="s">
        <v>428</v>
      </c>
      <c r="BZU93" t="s">
        <v>114</v>
      </c>
      <c r="BZV93" t="s">
        <v>113</v>
      </c>
      <c r="BZW93" t="s">
        <v>398</v>
      </c>
      <c r="BZX93">
        <v>1</v>
      </c>
      <c r="BZY93" t="s">
        <v>438</v>
      </c>
      <c r="BZZ93" t="s">
        <v>440</v>
      </c>
      <c r="CAA93" t="s">
        <v>428</v>
      </c>
      <c r="CAC93" t="s">
        <v>114</v>
      </c>
      <c r="CAD93" t="s">
        <v>113</v>
      </c>
      <c r="CAE93" t="s">
        <v>398</v>
      </c>
      <c r="CAF93">
        <v>1</v>
      </c>
      <c r="CAG93" t="s">
        <v>438</v>
      </c>
      <c r="CAH93" t="s">
        <v>440</v>
      </c>
      <c r="CAI93" t="s">
        <v>428</v>
      </c>
      <c r="CAK93" t="s">
        <v>114</v>
      </c>
      <c r="CAL93" t="s">
        <v>113</v>
      </c>
      <c r="CAM93" t="s">
        <v>398</v>
      </c>
      <c r="CAN93">
        <v>1</v>
      </c>
      <c r="CAO93" t="s">
        <v>438</v>
      </c>
      <c r="CAP93" t="s">
        <v>440</v>
      </c>
      <c r="CAQ93" t="s">
        <v>428</v>
      </c>
      <c r="CAS93" t="s">
        <v>114</v>
      </c>
      <c r="CAT93" t="s">
        <v>113</v>
      </c>
      <c r="CAU93" t="s">
        <v>398</v>
      </c>
      <c r="CAV93">
        <v>1</v>
      </c>
      <c r="CAW93" t="s">
        <v>438</v>
      </c>
      <c r="CAX93" t="s">
        <v>440</v>
      </c>
      <c r="CAY93" t="s">
        <v>428</v>
      </c>
      <c r="CBA93" t="s">
        <v>114</v>
      </c>
      <c r="CBB93" t="s">
        <v>113</v>
      </c>
      <c r="CBC93" t="s">
        <v>398</v>
      </c>
      <c r="CBD93">
        <v>1</v>
      </c>
      <c r="CBE93" t="s">
        <v>438</v>
      </c>
      <c r="CBF93" t="s">
        <v>440</v>
      </c>
      <c r="CBG93" t="s">
        <v>428</v>
      </c>
      <c r="CBI93" t="s">
        <v>114</v>
      </c>
      <c r="CBJ93" t="s">
        <v>113</v>
      </c>
      <c r="CBK93" t="s">
        <v>398</v>
      </c>
      <c r="CBL93">
        <v>1</v>
      </c>
      <c r="CBM93" t="s">
        <v>438</v>
      </c>
      <c r="CBN93" t="s">
        <v>440</v>
      </c>
      <c r="CBO93" t="s">
        <v>428</v>
      </c>
      <c r="CBQ93" t="s">
        <v>114</v>
      </c>
      <c r="CBR93" t="s">
        <v>113</v>
      </c>
      <c r="CBS93" t="s">
        <v>398</v>
      </c>
      <c r="CBT93">
        <v>1</v>
      </c>
      <c r="CBU93" t="s">
        <v>438</v>
      </c>
      <c r="CBV93" t="s">
        <v>440</v>
      </c>
      <c r="CBW93" t="s">
        <v>428</v>
      </c>
      <c r="CBY93" t="s">
        <v>114</v>
      </c>
      <c r="CBZ93" t="s">
        <v>113</v>
      </c>
      <c r="CCA93" t="s">
        <v>398</v>
      </c>
      <c r="CCB93">
        <v>1</v>
      </c>
      <c r="CCC93" t="s">
        <v>438</v>
      </c>
      <c r="CCD93" t="s">
        <v>440</v>
      </c>
      <c r="CCE93" t="s">
        <v>428</v>
      </c>
      <c r="CCG93" t="s">
        <v>114</v>
      </c>
      <c r="CCH93" t="s">
        <v>113</v>
      </c>
      <c r="CCI93" t="s">
        <v>398</v>
      </c>
      <c r="CCJ93">
        <v>1</v>
      </c>
      <c r="CCK93" t="s">
        <v>438</v>
      </c>
      <c r="CCL93" t="s">
        <v>440</v>
      </c>
      <c r="CCM93" t="s">
        <v>428</v>
      </c>
      <c r="CCO93" t="s">
        <v>114</v>
      </c>
      <c r="CCP93" t="s">
        <v>113</v>
      </c>
      <c r="CCQ93" t="s">
        <v>398</v>
      </c>
      <c r="CCR93">
        <v>1</v>
      </c>
      <c r="CCS93" t="s">
        <v>438</v>
      </c>
      <c r="CCT93" t="s">
        <v>440</v>
      </c>
      <c r="CCU93" t="s">
        <v>428</v>
      </c>
      <c r="CCW93" t="s">
        <v>114</v>
      </c>
      <c r="CCX93" t="s">
        <v>113</v>
      </c>
      <c r="CCY93" t="s">
        <v>398</v>
      </c>
      <c r="CCZ93">
        <v>1</v>
      </c>
      <c r="CDA93" t="s">
        <v>438</v>
      </c>
      <c r="CDB93" t="s">
        <v>440</v>
      </c>
      <c r="CDC93" t="s">
        <v>428</v>
      </c>
      <c r="CDE93" t="s">
        <v>114</v>
      </c>
      <c r="CDF93" t="s">
        <v>113</v>
      </c>
      <c r="CDG93" t="s">
        <v>398</v>
      </c>
      <c r="CDH93">
        <v>1</v>
      </c>
      <c r="CDI93" t="s">
        <v>438</v>
      </c>
      <c r="CDJ93" t="s">
        <v>440</v>
      </c>
      <c r="CDK93" t="s">
        <v>428</v>
      </c>
      <c r="CDM93" t="s">
        <v>114</v>
      </c>
      <c r="CDN93" t="s">
        <v>113</v>
      </c>
      <c r="CDO93" t="s">
        <v>398</v>
      </c>
      <c r="CDP93">
        <v>1</v>
      </c>
      <c r="CDQ93" t="s">
        <v>438</v>
      </c>
      <c r="CDR93" t="s">
        <v>440</v>
      </c>
      <c r="CDS93" t="s">
        <v>428</v>
      </c>
      <c r="CDU93" t="s">
        <v>114</v>
      </c>
      <c r="CDV93" t="s">
        <v>113</v>
      </c>
      <c r="CDW93" t="s">
        <v>398</v>
      </c>
      <c r="CDX93">
        <v>1</v>
      </c>
      <c r="CDY93" t="s">
        <v>438</v>
      </c>
      <c r="CDZ93" t="s">
        <v>440</v>
      </c>
      <c r="CEA93" t="s">
        <v>428</v>
      </c>
      <c r="CEC93" t="s">
        <v>114</v>
      </c>
      <c r="CED93" t="s">
        <v>113</v>
      </c>
      <c r="CEE93" t="s">
        <v>398</v>
      </c>
      <c r="CEF93">
        <v>1</v>
      </c>
      <c r="CEG93" t="s">
        <v>438</v>
      </c>
      <c r="CEH93" t="s">
        <v>440</v>
      </c>
      <c r="CEI93" t="s">
        <v>428</v>
      </c>
      <c r="CEK93" t="s">
        <v>114</v>
      </c>
      <c r="CEL93" t="s">
        <v>113</v>
      </c>
      <c r="CEM93" t="s">
        <v>398</v>
      </c>
      <c r="CEN93">
        <v>1</v>
      </c>
      <c r="CEO93" t="s">
        <v>438</v>
      </c>
      <c r="CEP93" t="s">
        <v>440</v>
      </c>
      <c r="CEQ93" t="s">
        <v>428</v>
      </c>
      <c r="CES93" t="s">
        <v>114</v>
      </c>
      <c r="CET93" t="s">
        <v>113</v>
      </c>
      <c r="CEU93" t="s">
        <v>398</v>
      </c>
      <c r="CEV93">
        <v>1</v>
      </c>
      <c r="CEW93" t="s">
        <v>438</v>
      </c>
      <c r="CEX93" t="s">
        <v>440</v>
      </c>
      <c r="CEY93" t="s">
        <v>428</v>
      </c>
      <c r="CFA93" t="s">
        <v>114</v>
      </c>
      <c r="CFB93" t="s">
        <v>113</v>
      </c>
      <c r="CFC93" t="s">
        <v>398</v>
      </c>
      <c r="CFD93">
        <v>1</v>
      </c>
      <c r="CFE93" t="s">
        <v>438</v>
      </c>
      <c r="CFF93" t="s">
        <v>440</v>
      </c>
      <c r="CFG93" t="s">
        <v>428</v>
      </c>
      <c r="CFI93" t="s">
        <v>114</v>
      </c>
      <c r="CFJ93" t="s">
        <v>113</v>
      </c>
      <c r="CFK93" t="s">
        <v>398</v>
      </c>
      <c r="CFL93">
        <v>1</v>
      </c>
      <c r="CFM93" t="s">
        <v>438</v>
      </c>
      <c r="CFN93" t="s">
        <v>440</v>
      </c>
      <c r="CFO93" t="s">
        <v>428</v>
      </c>
      <c r="CFQ93" t="s">
        <v>114</v>
      </c>
      <c r="CFR93" t="s">
        <v>113</v>
      </c>
      <c r="CFS93" t="s">
        <v>398</v>
      </c>
      <c r="CFT93">
        <v>1</v>
      </c>
      <c r="CFU93" t="s">
        <v>438</v>
      </c>
      <c r="CFV93" t="s">
        <v>440</v>
      </c>
      <c r="CFW93" t="s">
        <v>428</v>
      </c>
      <c r="CFY93" t="s">
        <v>114</v>
      </c>
      <c r="CFZ93" t="s">
        <v>113</v>
      </c>
      <c r="CGA93" t="s">
        <v>398</v>
      </c>
      <c r="CGB93">
        <v>1</v>
      </c>
      <c r="CGC93" t="s">
        <v>438</v>
      </c>
      <c r="CGD93" t="s">
        <v>440</v>
      </c>
      <c r="CGE93" t="s">
        <v>428</v>
      </c>
      <c r="CGG93" t="s">
        <v>114</v>
      </c>
      <c r="CGH93" t="s">
        <v>113</v>
      </c>
      <c r="CGI93" t="s">
        <v>398</v>
      </c>
      <c r="CGJ93">
        <v>1</v>
      </c>
      <c r="CGK93" t="s">
        <v>438</v>
      </c>
      <c r="CGL93" t="s">
        <v>440</v>
      </c>
      <c r="CGM93" t="s">
        <v>428</v>
      </c>
      <c r="CGO93" t="s">
        <v>114</v>
      </c>
      <c r="CGP93" t="s">
        <v>113</v>
      </c>
      <c r="CGQ93" t="s">
        <v>398</v>
      </c>
      <c r="CGR93">
        <v>1</v>
      </c>
      <c r="CGS93" t="s">
        <v>438</v>
      </c>
      <c r="CGT93" t="s">
        <v>440</v>
      </c>
      <c r="CGU93" t="s">
        <v>428</v>
      </c>
      <c r="CGW93" t="s">
        <v>114</v>
      </c>
      <c r="CGX93" t="s">
        <v>113</v>
      </c>
      <c r="CGY93" t="s">
        <v>398</v>
      </c>
      <c r="CGZ93">
        <v>1</v>
      </c>
      <c r="CHA93" t="s">
        <v>438</v>
      </c>
      <c r="CHB93" t="s">
        <v>440</v>
      </c>
      <c r="CHC93" t="s">
        <v>428</v>
      </c>
      <c r="CHE93" t="s">
        <v>114</v>
      </c>
      <c r="CHF93" t="s">
        <v>113</v>
      </c>
      <c r="CHG93" t="s">
        <v>398</v>
      </c>
      <c r="CHH93">
        <v>1</v>
      </c>
      <c r="CHI93" t="s">
        <v>438</v>
      </c>
      <c r="CHJ93" t="s">
        <v>440</v>
      </c>
      <c r="CHK93" t="s">
        <v>428</v>
      </c>
      <c r="CHM93" t="s">
        <v>114</v>
      </c>
      <c r="CHN93" t="s">
        <v>113</v>
      </c>
      <c r="CHO93" t="s">
        <v>398</v>
      </c>
      <c r="CHP93">
        <v>1</v>
      </c>
      <c r="CHQ93" t="s">
        <v>438</v>
      </c>
      <c r="CHR93" t="s">
        <v>440</v>
      </c>
      <c r="CHS93" t="s">
        <v>428</v>
      </c>
      <c r="CHU93" t="s">
        <v>114</v>
      </c>
      <c r="CHV93" t="s">
        <v>113</v>
      </c>
      <c r="CHW93" t="s">
        <v>398</v>
      </c>
      <c r="CHX93">
        <v>1</v>
      </c>
      <c r="CHY93" t="s">
        <v>438</v>
      </c>
      <c r="CHZ93" t="s">
        <v>440</v>
      </c>
      <c r="CIA93" t="s">
        <v>428</v>
      </c>
      <c r="CIC93" t="s">
        <v>114</v>
      </c>
      <c r="CID93" t="s">
        <v>113</v>
      </c>
      <c r="CIE93" t="s">
        <v>398</v>
      </c>
      <c r="CIF93">
        <v>1</v>
      </c>
      <c r="CIG93" t="s">
        <v>438</v>
      </c>
      <c r="CIH93" t="s">
        <v>440</v>
      </c>
      <c r="CII93" t="s">
        <v>428</v>
      </c>
      <c r="CIK93" t="s">
        <v>114</v>
      </c>
      <c r="CIL93" t="s">
        <v>113</v>
      </c>
      <c r="CIM93" t="s">
        <v>398</v>
      </c>
      <c r="CIN93">
        <v>1</v>
      </c>
      <c r="CIO93" t="s">
        <v>438</v>
      </c>
      <c r="CIP93" t="s">
        <v>440</v>
      </c>
      <c r="CIQ93" t="s">
        <v>428</v>
      </c>
      <c r="CIS93" t="s">
        <v>114</v>
      </c>
      <c r="CIT93" t="s">
        <v>113</v>
      </c>
      <c r="CIU93" t="s">
        <v>398</v>
      </c>
      <c r="CIV93">
        <v>1</v>
      </c>
      <c r="CIW93" t="s">
        <v>438</v>
      </c>
      <c r="CIX93" t="s">
        <v>440</v>
      </c>
      <c r="CIY93" t="s">
        <v>428</v>
      </c>
      <c r="CJA93" t="s">
        <v>114</v>
      </c>
      <c r="CJB93" t="s">
        <v>113</v>
      </c>
      <c r="CJC93" t="s">
        <v>398</v>
      </c>
      <c r="CJD93">
        <v>1</v>
      </c>
      <c r="CJE93" t="s">
        <v>438</v>
      </c>
      <c r="CJF93" t="s">
        <v>440</v>
      </c>
      <c r="CJG93" t="s">
        <v>428</v>
      </c>
      <c r="CJI93" t="s">
        <v>114</v>
      </c>
      <c r="CJJ93" t="s">
        <v>113</v>
      </c>
      <c r="CJK93" t="s">
        <v>398</v>
      </c>
      <c r="CJL93">
        <v>1</v>
      </c>
      <c r="CJM93" t="s">
        <v>438</v>
      </c>
      <c r="CJN93" t="s">
        <v>440</v>
      </c>
      <c r="CJO93" t="s">
        <v>428</v>
      </c>
      <c r="CJQ93" t="s">
        <v>114</v>
      </c>
      <c r="CJR93" t="s">
        <v>113</v>
      </c>
      <c r="CJS93" t="s">
        <v>398</v>
      </c>
      <c r="CJT93">
        <v>1</v>
      </c>
      <c r="CJU93" t="s">
        <v>438</v>
      </c>
      <c r="CJV93" t="s">
        <v>440</v>
      </c>
      <c r="CJW93" t="s">
        <v>428</v>
      </c>
      <c r="CJY93" t="s">
        <v>114</v>
      </c>
      <c r="CJZ93" t="s">
        <v>113</v>
      </c>
      <c r="CKA93" t="s">
        <v>398</v>
      </c>
      <c r="CKB93">
        <v>1</v>
      </c>
      <c r="CKC93" t="s">
        <v>438</v>
      </c>
      <c r="CKD93" t="s">
        <v>440</v>
      </c>
      <c r="CKE93" t="s">
        <v>428</v>
      </c>
      <c r="CKG93" t="s">
        <v>114</v>
      </c>
      <c r="CKH93" t="s">
        <v>113</v>
      </c>
      <c r="CKI93" t="s">
        <v>398</v>
      </c>
      <c r="CKJ93">
        <v>1</v>
      </c>
      <c r="CKK93" t="s">
        <v>438</v>
      </c>
      <c r="CKL93" t="s">
        <v>440</v>
      </c>
      <c r="CKM93" t="s">
        <v>428</v>
      </c>
      <c r="CKO93" t="s">
        <v>114</v>
      </c>
      <c r="CKP93" t="s">
        <v>113</v>
      </c>
      <c r="CKQ93" t="s">
        <v>398</v>
      </c>
      <c r="CKR93">
        <v>1</v>
      </c>
      <c r="CKS93" t="s">
        <v>438</v>
      </c>
      <c r="CKT93" t="s">
        <v>440</v>
      </c>
      <c r="CKU93" t="s">
        <v>428</v>
      </c>
      <c r="CKW93" t="s">
        <v>114</v>
      </c>
      <c r="CKX93" t="s">
        <v>113</v>
      </c>
      <c r="CKY93" t="s">
        <v>398</v>
      </c>
      <c r="CKZ93">
        <v>1</v>
      </c>
      <c r="CLA93" t="s">
        <v>438</v>
      </c>
      <c r="CLB93" t="s">
        <v>440</v>
      </c>
      <c r="CLC93" t="s">
        <v>428</v>
      </c>
      <c r="CLE93" t="s">
        <v>114</v>
      </c>
      <c r="CLF93" t="s">
        <v>113</v>
      </c>
      <c r="CLG93" t="s">
        <v>398</v>
      </c>
      <c r="CLH93">
        <v>1</v>
      </c>
      <c r="CLI93" t="s">
        <v>438</v>
      </c>
      <c r="CLJ93" t="s">
        <v>440</v>
      </c>
      <c r="CLK93" t="s">
        <v>428</v>
      </c>
      <c r="CLM93" t="s">
        <v>114</v>
      </c>
      <c r="CLN93" t="s">
        <v>113</v>
      </c>
      <c r="CLO93" t="s">
        <v>398</v>
      </c>
      <c r="CLP93">
        <v>1</v>
      </c>
      <c r="CLQ93" t="s">
        <v>438</v>
      </c>
      <c r="CLR93" t="s">
        <v>440</v>
      </c>
      <c r="CLS93" t="s">
        <v>428</v>
      </c>
      <c r="CLU93" t="s">
        <v>114</v>
      </c>
      <c r="CLV93" t="s">
        <v>113</v>
      </c>
      <c r="CLW93" t="s">
        <v>398</v>
      </c>
      <c r="CLX93">
        <v>1</v>
      </c>
      <c r="CLY93" t="s">
        <v>438</v>
      </c>
      <c r="CLZ93" t="s">
        <v>440</v>
      </c>
      <c r="CMA93" t="s">
        <v>428</v>
      </c>
      <c r="CMC93" t="s">
        <v>114</v>
      </c>
      <c r="CMD93" t="s">
        <v>113</v>
      </c>
      <c r="CME93" t="s">
        <v>398</v>
      </c>
      <c r="CMF93">
        <v>1</v>
      </c>
      <c r="CMG93" t="s">
        <v>438</v>
      </c>
      <c r="CMH93" t="s">
        <v>440</v>
      </c>
      <c r="CMI93" t="s">
        <v>428</v>
      </c>
      <c r="CMK93" t="s">
        <v>114</v>
      </c>
      <c r="CML93" t="s">
        <v>113</v>
      </c>
      <c r="CMM93" t="s">
        <v>398</v>
      </c>
      <c r="CMN93">
        <v>1</v>
      </c>
      <c r="CMO93" t="s">
        <v>438</v>
      </c>
      <c r="CMP93" t="s">
        <v>440</v>
      </c>
      <c r="CMQ93" t="s">
        <v>428</v>
      </c>
      <c r="CMS93" t="s">
        <v>114</v>
      </c>
      <c r="CMT93" t="s">
        <v>113</v>
      </c>
      <c r="CMU93" t="s">
        <v>398</v>
      </c>
      <c r="CMV93">
        <v>1</v>
      </c>
      <c r="CMW93" t="s">
        <v>438</v>
      </c>
      <c r="CMX93" t="s">
        <v>440</v>
      </c>
      <c r="CMY93" t="s">
        <v>428</v>
      </c>
      <c r="CNA93" t="s">
        <v>114</v>
      </c>
      <c r="CNB93" t="s">
        <v>113</v>
      </c>
      <c r="CNC93" t="s">
        <v>398</v>
      </c>
      <c r="CND93">
        <v>1</v>
      </c>
      <c r="CNE93" t="s">
        <v>438</v>
      </c>
      <c r="CNF93" t="s">
        <v>440</v>
      </c>
      <c r="CNG93" t="s">
        <v>428</v>
      </c>
      <c r="CNI93" t="s">
        <v>114</v>
      </c>
      <c r="CNJ93" t="s">
        <v>113</v>
      </c>
      <c r="CNK93" t="s">
        <v>398</v>
      </c>
      <c r="CNL93">
        <v>1</v>
      </c>
      <c r="CNM93" t="s">
        <v>438</v>
      </c>
      <c r="CNN93" t="s">
        <v>440</v>
      </c>
      <c r="CNO93" t="s">
        <v>428</v>
      </c>
      <c r="CNQ93" t="s">
        <v>114</v>
      </c>
      <c r="CNR93" t="s">
        <v>113</v>
      </c>
      <c r="CNS93" t="s">
        <v>398</v>
      </c>
      <c r="CNT93">
        <v>1</v>
      </c>
      <c r="CNU93" t="s">
        <v>438</v>
      </c>
      <c r="CNV93" t="s">
        <v>440</v>
      </c>
      <c r="CNW93" t="s">
        <v>428</v>
      </c>
      <c r="CNY93" t="s">
        <v>114</v>
      </c>
      <c r="CNZ93" t="s">
        <v>113</v>
      </c>
      <c r="COA93" t="s">
        <v>398</v>
      </c>
      <c r="COB93">
        <v>1</v>
      </c>
      <c r="COC93" t="s">
        <v>438</v>
      </c>
      <c r="COD93" t="s">
        <v>440</v>
      </c>
      <c r="COE93" t="s">
        <v>428</v>
      </c>
      <c r="COG93" t="s">
        <v>114</v>
      </c>
      <c r="COH93" t="s">
        <v>113</v>
      </c>
      <c r="COI93" t="s">
        <v>398</v>
      </c>
      <c r="COJ93">
        <v>1</v>
      </c>
      <c r="COK93" t="s">
        <v>438</v>
      </c>
      <c r="COL93" t="s">
        <v>440</v>
      </c>
      <c r="COM93" t="s">
        <v>428</v>
      </c>
      <c r="COO93" t="s">
        <v>114</v>
      </c>
      <c r="COP93" t="s">
        <v>113</v>
      </c>
      <c r="COQ93" t="s">
        <v>398</v>
      </c>
      <c r="COR93">
        <v>1</v>
      </c>
      <c r="COS93" t="s">
        <v>438</v>
      </c>
      <c r="COT93" t="s">
        <v>440</v>
      </c>
      <c r="COU93" t="s">
        <v>428</v>
      </c>
      <c r="COW93" t="s">
        <v>114</v>
      </c>
      <c r="COX93" t="s">
        <v>113</v>
      </c>
      <c r="COY93" t="s">
        <v>398</v>
      </c>
      <c r="COZ93">
        <v>1</v>
      </c>
      <c r="CPA93" t="s">
        <v>438</v>
      </c>
      <c r="CPB93" t="s">
        <v>440</v>
      </c>
      <c r="CPC93" t="s">
        <v>428</v>
      </c>
      <c r="CPE93" t="s">
        <v>114</v>
      </c>
      <c r="CPF93" t="s">
        <v>113</v>
      </c>
      <c r="CPG93" t="s">
        <v>398</v>
      </c>
      <c r="CPH93">
        <v>1</v>
      </c>
      <c r="CPI93" t="s">
        <v>438</v>
      </c>
      <c r="CPJ93" t="s">
        <v>440</v>
      </c>
      <c r="CPK93" t="s">
        <v>428</v>
      </c>
      <c r="CPM93" t="s">
        <v>114</v>
      </c>
      <c r="CPN93" t="s">
        <v>113</v>
      </c>
      <c r="CPO93" t="s">
        <v>398</v>
      </c>
      <c r="CPP93">
        <v>1</v>
      </c>
      <c r="CPQ93" t="s">
        <v>438</v>
      </c>
      <c r="CPR93" t="s">
        <v>440</v>
      </c>
      <c r="CPS93" t="s">
        <v>428</v>
      </c>
      <c r="CPU93" t="s">
        <v>114</v>
      </c>
      <c r="CPV93" t="s">
        <v>113</v>
      </c>
      <c r="CPW93" t="s">
        <v>398</v>
      </c>
      <c r="CPX93">
        <v>1</v>
      </c>
      <c r="CPY93" t="s">
        <v>438</v>
      </c>
      <c r="CPZ93" t="s">
        <v>440</v>
      </c>
      <c r="CQA93" t="s">
        <v>428</v>
      </c>
      <c r="CQC93" t="s">
        <v>114</v>
      </c>
      <c r="CQD93" t="s">
        <v>113</v>
      </c>
      <c r="CQE93" t="s">
        <v>398</v>
      </c>
      <c r="CQF93">
        <v>1</v>
      </c>
      <c r="CQG93" t="s">
        <v>438</v>
      </c>
      <c r="CQH93" t="s">
        <v>440</v>
      </c>
      <c r="CQI93" t="s">
        <v>428</v>
      </c>
      <c r="CQK93" t="s">
        <v>114</v>
      </c>
      <c r="CQL93" t="s">
        <v>113</v>
      </c>
      <c r="CQM93" t="s">
        <v>398</v>
      </c>
      <c r="CQN93">
        <v>1</v>
      </c>
      <c r="CQO93" t="s">
        <v>438</v>
      </c>
      <c r="CQP93" t="s">
        <v>440</v>
      </c>
      <c r="CQQ93" t="s">
        <v>428</v>
      </c>
      <c r="CQS93" t="s">
        <v>114</v>
      </c>
      <c r="CQT93" t="s">
        <v>113</v>
      </c>
      <c r="CQU93" t="s">
        <v>398</v>
      </c>
      <c r="CQV93">
        <v>1</v>
      </c>
      <c r="CQW93" t="s">
        <v>438</v>
      </c>
      <c r="CQX93" t="s">
        <v>440</v>
      </c>
      <c r="CQY93" t="s">
        <v>428</v>
      </c>
      <c r="CRA93" t="s">
        <v>114</v>
      </c>
      <c r="CRB93" t="s">
        <v>113</v>
      </c>
      <c r="CRC93" t="s">
        <v>398</v>
      </c>
      <c r="CRD93">
        <v>1</v>
      </c>
      <c r="CRE93" t="s">
        <v>438</v>
      </c>
      <c r="CRF93" t="s">
        <v>440</v>
      </c>
      <c r="CRG93" t="s">
        <v>428</v>
      </c>
      <c r="CRI93" t="s">
        <v>114</v>
      </c>
      <c r="CRJ93" t="s">
        <v>113</v>
      </c>
      <c r="CRK93" t="s">
        <v>398</v>
      </c>
      <c r="CRL93">
        <v>1</v>
      </c>
      <c r="CRM93" t="s">
        <v>438</v>
      </c>
      <c r="CRN93" t="s">
        <v>440</v>
      </c>
      <c r="CRO93" t="s">
        <v>428</v>
      </c>
      <c r="CRQ93" t="s">
        <v>114</v>
      </c>
      <c r="CRR93" t="s">
        <v>113</v>
      </c>
      <c r="CRS93" t="s">
        <v>398</v>
      </c>
      <c r="CRT93">
        <v>1</v>
      </c>
      <c r="CRU93" t="s">
        <v>438</v>
      </c>
      <c r="CRV93" t="s">
        <v>440</v>
      </c>
      <c r="CRW93" t="s">
        <v>428</v>
      </c>
      <c r="CRY93" t="s">
        <v>114</v>
      </c>
      <c r="CRZ93" t="s">
        <v>113</v>
      </c>
      <c r="CSA93" t="s">
        <v>398</v>
      </c>
      <c r="CSB93">
        <v>1</v>
      </c>
      <c r="CSC93" t="s">
        <v>438</v>
      </c>
      <c r="CSD93" t="s">
        <v>440</v>
      </c>
      <c r="CSE93" t="s">
        <v>428</v>
      </c>
      <c r="CSG93" t="s">
        <v>114</v>
      </c>
      <c r="CSH93" t="s">
        <v>113</v>
      </c>
      <c r="CSI93" t="s">
        <v>398</v>
      </c>
      <c r="CSJ93">
        <v>1</v>
      </c>
      <c r="CSK93" t="s">
        <v>438</v>
      </c>
      <c r="CSL93" t="s">
        <v>440</v>
      </c>
      <c r="CSM93" t="s">
        <v>428</v>
      </c>
      <c r="CSO93" t="s">
        <v>114</v>
      </c>
      <c r="CSP93" t="s">
        <v>113</v>
      </c>
      <c r="CSQ93" t="s">
        <v>398</v>
      </c>
      <c r="CSR93">
        <v>1</v>
      </c>
      <c r="CSS93" t="s">
        <v>438</v>
      </c>
      <c r="CST93" t="s">
        <v>440</v>
      </c>
      <c r="CSU93" t="s">
        <v>428</v>
      </c>
      <c r="CSW93" t="s">
        <v>114</v>
      </c>
      <c r="CSX93" t="s">
        <v>113</v>
      </c>
      <c r="CSY93" t="s">
        <v>398</v>
      </c>
      <c r="CSZ93">
        <v>1</v>
      </c>
      <c r="CTA93" t="s">
        <v>438</v>
      </c>
      <c r="CTB93" t="s">
        <v>440</v>
      </c>
      <c r="CTC93" t="s">
        <v>428</v>
      </c>
      <c r="CTE93" t="s">
        <v>114</v>
      </c>
      <c r="CTF93" t="s">
        <v>113</v>
      </c>
      <c r="CTG93" t="s">
        <v>398</v>
      </c>
      <c r="CTH93">
        <v>1</v>
      </c>
      <c r="CTI93" t="s">
        <v>438</v>
      </c>
      <c r="CTJ93" t="s">
        <v>440</v>
      </c>
      <c r="CTK93" t="s">
        <v>428</v>
      </c>
      <c r="CTM93" t="s">
        <v>114</v>
      </c>
      <c r="CTN93" t="s">
        <v>113</v>
      </c>
      <c r="CTO93" t="s">
        <v>398</v>
      </c>
      <c r="CTP93">
        <v>1</v>
      </c>
      <c r="CTQ93" t="s">
        <v>438</v>
      </c>
      <c r="CTR93" t="s">
        <v>440</v>
      </c>
      <c r="CTS93" t="s">
        <v>428</v>
      </c>
      <c r="CTU93" t="s">
        <v>114</v>
      </c>
      <c r="CTV93" t="s">
        <v>113</v>
      </c>
      <c r="CTW93" t="s">
        <v>398</v>
      </c>
      <c r="CTX93">
        <v>1</v>
      </c>
      <c r="CTY93" t="s">
        <v>438</v>
      </c>
      <c r="CTZ93" t="s">
        <v>440</v>
      </c>
      <c r="CUA93" t="s">
        <v>428</v>
      </c>
      <c r="CUC93" t="s">
        <v>114</v>
      </c>
      <c r="CUD93" t="s">
        <v>113</v>
      </c>
      <c r="CUE93" t="s">
        <v>398</v>
      </c>
      <c r="CUF93">
        <v>1</v>
      </c>
      <c r="CUG93" t="s">
        <v>438</v>
      </c>
      <c r="CUH93" t="s">
        <v>440</v>
      </c>
      <c r="CUI93" t="s">
        <v>428</v>
      </c>
      <c r="CUK93" t="s">
        <v>114</v>
      </c>
      <c r="CUL93" t="s">
        <v>113</v>
      </c>
      <c r="CUM93" t="s">
        <v>398</v>
      </c>
      <c r="CUN93">
        <v>1</v>
      </c>
      <c r="CUO93" t="s">
        <v>438</v>
      </c>
      <c r="CUP93" t="s">
        <v>440</v>
      </c>
      <c r="CUQ93" t="s">
        <v>428</v>
      </c>
      <c r="CUS93" t="s">
        <v>114</v>
      </c>
      <c r="CUT93" t="s">
        <v>113</v>
      </c>
      <c r="CUU93" t="s">
        <v>398</v>
      </c>
      <c r="CUV93">
        <v>1</v>
      </c>
      <c r="CUW93" t="s">
        <v>438</v>
      </c>
      <c r="CUX93" t="s">
        <v>440</v>
      </c>
      <c r="CUY93" t="s">
        <v>428</v>
      </c>
      <c r="CVA93" t="s">
        <v>114</v>
      </c>
      <c r="CVB93" t="s">
        <v>113</v>
      </c>
      <c r="CVC93" t="s">
        <v>398</v>
      </c>
      <c r="CVD93">
        <v>1</v>
      </c>
      <c r="CVE93" t="s">
        <v>438</v>
      </c>
      <c r="CVF93" t="s">
        <v>440</v>
      </c>
      <c r="CVG93" t="s">
        <v>428</v>
      </c>
      <c r="CVI93" t="s">
        <v>114</v>
      </c>
      <c r="CVJ93" t="s">
        <v>113</v>
      </c>
      <c r="CVK93" t="s">
        <v>398</v>
      </c>
      <c r="CVL93">
        <v>1</v>
      </c>
      <c r="CVM93" t="s">
        <v>438</v>
      </c>
      <c r="CVN93" t="s">
        <v>440</v>
      </c>
      <c r="CVO93" t="s">
        <v>428</v>
      </c>
      <c r="CVQ93" t="s">
        <v>114</v>
      </c>
      <c r="CVR93" t="s">
        <v>113</v>
      </c>
      <c r="CVS93" t="s">
        <v>398</v>
      </c>
      <c r="CVT93">
        <v>1</v>
      </c>
      <c r="CVU93" t="s">
        <v>438</v>
      </c>
      <c r="CVV93" t="s">
        <v>440</v>
      </c>
      <c r="CVW93" t="s">
        <v>428</v>
      </c>
      <c r="CVY93" t="s">
        <v>114</v>
      </c>
      <c r="CVZ93" t="s">
        <v>113</v>
      </c>
      <c r="CWA93" t="s">
        <v>398</v>
      </c>
      <c r="CWB93">
        <v>1</v>
      </c>
      <c r="CWC93" t="s">
        <v>438</v>
      </c>
      <c r="CWD93" t="s">
        <v>440</v>
      </c>
      <c r="CWE93" t="s">
        <v>428</v>
      </c>
      <c r="CWG93" t="s">
        <v>114</v>
      </c>
      <c r="CWH93" t="s">
        <v>113</v>
      </c>
      <c r="CWI93" t="s">
        <v>398</v>
      </c>
      <c r="CWJ93">
        <v>1</v>
      </c>
      <c r="CWK93" t="s">
        <v>438</v>
      </c>
      <c r="CWL93" t="s">
        <v>440</v>
      </c>
      <c r="CWM93" t="s">
        <v>428</v>
      </c>
      <c r="CWO93" t="s">
        <v>114</v>
      </c>
      <c r="CWP93" t="s">
        <v>113</v>
      </c>
      <c r="CWQ93" t="s">
        <v>398</v>
      </c>
      <c r="CWR93">
        <v>1</v>
      </c>
      <c r="CWS93" t="s">
        <v>438</v>
      </c>
      <c r="CWT93" t="s">
        <v>440</v>
      </c>
      <c r="CWU93" t="s">
        <v>428</v>
      </c>
      <c r="CWW93" t="s">
        <v>114</v>
      </c>
      <c r="CWX93" t="s">
        <v>113</v>
      </c>
      <c r="CWY93" t="s">
        <v>398</v>
      </c>
      <c r="CWZ93">
        <v>1</v>
      </c>
      <c r="CXA93" t="s">
        <v>438</v>
      </c>
      <c r="CXB93" t="s">
        <v>440</v>
      </c>
      <c r="CXC93" t="s">
        <v>428</v>
      </c>
      <c r="CXE93" t="s">
        <v>114</v>
      </c>
      <c r="CXF93" t="s">
        <v>113</v>
      </c>
      <c r="CXG93" t="s">
        <v>398</v>
      </c>
      <c r="CXH93">
        <v>1</v>
      </c>
      <c r="CXI93" t="s">
        <v>438</v>
      </c>
      <c r="CXJ93" t="s">
        <v>440</v>
      </c>
      <c r="CXK93" t="s">
        <v>428</v>
      </c>
      <c r="CXM93" t="s">
        <v>114</v>
      </c>
      <c r="CXN93" t="s">
        <v>113</v>
      </c>
      <c r="CXO93" t="s">
        <v>398</v>
      </c>
      <c r="CXP93">
        <v>1</v>
      </c>
      <c r="CXQ93" t="s">
        <v>438</v>
      </c>
      <c r="CXR93" t="s">
        <v>440</v>
      </c>
      <c r="CXS93" t="s">
        <v>428</v>
      </c>
      <c r="CXU93" t="s">
        <v>114</v>
      </c>
      <c r="CXV93" t="s">
        <v>113</v>
      </c>
      <c r="CXW93" t="s">
        <v>398</v>
      </c>
      <c r="CXX93">
        <v>1</v>
      </c>
      <c r="CXY93" t="s">
        <v>438</v>
      </c>
      <c r="CXZ93" t="s">
        <v>440</v>
      </c>
      <c r="CYA93" t="s">
        <v>428</v>
      </c>
      <c r="CYC93" t="s">
        <v>114</v>
      </c>
      <c r="CYD93" t="s">
        <v>113</v>
      </c>
      <c r="CYE93" t="s">
        <v>398</v>
      </c>
      <c r="CYF93">
        <v>1</v>
      </c>
      <c r="CYG93" t="s">
        <v>438</v>
      </c>
      <c r="CYH93" t="s">
        <v>440</v>
      </c>
      <c r="CYI93" t="s">
        <v>428</v>
      </c>
      <c r="CYK93" t="s">
        <v>114</v>
      </c>
      <c r="CYL93" t="s">
        <v>113</v>
      </c>
      <c r="CYM93" t="s">
        <v>398</v>
      </c>
      <c r="CYN93">
        <v>1</v>
      </c>
      <c r="CYO93" t="s">
        <v>438</v>
      </c>
      <c r="CYP93" t="s">
        <v>440</v>
      </c>
      <c r="CYQ93" t="s">
        <v>428</v>
      </c>
      <c r="CYS93" t="s">
        <v>114</v>
      </c>
      <c r="CYT93" t="s">
        <v>113</v>
      </c>
      <c r="CYU93" t="s">
        <v>398</v>
      </c>
      <c r="CYV93">
        <v>1</v>
      </c>
      <c r="CYW93" t="s">
        <v>438</v>
      </c>
      <c r="CYX93" t="s">
        <v>440</v>
      </c>
      <c r="CYY93" t="s">
        <v>428</v>
      </c>
      <c r="CZA93" t="s">
        <v>114</v>
      </c>
      <c r="CZB93" t="s">
        <v>113</v>
      </c>
      <c r="CZC93" t="s">
        <v>398</v>
      </c>
      <c r="CZD93">
        <v>1</v>
      </c>
      <c r="CZE93" t="s">
        <v>438</v>
      </c>
      <c r="CZF93" t="s">
        <v>440</v>
      </c>
      <c r="CZG93" t="s">
        <v>428</v>
      </c>
      <c r="CZI93" t="s">
        <v>114</v>
      </c>
      <c r="CZJ93" t="s">
        <v>113</v>
      </c>
      <c r="CZK93" t="s">
        <v>398</v>
      </c>
      <c r="CZL93">
        <v>1</v>
      </c>
      <c r="CZM93" t="s">
        <v>438</v>
      </c>
      <c r="CZN93" t="s">
        <v>440</v>
      </c>
      <c r="CZO93" t="s">
        <v>428</v>
      </c>
      <c r="CZQ93" t="s">
        <v>114</v>
      </c>
      <c r="CZR93" t="s">
        <v>113</v>
      </c>
      <c r="CZS93" t="s">
        <v>398</v>
      </c>
      <c r="CZT93">
        <v>1</v>
      </c>
      <c r="CZU93" t="s">
        <v>438</v>
      </c>
      <c r="CZV93" t="s">
        <v>440</v>
      </c>
      <c r="CZW93" t="s">
        <v>428</v>
      </c>
      <c r="CZY93" t="s">
        <v>114</v>
      </c>
      <c r="CZZ93" t="s">
        <v>113</v>
      </c>
      <c r="DAA93" t="s">
        <v>398</v>
      </c>
      <c r="DAB93">
        <v>1</v>
      </c>
      <c r="DAC93" t="s">
        <v>438</v>
      </c>
      <c r="DAD93" t="s">
        <v>440</v>
      </c>
      <c r="DAE93" t="s">
        <v>428</v>
      </c>
      <c r="DAG93" t="s">
        <v>114</v>
      </c>
      <c r="DAH93" t="s">
        <v>113</v>
      </c>
      <c r="DAI93" t="s">
        <v>398</v>
      </c>
      <c r="DAJ93">
        <v>1</v>
      </c>
      <c r="DAK93" t="s">
        <v>438</v>
      </c>
      <c r="DAL93" t="s">
        <v>440</v>
      </c>
      <c r="DAM93" t="s">
        <v>428</v>
      </c>
      <c r="DAO93" t="s">
        <v>114</v>
      </c>
      <c r="DAP93" t="s">
        <v>113</v>
      </c>
      <c r="DAQ93" t="s">
        <v>398</v>
      </c>
      <c r="DAR93">
        <v>1</v>
      </c>
      <c r="DAS93" t="s">
        <v>438</v>
      </c>
      <c r="DAT93" t="s">
        <v>440</v>
      </c>
      <c r="DAU93" t="s">
        <v>428</v>
      </c>
      <c r="DAW93" t="s">
        <v>114</v>
      </c>
      <c r="DAX93" t="s">
        <v>113</v>
      </c>
      <c r="DAY93" t="s">
        <v>398</v>
      </c>
      <c r="DAZ93">
        <v>1</v>
      </c>
      <c r="DBA93" t="s">
        <v>438</v>
      </c>
      <c r="DBB93" t="s">
        <v>440</v>
      </c>
      <c r="DBC93" t="s">
        <v>428</v>
      </c>
      <c r="DBE93" t="s">
        <v>114</v>
      </c>
      <c r="DBF93" t="s">
        <v>113</v>
      </c>
      <c r="DBG93" t="s">
        <v>398</v>
      </c>
      <c r="DBH93">
        <v>1</v>
      </c>
      <c r="DBI93" t="s">
        <v>438</v>
      </c>
      <c r="DBJ93" t="s">
        <v>440</v>
      </c>
      <c r="DBK93" t="s">
        <v>428</v>
      </c>
      <c r="DBM93" t="s">
        <v>114</v>
      </c>
      <c r="DBN93" t="s">
        <v>113</v>
      </c>
      <c r="DBO93" t="s">
        <v>398</v>
      </c>
      <c r="DBP93">
        <v>1</v>
      </c>
      <c r="DBQ93" t="s">
        <v>438</v>
      </c>
      <c r="DBR93" t="s">
        <v>440</v>
      </c>
      <c r="DBS93" t="s">
        <v>428</v>
      </c>
      <c r="DBU93" t="s">
        <v>114</v>
      </c>
      <c r="DBV93" t="s">
        <v>113</v>
      </c>
      <c r="DBW93" t="s">
        <v>398</v>
      </c>
      <c r="DBX93">
        <v>1</v>
      </c>
      <c r="DBY93" t="s">
        <v>438</v>
      </c>
      <c r="DBZ93" t="s">
        <v>440</v>
      </c>
      <c r="DCA93" t="s">
        <v>428</v>
      </c>
      <c r="DCC93" t="s">
        <v>114</v>
      </c>
      <c r="DCD93" t="s">
        <v>113</v>
      </c>
      <c r="DCE93" t="s">
        <v>398</v>
      </c>
      <c r="DCF93">
        <v>1</v>
      </c>
      <c r="DCG93" t="s">
        <v>438</v>
      </c>
      <c r="DCH93" t="s">
        <v>440</v>
      </c>
      <c r="DCI93" t="s">
        <v>428</v>
      </c>
      <c r="DCK93" t="s">
        <v>114</v>
      </c>
      <c r="DCL93" t="s">
        <v>113</v>
      </c>
      <c r="DCM93" t="s">
        <v>398</v>
      </c>
      <c r="DCN93">
        <v>1</v>
      </c>
      <c r="DCO93" t="s">
        <v>438</v>
      </c>
      <c r="DCP93" t="s">
        <v>440</v>
      </c>
      <c r="DCQ93" t="s">
        <v>428</v>
      </c>
      <c r="DCS93" t="s">
        <v>114</v>
      </c>
      <c r="DCT93" t="s">
        <v>113</v>
      </c>
      <c r="DCU93" t="s">
        <v>398</v>
      </c>
      <c r="DCV93">
        <v>1</v>
      </c>
      <c r="DCW93" t="s">
        <v>438</v>
      </c>
      <c r="DCX93" t="s">
        <v>440</v>
      </c>
      <c r="DCY93" t="s">
        <v>428</v>
      </c>
      <c r="DDA93" t="s">
        <v>114</v>
      </c>
      <c r="DDB93" t="s">
        <v>113</v>
      </c>
      <c r="DDC93" t="s">
        <v>398</v>
      </c>
      <c r="DDD93">
        <v>1</v>
      </c>
      <c r="DDE93" t="s">
        <v>438</v>
      </c>
      <c r="DDF93" t="s">
        <v>440</v>
      </c>
      <c r="DDG93" t="s">
        <v>428</v>
      </c>
      <c r="DDI93" t="s">
        <v>114</v>
      </c>
      <c r="DDJ93" t="s">
        <v>113</v>
      </c>
      <c r="DDK93" t="s">
        <v>398</v>
      </c>
      <c r="DDL93">
        <v>1</v>
      </c>
      <c r="DDM93" t="s">
        <v>438</v>
      </c>
      <c r="DDN93" t="s">
        <v>440</v>
      </c>
      <c r="DDO93" t="s">
        <v>428</v>
      </c>
      <c r="DDQ93" t="s">
        <v>114</v>
      </c>
      <c r="DDR93" t="s">
        <v>113</v>
      </c>
      <c r="DDS93" t="s">
        <v>398</v>
      </c>
      <c r="DDT93">
        <v>1</v>
      </c>
      <c r="DDU93" t="s">
        <v>438</v>
      </c>
      <c r="DDV93" t="s">
        <v>440</v>
      </c>
      <c r="DDW93" t="s">
        <v>428</v>
      </c>
      <c r="DDY93" t="s">
        <v>114</v>
      </c>
      <c r="DDZ93" t="s">
        <v>113</v>
      </c>
      <c r="DEA93" t="s">
        <v>398</v>
      </c>
      <c r="DEB93">
        <v>1</v>
      </c>
      <c r="DEC93" t="s">
        <v>438</v>
      </c>
      <c r="DED93" t="s">
        <v>440</v>
      </c>
      <c r="DEE93" t="s">
        <v>428</v>
      </c>
      <c r="DEG93" t="s">
        <v>114</v>
      </c>
      <c r="DEH93" t="s">
        <v>113</v>
      </c>
      <c r="DEI93" t="s">
        <v>398</v>
      </c>
      <c r="DEJ93">
        <v>1</v>
      </c>
      <c r="DEK93" t="s">
        <v>438</v>
      </c>
      <c r="DEL93" t="s">
        <v>440</v>
      </c>
      <c r="DEM93" t="s">
        <v>428</v>
      </c>
      <c r="DEO93" t="s">
        <v>114</v>
      </c>
      <c r="DEP93" t="s">
        <v>113</v>
      </c>
      <c r="DEQ93" t="s">
        <v>398</v>
      </c>
      <c r="DER93">
        <v>1</v>
      </c>
      <c r="DES93" t="s">
        <v>438</v>
      </c>
      <c r="DET93" t="s">
        <v>440</v>
      </c>
      <c r="DEU93" t="s">
        <v>428</v>
      </c>
      <c r="DEW93" t="s">
        <v>114</v>
      </c>
      <c r="DEX93" t="s">
        <v>113</v>
      </c>
      <c r="DEY93" t="s">
        <v>398</v>
      </c>
      <c r="DEZ93">
        <v>1</v>
      </c>
      <c r="DFA93" t="s">
        <v>438</v>
      </c>
      <c r="DFB93" t="s">
        <v>440</v>
      </c>
      <c r="DFC93" t="s">
        <v>428</v>
      </c>
      <c r="DFE93" t="s">
        <v>114</v>
      </c>
      <c r="DFF93" t="s">
        <v>113</v>
      </c>
      <c r="DFG93" t="s">
        <v>398</v>
      </c>
      <c r="DFH93">
        <v>1</v>
      </c>
      <c r="DFI93" t="s">
        <v>438</v>
      </c>
      <c r="DFJ93" t="s">
        <v>440</v>
      </c>
      <c r="DFK93" t="s">
        <v>428</v>
      </c>
      <c r="DFM93" t="s">
        <v>114</v>
      </c>
      <c r="DFN93" t="s">
        <v>113</v>
      </c>
      <c r="DFO93" t="s">
        <v>398</v>
      </c>
      <c r="DFP93">
        <v>1</v>
      </c>
      <c r="DFQ93" t="s">
        <v>438</v>
      </c>
      <c r="DFR93" t="s">
        <v>440</v>
      </c>
      <c r="DFS93" t="s">
        <v>428</v>
      </c>
      <c r="DFU93" t="s">
        <v>114</v>
      </c>
      <c r="DFV93" t="s">
        <v>113</v>
      </c>
      <c r="DFW93" t="s">
        <v>398</v>
      </c>
      <c r="DFX93">
        <v>1</v>
      </c>
      <c r="DFY93" t="s">
        <v>438</v>
      </c>
      <c r="DFZ93" t="s">
        <v>440</v>
      </c>
      <c r="DGA93" t="s">
        <v>428</v>
      </c>
      <c r="DGC93" t="s">
        <v>114</v>
      </c>
      <c r="DGD93" t="s">
        <v>113</v>
      </c>
      <c r="DGE93" t="s">
        <v>398</v>
      </c>
      <c r="DGF93">
        <v>1</v>
      </c>
      <c r="DGG93" t="s">
        <v>438</v>
      </c>
      <c r="DGH93" t="s">
        <v>440</v>
      </c>
      <c r="DGI93" t="s">
        <v>428</v>
      </c>
      <c r="DGK93" t="s">
        <v>114</v>
      </c>
      <c r="DGL93" t="s">
        <v>113</v>
      </c>
      <c r="DGM93" t="s">
        <v>398</v>
      </c>
      <c r="DGN93">
        <v>1</v>
      </c>
      <c r="DGO93" t="s">
        <v>438</v>
      </c>
      <c r="DGP93" t="s">
        <v>440</v>
      </c>
      <c r="DGQ93" t="s">
        <v>428</v>
      </c>
      <c r="DGS93" t="s">
        <v>114</v>
      </c>
      <c r="DGT93" t="s">
        <v>113</v>
      </c>
      <c r="DGU93" t="s">
        <v>398</v>
      </c>
      <c r="DGV93">
        <v>1</v>
      </c>
      <c r="DGW93" t="s">
        <v>438</v>
      </c>
      <c r="DGX93" t="s">
        <v>440</v>
      </c>
      <c r="DGY93" t="s">
        <v>428</v>
      </c>
      <c r="DHA93" t="s">
        <v>114</v>
      </c>
      <c r="DHB93" t="s">
        <v>113</v>
      </c>
      <c r="DHC93" t="s">
        <v>398</v>
      </c>
      <c r="DHD93">
        <v>1</v>
      </c>
      <c r="DHE93" t="s">
        <v>438</v>
      </c>
      <c r="DHF93" t="s">
        <v>440</v>
      </c>
      <c r="DHG93" t="s">
        <v>428</v>
      </c>
      <c r="DHI93" t="s">
        <v>114</v>
      </c>
      <c r="DHJ93" t="s">
        <v>113</v>
      </c>
      <c r="DHK93" t="s">
        <v>398</v>
      </c>
      <c r="DHL93">
        <v>1</v>
      </c>
      <c r="DHM93" t="s">
        <v>438</v>
      </c>
      <c r="DHN93" t="s">
        <v>440</v>
      </c>
      <c r="DHO93" t="s">
        <v>428</v>
      </c>
      <c r="DHQ93" t="s">
        <v>114</v>
      </c>
      <c r="DHR93" t="s">
        <v>113</v>
      </c>
      <c r="DHS93" t="s">
        <v>398</v>
      </c>
      <c r="DHT93">
        <v>1</v>
      </c>
      <c r="DHU93" t="s">
        <v>438</v>
      </c>
      <c r="DHV93" t="s">
        <v>440</v>
      </c>
      <c r="DHW93" t="s">
        <v>428</v>
      </c>
      <c r="DHY93" t="s">
        <v>114</v>
      </c>
      <c r="DHZ93" t="s">
        <v>113</v>
      </c>
      <c r="DIA93" t="s">
        <v>398</v>
      </c>
      <c r="DIB93">
        <v>1</v>
      </c>
      <c r="DIC93" t="s">
        <v>438</v>
      </c>
      <c r="DID93" t="s">
        <v>440</v>
      </c>
      <c r="DIE93" t="s">
        <v>428</v>
      </c>
      <c r="DIG93" t="s">
        <v>114</v>
      </c>
      <c r="DIH93" t="s">
        <v>113</v>
      </c>
      <c r="DII93" t="s">
        <v>398</v>
      </c>
      <c r="DIJ93">
        <v>1</v>
      </c>
      <c r="DIK93" t="s">
        <v>438</v>
      </c>
      <c r="DIL93" t="s">
        <v>440</v>
      </c>
      <c r="DIM93" t="s">
        <v>428</v>
      </c>
      <c r="DIO93" t="s">
        <v>114</v>
      </c>
      <c r="DIP93" t="s">
        <v>113</v>
      </c>
      <c r="DIQ93" t="s">
        <v>398</v>
      </c>
      <c r="DIR93">
        <v>1</v>
      </c>
      <c r="DIS93" t="s">
        <v>438</v>
      </c>
      <c r="DIT93" t="s">
        <v>440</v>
      </c>
      <c r="DIU93" t="s">
        <v>428</v>
      </c>
      <c r="DIW93" t="s">
        <v>114</v>
      </c>
      <c r="DIX93" t="s">
        <v>113</v>
      </c>
      <c r="DIY93" t="s">
        <v>398</v>
      </c>
      <c r="DIZ93">
        <v>1</v>
      </c>
      <c r="DJA93" t="s">
        <v>438</v>
      </c>
      <c r="DJB93" t="s">
        <v>440</v>
      </c>
      <c r="DJC93" t="s">
        <v>428</v>
      </c>
      <c r="DJE93" t="s">
        <v>114</v>
      </c>
      <c r="DJF93" t="s">
        <v>113</v>
      </c>
      <c r="DJG93" t="s">
        <v>398</v>
      </c>
      <c r="DJH93">
        <v>1</v>
      </c>
      <c r="DJI93" t="s">
        <v>438</v>
      </c>
      <c r="DJJ93" t="s">
        <v>440</v>
      </c>
      <c r="DJK93" t="s">
        <v>428</v>
      </c>
      <c r="DJM93" t="s">
        <v>114</v>
      </c>
      <c r="DJN93" t="s">
        <v>113</v>
      </c>
      <c r="DJO93" t="s">
        <v>398</v>
      </c>
      <c r="DJP93">
        <v>1</v>
      </c>
      <c r="DJQ93" t="s">
        <v>438</v>
      </c>
      <c r="DJR93" t="s">
        <v>440</v>
      </c>
      <c r="DJS93" t="s">
        <v>428</v>
      </c>
      <c r="DJU93" t="s">
        <v>114</v>
      </c>
      <c r="DJV93" t="s">
        <v>113</v>
      </c>
      <c r="DJW93" t="s">
        <v>398</v>
      </c>
      <c r="DJX93">
        <v>1</v>
      </c>
      <c r="DJY93" t="s">
        <v>438</v>
      </c>
      <c r="DJZ93" t="s">
        <v>440</v>
      </c>
      <c r="DKA93" t="s">
        <v>428</v>
      </c>
      <c r="DKC93" t="s">
        <v>114</v>
      </c>
      <c r="DKD93" t="s">
        <v>113</v>
      </c>
      <c r="DKE93" t="s">
        <v>398</v>
      </c>
      <c r="DKF93">
        <v>1</v>
      </c>
      <c r="DKG93" t="s">
        <v>438</v>
      </c>
      <c r="DKH93" t="s">
        <v>440</v>
      </c>
      <c r="DKI93" t="s">
        <v>428</v>
      </c>
      <c r="DKK93" t="s">
        <v>114</v>
      </c>
      <c r="DKL93" t="s">
        <v>113</v>
      </c>
      <c r="DKM93" t="s">
        <v>398</v>
      </c>
      <c r="DKN93">
        <v>1</v>
      </c>
      <c r="DKO93" t="s">
        <v>438</v>
      </c>
      <c r="DKP93" t="s">
        <v>440</v>
      </c>
      <c r="DKQ93" t="s">
        <v>428</v>
      </c>
      <c r="DKS93" t="s">
        <v>114</v>
      </c>
      <c r="DKT93" t="s">
        <v>113</v>
      </c>
      <c r="DKU93" t="s">
        <v>398</v>
      </c>
      <c r="DKV93">
        <v>1</v>
      </c>
      <c r="DKW93" t="s">
        <v>438</v>
      </c>
      <c r="DKX93" t="s">
        <v>440</v>
      </c>
      <c r="DKY93" t="s">
        <v>428</v>
      </c>
      <c r="DLA93" t="s">
        <v>114</v>
      </c>
      <c r="DLB93" t="s">
        <v>113</v>
      </c>
      <c r="DLC93" t="s">
        <v>398</v>
      </c>
      <c r="DLD93">
        <v>1</v>
      </c>
      <c r="DLE93" t="s">
        <v>438</v>
      </c>
      <c r="DLF93" t="s">
        <v>440</v>
      </c>
      <c r="DLG93" t="s">
        <v>428</v>
      </c>
      <c r="DLI93" t="s">
        <v>114</v>
      </c>
      <c r="DLJ93" t="s">
        <v>113</v>
      </c>
      <c r="DLK93" t="s">
        <v>398</v>
      </c>
      <c r="DLL93">
        <v>1</v>
      </c>
      <c r="DLM93" t="s">
        <v>438</v>
      </c>
      <c r="DLN93" t="s">
        <v>440</v>
      </c>
      <c r="DLO93" t="s">
        <v>428</v>
      </c>
      <c r="DLQ93" t="s">
        <v>114</v>
      </c>
      <c r="DLR93" t="s">
        <v>113</v>
      </c>
      <c r="DLS93" t="s">
        <v>398</v>
      </c>
      <c r="DLT93">
        <v>1</v>
      </c>
      <c r="DLU93" t="s">
        <v>438</v>
      </c>
      <c r="DLV93" t="s">
        <v>440</v>
      </c>
      <c r="DLW93" t="s">
        <v>428</v>
      </c>
      <c r="DLY93" t="s">
        <v>114</v>
      </c>
      <c r="DLZ93" t="s">
        <v>113</v>
      </c>
      <c r="DMA93" t="s">
        <v>398</v>
      </c>
      <c r="DMB93">
        <v>1</v>
      </c>
      <c r="DMC93" t="s">
        <v>438</v>
      </c>
      <c r="DMD93" t="s">
        <v>440</v>
      </c>
      <c r="DME93" t="s">
        <v>428</v>
      </c>
      <c r="DMG93" t="s">
        <v>114</v>
      </c>
      <c r="DMH93" t="s">
        <v>113</v>
      </c>
      <c r="DMI93" t="s">
        <v>398</v>
      </c>
      <c r="DMJ93">
        <v>1</v>
      </c>
      <c r="DMK93" t="s">
        <v>438</v>
      </c>
      <c r="DML93" t="s">
        <v>440</v>
      </c>
      <c r="DMM93" t="s">
        <v>428</v>
      </c>
      <c r="DMO93" t="s">
        <v>114</v>
      </c>
      <c r="DMP93" t="s">
        <v>113</v>
      </c>
      <c r="DMQ93" t="s">
        <v>398</v>
      </c>
      <c r="DMR93">
        <v>1</v>
      </c>
      <c r="DMS93" t="s">
        <v>438</v>
      </c>
      <c r="DMT93" t="s">
        <v>440</v>
      </c>
      <c r="DMU93" t="s">
        <v>428</v>
      </c>
      <c r="DMW93" t="s">
        <v>114</v>
      </c>
      <c r="DMX93" t="s">
        <v>113</v>
      </c>
      <c r="DMY93" t="s">
        <v>398</v>
      </c>
      <c r="DMZ93">
        <v>1</v>
      </c>
      <c r="DNA93" t="s">
        <v>438</v>
      </c>
      <c r="DNB93" t="s">
        <v>440</v>
      </c>
      <c r="DNC93" t="s">
        <v>428</v>
      </c>
      <c r="DNE93" t="s">
        <v>114</v>
      </c>
      <c r="DNF93" t="s">
        <v>113</v>
      </c>
      <c r="DNG93" t="s">
        <v>398</v>
      </c>
      <c r="DNH93">
        <v>1</v>
      </c>
      <c r="DNI93" t="s">
        <v>438</v>
      </c>
      <c r="DNJ93" t="s">
        <v>440</v>
      </c>
      <c r="DNK93" t="s">
        <v>428</v>
      </c>
      <c r="DNM93" t="s">
        <v>114</v>
      </c>
      <c r="DNN93" t="s">
        <v>113</v>
      </c>
      <c r="DNO93" t="s">
        <v>398</v>
      </c>
      <c r="DNP93">
        <v>1</v>
      </c>
      <c r="DNQ93" t="s">
        <v>438</v>
      </c>
      <c r="DNR93" t="s">
        <v>440</v>
      </c>
      <c r="DNS93" t="s">
        <v>428</v>
      </c>
      <c r="DNU93" t="s">
        <v>114</v>
      </c>
      <c r="DNV93" t="s">
        <v>113</v>
      </c>
      <c r="DNW93" t="s">
        <v>398</v>
      </c>
      <c r="DNX93">
        <v>1</v>
      </c>
      <c r="DNY93" t="s">
        <v>438</v>
      </c>
      <c r="DNZ93" t="s">
        <v>440</v>
      </c>
      <c r="DOA93" t="s">
        <v>428</v>
      </c>
      <c r="DOC93" t="s">
        <v>114</v>
      </c>
      <c r="DOD93" t="s">
        <v>113</v>
      </c>
      <c r="DOE93" t="s">
        <v>398</v>
      </c>
      <c r="DOF93">
        <v>1</v>
      </c>
      <c r="DOG93" t="s">
        <v>438</v>
      </c>
      <c r="DOH93" t="s">
        <v>440</v>
      </c>
      <c r="DOI93" t="s">
        <v>428</v>
      </c>
      <c r="DOK93" t="s">
        <v>114</v>
      </c>
      <c r="DOL93" t="s">
        <v>113</v>
      </c>
      <c r="DOM93" t="s">
        <v>398</v>
      </c>
      <c r="DON93">
        <v>1</v>
      </c>
      <c r="DOO93" t="s">
        <v>438</v>
      </c>
      <c r="DOP93" t="s">
        <v>440</v>
      </c>
      <c r="DOQ93" t="s">
        <v>428</v>
      </c>
      <c r="DOS93" t="s">
        <v>114</v>
      </c>
      <c r="DOT93" t="s">
        <v>113</v>
      </c>
      <c r="DOU93" t="s">
        <v>398</v>
      </c>
      <c r="DOV93">
        <v>1</v>
      </c>
      <c r="DOW93" t="s">
        <v>438</v>
      </c>
      <c r="DOX93" t="s">
        <v>440</v>
      </c>
      <c r="DOY93" t="s">
        <v>428</v>
      </c>
      <c r="DPA93" t="s">
        <v>114</v>
      </c>
      <c r="DPB93" t="s">
        <v>113</v>
      </c>
      <c r="DPC93" t="s">
        <v>398</v>
      </c>
      <c r="DPD93">
        <v>1</v>
      </c>
      <c r="DPE93" t="s">
        <v>438</v>
      </c>
      <c r="DPF93" t="s">
        <v>440</v>
      </c>
      <c r="DPG93" t="s">
        <v>428</v>
      </c>
      <c r="DPI93" t="s">
        <v>114</v>
      </c>
      <c r="DPJ93" t="s">
        <v>113</v>
      </c>
      <c r="DPK93" t="s">
        <v>398</v>
      </c>
      <c r="DPL93">
        <v>1</v>
      </c>
      <c r="DPM93" t="s">
        <v>438</v>
      </c>
      <c r="DPN93" t="s">
        <v>440</v>
      </c>
      <c r="DPO93" t="s">
        <v>428</v>
      </c>
      <c r="DPQ93" t="s">
        <v>114</v>
      </c>
      <c r="DPR93" t="s">
        <v>113</v>
      </c>
      <c r="DPS93" t="s">
        <v>398</v>
      </c>
      <c r="DPT93">
        <v>1</v>
      </c>
      <c r="DPU93" t="s">
        <v>438</v>
      </c>
      <c r="DPV93" t="s">
        <v>440</v>
      </c>
      <c r="DPW93" t="s">
        <v>428</v>
      </c>
      <c r="DPY93" t="s">
        <v>114</v>
      </c>
      <c r="DPZ93" t="s">
        <v>113</v>
      </c>
      <c r="DQA93" t="s">
        <v>398</v>
      </c>
      <c r="DQB93">
        <v>1</v>
      </c>
      <c r="DQC93" t="s">
        <v>438</v>
      </c>
      <c r="DQD93" t="s">
        <v>440</v>
      </c>
      <c r="DQE93" t="s">
        <v>428</v>
      </c>
      <c r="DQG93" t="s">
        <v>114</v>
      </c>
      <c r="DQH93" t="s">
        <v>113</v>
      </c>
      <c r="DQI93" t="s">
        <v>398</v>
      </c>
      <c r="DQJ93">
        <v>1</v>
      </c>
      <c r="DQK93" t="s">
        <v>438</v>
      </c>
      <c r="DQL93" t="s">
        <v>440</v>
      </c>
      <c r="DQM93" t="s">
        <v>428</v>
      </c>
      <c r="DQO93" t="s">
        <v>114</v>
      </c>
      <c r="DQP93" t="s">
        <v>113</v>
      </c>
      <c r="DQQ93" t="s">
        <v>398</v>
      </c>
      <c r="DQR93">
        <v>1</v>
      </c>
      <c r="DQS93" t="s">
        <v>438</v>
      </c>
      <c r="DQT93" t="s">
        <v>440</v>
      </c>
      <c r="DQU93" t="s">
        <v>428</v>
      </c>
      <c r="DQW93" t="s">
        <v>114</v>
      </c>
      <c r="DQX93" t="s">
        <v>113</v>
      </c>
      <c r="DQY93" t="s">
        <v>398</v>
      </c>
      <c r="DQZ93">
        <v>1</v>
      </c>
      <c r="DRA93" t="s">
        <v>438</v>
      </c>
      <c r="DRB93" t="s">
        <v>440</v>
      </c>
      <c r="DRC93" t="s">
        <v>428</v>
      </c>
      <c r="DRE93" t="s">
        <v>114</v>
      </c>
      <c r="DRF93" t="s">
        <v>113</v>
      </c>
      <c r="DRG93" t="s">
        <v>398</v>
      </c>
      <c r="DRH93">
        <v>1</v>
      </c>
      <c r="DRI93" t="s">
        <v>438</v>
      </c>
      <c r="DRJ93" t="s">
        <v>440</v>
      </c>
      <c r="DRK93" t="s">
        <v>428</v>
      </c>
      <c r="DRM93" t="s">
        <v>114</v>
      </c>
      <c r="DRN93" t="s">
        <v>113</v>
      </c>
      <c r="DRO93" t="s">
        <v>398</v>
      </c>
      <c r="DRP93">
        <v>1</v>
      </c>
      <c r="DRQ93" t="s">
        <v>438</v>
      </c>
      <c r="DRR93" t="s">
        <v>440</v>
      </c>
      <c r="DRS93" t="s">
        <v>428</v>
      </c>
      <c r="DRU93" t="s">
        <v>114</v>
      </c>
      <c r="DRV93" t="s">
        <v>113</v>
      </c>
      <c r="DRW93" t="s">
        <v>398</v>
      </c>
      <c r="DRX93">
        <v>1</v>
      </c>
      <c r="DRY93" t="s">
        <v>438</v>
      </c>
      <c r="DRZ93" t="s">
        <v>440</v>
      </c>
      <c r="DSA93" t="s">
        <v>428</v>
      </c>
      <c r="DSC93" t="s">
        <v>114</v>
      </c>
      <c r="DSD93" t="s">
        <v>113</v>
      </c>
      <c r="DSE93" t="s">
        <v>398</v>
      </c>
      <c r="DSF93">
        <v>1</v>
      </c>
      <c r="DSG93" t="s">
        <v>438</v>
      </c>
      <c r="DSH93" t="s">
        <v>440</v>
      </c>
      <c r="DSI93" t="s">
        <v>428</v>
      </c>
      <c r="DSK93" t="s">
        <v>114</v>
      </c>
      <c r="DSL93" t="s">
        <v>113</v>
      </c>
      <c r="DSM93" t="s">
        <v>398</v>
      </c>
      <c r="DSN93">
        <v>1</v>
      </c>
      <c r="DSO93" t="s">
        <v>438</v>
      </c>
      <c r="DSP93" t="s">
        <v>440</v>
      </c>
      <c r="DSQ93" t="s">
        <v>428</v>
      </c>
      <c r="DSS93" t="s">
        <v>114</v>
      </c>
      <c r="DST93" t="s">
        <v>113</v>
      </c>
      <c r="DSU93" t="s">
        <v>398</v>
      </c>
      <c r="DSV93">
        <v>1</v>
      </c>
      <c r="DSW93" t="s">
        <v>438</v>
      </c>
      <c r="DSX93" t="s">
        <v>440</v>
      </c>
      <c r="DSY93" t="s">
        <v>428</v>
      </c>
      <c r="DTA93" t="s">
        <v>114</v>
      </c>
      <c r="DTB93" t="s">
        <v>113</v>
      </c>
      <c r="DTC93" t="s">
        <v>398</v>
      </c>
      <c r="DTD93">
        <v>1</v>
      </c>
      <c r="DTE93" t="s">
        <v>438</v>
      </c>
      <c r="DTF93" t="s">
        <v>440</v>
      </c>
      <c r="DTG93" t="s">
        <v>428</v>
      </c>
      <c r="DTI93" t="s">
        <v>114</v>
      </c>
      <c r="DTJ93" t="s">
        <v>113</v>
      </c>
      <c r="DTK93" t="s">
        <v>398</v>
      </c>
      <c r="DTL93">
        <v>1</v>
      </c>
      <c r="DTM93" t="s">
        <v>438</v>
      </c>
      <c r="DTN93" t="s">
        <v>440</v>
      </c>
      <c r="DTO93" t="s">
        <v>428</v>
      </c>
      <c r="DTQ93" t="s">
        <v>114</v>
      </c>
      <c r="DTR93" t="s">
        <v>113</v>
      </c>
      <c r="DTS93" t="s">
        <v>398</v>
      </c>
      <c r="DTT93">
        <v>1</v>
      </c>
      <c r="DTU93" t="s">
        <v>438</v>
      </c>
      <c r="DTV93" t="s">
        <v>440</v>
      </c>
      <c r="DTW93" t="s">
        <v>428</v>
      </c>
      <c r="DTY93" t="s">
        <v>114</v>
      </c>
      <c r="DTZ93" t="s">
        <v>113</v>
      </c>
      <c r="DUA93" t="s">
        <v>398</v>
      </c>
      <c r="DUB93">
        <v>1</v>
      </c>
      <c r="DUC93" t="s">
        <v>438</v>
      </c>
      <c r="DUD93" t="s">
        <v>440</v>
      </c>
      <c r="DUE93" t="s">
        <v>428</v>
      </c>
      <c r="DUG93" t="s">
        <v>114</v>
      </c>
      <c r="DUH93" t="s">
        <v>113</v>
      </c>
      <c r="DUI93" t="s">
        <v>398</v>
      </c>
      <c r="DUJ93">
        <v>1</v>
      </c>
      <c r="DUK93" t="s">
        <v>438</v>
      </c>
      <c r="DUL93" t="s">
        <v>440</v>
      </c>
      <c r="DUM93" t="s">
        <v>428</v>
      </c>
      <c r="DUO93" t="s">
        <v>114</v>
      </c>
      <c r="DUP93" t="s">
        <v>113</v>
      </c>
      <c r="DUQ93" t="s">
        <v>398</v>
      </c>
      <c r="DUR93">
        <v>1</v>
      </c>
      <c r="DUS93" t="s">
        <v>438</v>
      </c>
      <c r="DUT93" t="s">
        <v>440</v>
      </c>
      <c r="DUU93" t="s">
        <v>428</v>
      </c>
      <c r="DUW93" t="s">
        <v>114</v>
      </c>
      <c r="DUX93" t="s">
        <v>113</v>
      </c>
      <c r="DUY93" t="s">
        <v>398</v>
      </c>
      <c r="DUZ93">
        <v>1</v>
      </c>
      <c r="DVA93" t="s">
        <v>438</v>
      </c>
      <c r="DVB93" t="s">
        <v>440</v>
      </c>
      <c r="DVC93" t="s">
        <v>428</v>
      </c>
      <c r="DVE93" t="s">
        <v>114</v>
      </c>
      <c r="DVF93" t="s">
        <v>113</v>
      </c>
      <c r="DVG93" t="s">
        <v>398</v>
      </c>
      <c r="DVH93">
        <v>1</v>
      </c>
      <c r="DVI93" t="s">
        <v>438</v>
      </c>
      <c r="DVJ93" t="s">
        <v>440</v>
      </c>
      <c r="DVK93" t="s">
        <v>428</v>
      </c>
      <c r="DVM93" t="s">
        <v>114</v>
      </c>
      <c r="DVN93" t="s">
        <v>113</v>
      </c>
      <c r="DVO93" t="s">
        <v>398</v>
      </c>
      <c r="DVP93">
        <v>1</v>
      </c>
      <c r="DVQ93" t="s">
        <v>438</v>
      </c>
      <c r="DVR93" t="s">
        <v>440</v>
      </c>
      <c r="DVS93" t="s">
        <v>428</v>
      </c>
      <c r="DVU93" t="s">
        <v>114</v>
      </c>
      <c r="DVV93" t="s">
        <v>113</v>
      </c>
      <c r="DVW93" t="s">
        <v>398</v>
      </c>
      <c r="DVX93">
        <v>1</v>
      </c>
      <c r="DVY93" t="s">
        <v>438</v>
      </c>
      <c r="DVZ93" t="s">
        <v>440</v>
      </c>
      <c r="DWA93" t="s">
        <v>428</v>
      </c>
      <c r="DWC93" t="s">
        <v>114</v>
      </c>
      <c r="DWD93" t="s">
        <v>113</v>
      </c>
      <c r="DWE93" t="s">
        <v>398</v>
      </c>
      <c r="DWF93">
        <v>1</v>
      </c>
      <c r="DWG93" t="s">
        <v>438</v>
      </c>
      <c r="DWH93" t="s">
        <v>440</v>
      </c>
      <c r="DWI93" t="s">
        <v>428</v>
      </c>
      <c r="DWK93" t="s">
        <v>114</v>
      </c>
      <c r="DWL93" t="s">
        <v>113</v>
      </c>
      <c r="DWM93" t="s">
        <v>398</v>
      </c>
      <c r="DWN93">
        <v>1</v>
      </c>
      <c r="DWO93" t="s">
        <v>438</v>
      </c>
      <c r="DWP93" t="s">
        <v>440</v>
      </c>
      <c r="DWQ93" t="s">
        <v>428</v>
      </c>
      <c r="DWS93" t="s">
        <v>114</v>
      </c>
      <c r="DWT93" t="s">
        <v>113</v>
      </c>
      <c r="DWU93" t="s">
        <v>398</v>
      </c>
      <c r="DWV93">
        <v>1</v>
      </c>
      <c r="DWW93" t="s">
        <v>438</v>
      </c>
      <c r="DWX93" t="s">
        <v>440</v>
      </c>
      <c r="DWY93" t="s">
        <v>428</v>
      </c>
      <c r="DXA93" t="s">
        <v>114</v>
      </c>
      <c r="DXB93" t="s">
        <v>113</v>
      </c>
      <c r="DXC93" t="s">
        <v>398</v>
      </c>
      <c r="DXD93">
        <v>1</v>
      </c>
      <c r="DXE93" t="s">
        <v>438</v>
      </c>
      <c r="DXF93" t="s">
        <v>440</v>
      </c>
      <c r="DXG93" t="s">
        <v>428</v>
      </c>
      <c r="DXI93" t="s">
        <v>114</v>
      </c>
      <c r="DXJ93" t="s">
        <v>113</v>
      </c>
      <c r="DXK93" t="s">
        <v>398</v>
      </c>
      <c r="DXL93">
        <v>1</v>
      </c>
      <c r="DXM93" t="s">
        <v>438</v>
      </c>
      <c r="DXN93" t="s">
        <v>440</v>
      </c>
      <c r="DXO93" t="s">
        <v>428</v>
      </c>
      <c r="DXQ93" t="s">
        <v>114</v>
      </c>
      <c r="DXR93" t="s">
        <v>113</v>
      </c>
      <c r="DXS93" t="s">
        <v>398</v>
      </c>
      <c r="DXT93">
        <v>1</v>
      </c>
      <c r="DXU93" t="s">
        <v>438</v>
      </c>
      <c r="DXV93" t="s">
        <v>440</v>
      </c>
      <c r="DXW93" t="s">
        <v>428</v>
      </c>
      <c r="DXY93" t="s">
        <v>114</v>
      </c>
      <c r="DXZ93" t="s">
        <v>113</v>
      </c>
      <c r="DYA93" t="s">
        <v>398</v>
      </c>
      <c r="DYB93">
        <v>1</v>
      </c>
      <c r="DYC93" t="s">
        <v>438</v>
      </c>
      <c r="DYD93" t="s">
        <v>440</v>
      </c>
      <c r="DYE93" t="s">
        <v>428</v>
      </c>
      <c r="DYG93" t="s">
        <v>114</v>
      </c>
      <c r="DYH93" t="s">
        <v>113</v>
      </c>
      <c r="DYI93" t="s">
        <v>398</v>
      </c>
      <c r="DYJ93">
        <v>1</v>
      </c>
      <c r="DYK93" t="s">
        <v>438</v>
      </c>
      <c r="DYL93" t="s">
        <v>440</v>
      </c>
      <c r="DYM93" t="s">
        <v>428</v>
      </c>
      <c r="DYO93" t="s">
        <v>114</v>
      </c>
      <c r="DYP93" t="s">
        <v>113</v>
      </c>
      <c r="DYQ93" t="s">
        <v>398</v>
      </c>
      <c r="DYR93">
        <v>1</v>
      </c>
      <c r="DYS93" t="s">
        <v>438</v>
      </c>
      <c r="DYT93" t="s">
        <v>440</v>
      </c>
      <c r="DYU93" t="s">
        <v>428</v>
      </c>
      <c r="DYW93" t="s">
        <v>114</v>
      </c>
      <c r="DYX93" t="s">
        <v>113</v>
      </c>
      <c r="DYY93" t="s">
        <v>398</v>
      </c>
      <c r="DYZ93">
        <v>1</v>
      </c>
      <c r="DZA93" t="s">
        <v>438</v>
      </c>
      <c r="DZB93" t="s">
        <v>440</v>
      </c>
      <c r="DZC93" t="s">
        <v>428</v>
      </c>
      <c r="DZE93" t="s">
        <v>114</v>
      </c>
      <c r="DZF93" t="s">
        <v>113</v>
      </c>
      <c r="DZG93" t="s">
        <v>398</v>
      </c>
      <c r="DZH93">
        <v>1</v>
      </c>
      <c r="DZI93" t="s">
        <v>438</v>
      </c>
      <c r="DZJ93" t="s">
        <v>440</v>
      </c>
      <c r="DZK93" t="s">
        <v>428</v>
      </c>
      <c r="DZM93" t="s">
        <v>114</v>
      </c>
      <c r="DZN93" t="s">
        <v>113</v>
      </c>
      <c r="DZO93" t="s">
        <v>398</v>
      </c>
      <c r="DZP93">
        <v>1</v>
      </c>
      <c r="DZQ93" t="s">
        <v>438</v>
      </c>
      <c r="DZR93" t="s">
        <v>440</v>
      </c>
      <c r="DZS93" t="s">
        <v>428</v>
      </c>
      <c r="DZU93" t="s">
        <v>114</v>
      </c>
      <c r="DZV93" t="s">
        <v>113</v>
      </c>
      <c r="DZW93" t="s">
        <v>398</v>
      </c>
      <c r="DZX93">
        <v>1</v>
      </c>
      <c r="DZY93" t="s">
        <v>438</v>
      </c>
      <c r="DZZ93" t="s">
        <v>440</v>
      </c>
      <c r="EAA93" t="s">
        <v>428</v>
      </c>
      <c r="EAC93" t="s">
        <v>114</v>
      </c>
      <c r="EAD93" t="s">
        <v>113</v>
      </c>
      <c r="EAE93" t="s">
        <v>398</v>
      </c>
      <c r="EAF93">
        <v>1</v>
      </c>
      <c r="EAG93" t="s">
        <v>438</v>
      </c>
      <c r="EAH93" t="s">
        <v>440</v>
      </c>
      <c r="EAI93" t="s">
        <v>428</v>
      </c>
      <c r="EAK93" t="s">
        <v>114</v>
      </c>
      <c r="EAL93" t="s">
        <v>113</v>
      </c>
      <c r="EAM93" t="s">
        <v>398</v>
      </c>
      <c r="EAN93">
        <v>1</v>
      </c>
      <c r="EAO93" t="s">
        <v>438</v>
      </c>
      <c r="EAP93" t="s">
        <v>440</v>
      </c>
      <c r="EAQ93" t="s">
        <v>428</v>
      </c>
      <c r="EAS93" t="s">
        <v>114</v>
      </c>
      <c r="EAT93" t="s">
        <v>113</v>
      </c>
      <c r="EAU93" t="s">
        <v>398</v>
      </c>
      <c r="EAV93">
        <v>1</v>
      </c>
      <c r="EAW93" t="s">
        <v>438</v>
      </c>
      <c r="EAX93" t="s">
        <v>440</v>
      </c>
      <c r="EAY93" t="s">
        <v>428</v>
      </c>
      <c r="EBA93" t="s">
        <v>114</v>
      </c>
      <c r="EBB93" t="s">
        <v>113</v>
      </c>
      <c r="EBC93" t="s">
        <v>398</v>
      </c>
      <c r="EBD93">
        <v>1</v>
      </c>
      <c r="EBE93" t="s">
        <v>438</v>
      </c>
      <c r="EBF93" t="s">
        <v>440</v>
      </c>
      <c r="EBG93" t="s">
        <v>428</v>
      </c>
      <c r="EBI93" t="s">
        <v>114</v>
      </c>
      <c r="EBJ93" t="s">
        <v>113</v>
      </c>
      <c r="EBK93" t="s">
        <v>398</v>
      </c>
      <c r="EBL93">
        <v>1</v>
      </c>
      <c r="EBM93" t="s">
        <v>438</v>
      </c>
      <c r="EBN93" t="s">
        <v>440</v>
      </c>
      <c r="EBO93" t="s">
        <v>428</v>
      </c>
      <c r="EBQ93" t="s">
        <v>114</v>
      </c>
      <c r="EBR93" t="s">
        <v>113</v>
      </c>
      <c r="EBS93" t="s">
        <v>398</v>
      </c>
      <c r="EBT93">
        <v>1</v>
      </c>
      <c r="EBU93" t="s">
        <v>438</v>
      </c>
      <c r="EBV93" t="s">
        <v>440</v>
      </c>
      <c r="EBW93" t="s">
        <v>428</v>
      </c>
      <c r="EBY93" t="s">
        <v>114</v>
      </c>
      <c r="EBZ93" t="s">
        <v>113</v>
      </c>
      <c r="ECA93" t="s">
        <v>398</v>
      </c>
      <c r="ECB93">
        <v>1</v>
      </c>
      <c r="ECC93" t="s">
        <v>438</v>
      </c>
      <c r="ECD93" t="s">
        <v>440</v>
      </c>
      <c r="ECE93" t="s">
        <v>428</v>
      </c>
      <c r="ECG93" t="s">
        <v>114</v>
      </c>
      <c r="ECH93" t="s">
        <v>113</v>
      </c>
      <c r="ECI93" t="s">
        <v>398</v>
      </c>
      <c r="ECJ93">
        <v>1</v>
      </c>
      <c r="ECK93" t="s">
        <v>438</v>
      </c>
      <c r="ECL93" t="s">
        <v>440</v>
      </c>
      <c r="ECM93" t="s">
        <v>428</v>
      </c>
      <c r="ECO93" t="s">
        <v>114</v>
      </c>
      <c r="ECP93" t="s">
        <v>113</v>
      </c>
      <c r="ECQ93" t="s">
        <v>398</v>
      </c>
      <c r="ECR93">
        <v>1</v>
      </c>
      <c r="ECS93" t="s">
        <v>438</v>
      </c>
      <c r="ECT93" t="s">
        <v>440</v>
      </c>
      <c r="ECU93" t="s">
        <v>428</v>
      </c>
      <c r="ECW93" t="s">
        <v>114</v>
      </c>
      <c r="ECX93" t="s">
        <v>113</v>
      </c>
      <c r="ECY93" t="s">
        <v>398</v>
      </c>
      <c r="ECZ93">
        <v>1</v>
      </c>
      <c r="EDA93" t="s">
        <v>438</v>
      </c>
      <c r="EDB93" t="s">
        <v>440</v>
      </c>
      <c r="EDC93" t="s">
        <v>428</v>
      </c>
      <c r="EDE93" t="s">
        <v>114</v>
      </c>
      <c r="EDF93" t="s">
        <v>113</v>
      </c>
      <c r="EDG93" t="s">
        <v>398</v>
      </c>
      <c r="EDH93">
        <v>1</v>
      </c>
      <c r="EDI93" t="s">
        <v>438</v>
      </c>
      <c r="EDJ93" t="s">
        <v>440</v>
      </c>
      <c r="EDK93" t="s">
        <v>428</v>
      </c>
      <c r="EDM93" t="s">
        <v>114</v>
      </c>
      <c r="EDN93" t="s">
        <v>113</v>
      </c>
      <c r="EDO93" t="s">
        <v>398</v>
      </c>
      <c r="EDP93">
        <v>1</v>
      </c>
      <c r="EDQ93" t="s">
        <v>438</v>
      </c>
      <c r="EDR93" t="s">
        <v>440</v>
      </c>
      <c r="EDS93" t="s">
        <v>428</v>
      </c>
      <c r="EDU93" t="s">
        <v>114</v>
      </c>
      <c r="EDV93" t="s">
        <v>113</v>
      </c>
      <c r="EDW93" t="s">
        <v>398</v>
      </c>
      <c r="EDX93">
        <v>1</v>
      </c>
      <c r="EDY93" t="s">
        <v>438</v>
      </c>
      <c r="EDZ93" t="s">
        <v>440</v>
      </c>
      <c r="EEA93" t="s">
        <v>428</v>
      </c>
      <c r="EEC93" t="s">
        <v>114</v>
      </c>
      <c r="EED93" t="s">
        <v>113</v>
      </c>
      <c r="EEE93" t="s">
        <v>398</v>
      </c>
      <c r="EEF93">
        <v>1</v>
      </c>
      <c r="EEG93" t="s">
        <v>438</v>
      </c>
      <c r="EEH93" t="s">
        <v>440</v>
      </c>
      <c r="EEI93" t="s">
        <v>428</v>
      </c>
      <c r="EEK93" t="s">
        <v>114</v>
      </c>
      <c r="EEL93" t="s">
        <v>113</v>
      </c>
      <c r="EEM93" t="s">
        <v>398</v>
      </c>
      <c r="EEN93">
        <v>1</v>
      </c>
      <c r="EEO93" t="s">
        <v>438</v>
      </c>
      <c r="EEP93" t="s">
        <v>440</v>
      </c>
      <c r="EEQ93" t="s">
        <v>428</v>
      </c>
      <c r="EES93" t="s">
        <v>114</v>
      </c>
      <c r="EET93" t="s">
        <v>113</v>
      </c>
      <c r="EEU93" t="s">
        <v>398</v>
      </c>
      <c r="EEV93">
        <v>1</v>
      </c>
      <c r="EEW93" t="s">
        <v>438</v>
      </c>
      <c r="EEX93" t="s">
        <v>440</v>
      </c>
      <c r="EEY93" t="s">
        <v>428</v>
      </c>
      <c r="EFA93" t="s">
        <v>114</v>
      </c>
      <c r="EFB93" t="s">
        <v>113</v>
      </c>
      <c r="EFC93" t="s">
        <v>398</v>
      </c>
      <c r="EFD93">
        <v>1</v>
      </c>
      <c r="EFE93" t="s">
        <v>438</v>
      </c>
      <c r="EFF93" t="s">
        <v>440</v>
      </c>
      <c r="EFG93" t="s">
        <v>428</v>
      </c>
      <c r="EFI93" t="s">
        <v>114</v>
      </c>
      <c r="EFJ93" t="s">
        <v>113</v>
      </c>
      <c r="EFK93" t="s">
        <v>398</v>
      </c>
      <c r="EFL93">
        <v>1</v>
      </c>
      <c r="EFM93" t="s">
        <v>438</v>
      </c>
      <c r="EFN93" t="s">
        <v>440</v>
      </c>
      <c r="EFO93" t="s">
        <v>428</v>
      </c>
      <c r="EFQ93" t="s">
        <v>114</v>
      </c>
      <c r="EFR93" t="s">
        <v>113</v>
      </c>
      <c r="EFS93" t="s">
        <v>398</v>
      </c>
      <c r="EFT93">
        <v>1</v>
      </c>
      <c r="EFU93" t="s">
        <v>438</v>
      </c>
      <c r="EFV93" t="s">
        <v>440</v>
      </c>
      <c r="EFW93" t="s">
        <v>428</v>
      </c>
      <c r="EFY93" t="s">
        <v>114</v>
      </c>
      <c r="EFZ93" t="s">
        <v>113</v>
      </c>
      <c r="EGA93" t="s">
        <v>398</v>
      </c>
      <c r="EGB93">
        <v>1</v>
      </c>
      <c r="EGC93" t="s">
        <v>438</v>
      </c>
      <c r="EGD93" t="s">
        <v>440</v>
      </c>
      <c r="EGE93" t="s">
        <v>428</v>
      </c>
      <c r="EGG93" t="s">
        <v>114</v>
      </c>
      <c r="EGH93" t="s">
        <v>113</v>
      </c>
      <c r="EGI93" t="s">
        <v>398</v>
      </c>
      <c r="EGJ93">
        <v>1</v>
      </c>
      <c r="EGK93" t="s">
        <v>438</v>
      </c>
      <c r="EGL93" t="s">
        <v>440</v>
      </c>
      <c r="EGM93" t="s">
        <v>428</v>
      </c>
      <c r="EGO93" t="s">
        <v>114</v>
      </c>
      <c r="EGP93" t="s">
        <v>113</v>
      </c>
      <c r="EGQ93" t="s">
        <v>398</v>
      </c>
      <c r="EGR93">
        <v>1</v>
      </c>
      <c r="EGS93" t="s">
        <v>438</v>
      </c>
      <c r="EGT93" t="s">
        <v>440</v>
      </c>
      <c r="EGU93" t="s">
        <v>428</v>
      </c>
      <c r="EGW93" t="s">
        <v>114</v>
      </c>
      <c r="EGX93" t="s">
        <v>113</v>
      </c>
      <c r="EGY93" t="s">
        <v>398</v>
      </c>
      <c r="EGZ93">
        <v>1</v>
      </c>
      <c r="EHA93" t="s">
        <v>438</v>
      </c>
      <c r="EHB93" t="s">
        <v>440</v>
      </c>
      <c r="EHC93" t="s">
        <v>428</v>
      </c>
      <c r="EHE93" t="s">
        <v>114</v>
      </c>
      <c r="EHF93" t="s">
        <v>113</v>
      </c>
      <c r="EHG93" t="s">
        <v>398</v>
      </c>
      <c r="EHH93">
        <v>1</v>
      </c>
      <c r="EHI93" t="s">
        <v>438</v>
      </c>
      <c r="EHJ93" t="s">
        <v>440</v>
      </c>
      <c r="EHK93" t="s">
        <v>428</v>
      </c>
      <c r="EHM93" t="s">
        <v>114</v>
      </c>
      <c r="EHN93" t="s">
        <v>113</v>
      </c>
      <c r="EHO93" t="s">
        <v>398</v>
      </c>
      <c r="EHP93">
        <v>1</v>
      </c>
      <c r="EHQ93" t="s">
        <v>438</v>
      </c>
      <c r="EHR93" t="s">
        <v>440</v>
      </c>
      <c r="EHS93" t="s">
        <v>428</v>
      </c>
      <c r="EHU93" t="s">
        <v>114</v>
      </c>
      <c r="EHV93" t="s">
        <v>113</v>
      </c>
      <c r="EHW93" t="s">
        <v>398</v>
      </c>
      <c r="EHX93">
        <v>1</v>
      </c>
      <c r="EHY93" t="s">
        <v>438</v>
      </c>
      <c r="EHZ93" t="s">
        <v>440</v>
      </c>
      <c r="EIA93" t="s">
        <v>428</v>
      </c>
      <c r="EIC93" t="s">
        <v>114</v>
      </c>
      <c r="EID93" t="s">
        <v>113</v>
      </c>
      <c r="EIE93" t="s">
        <v>398</v>
      </c>
      <c r="EIF93">
        <v>1</v>
      </c>
      <c r="EIG93" t="s">
        <v>438</v>
      </c>
      <c r="EIH93" t="s">
        <v>440</v>
      </c>
      <c r="EII93" t="s">
        <v>428</v>
      </c>
      <c r="EIK93" t="s">
        <v>114</v>
      </c>
      <c r="EIL93" t="s">
        <v>113</v>
      </c>
      <c r="EIM93" t="s">
        <v>398</v>
      </c>
      <c r="EIN93">
        <v>1</v>
      </c>
      <c r="EIO93" t="s">
        <v>438</v>
      </c>
      <c r="EIP93" t="s">
        <v>440</v>
      </c>
      <c r="EIQ93" t="s">
        <v>428</v>
      </c>
      <c r="EIS93" t="s">
        <v>114</v>
      </c>
      <c r="EIT93" t="s">
        <v>113</v>
      </c>
      <c r="EIU93" t="s">
        <v>398</v>
      </c>
      <c r="EIV93">
        <v>1</v>
      </c>
      <c r="EIW93" t="s">
        <v>438</v>
      </c>
      <c r="EIX93" t="s">
        <v>440</v>
      </c>
      <c r="EIY93" t="s">
        <v>428</v>
      </c>
      <c r="EJA93" t="s">
        <v>114</v>
      </c>
      <c r="EJB93" t="s">
        <v>113</v>
      </c>
      <c r="EJC93" t="s">
        <v>398</v>
      </c>
      <c r="EJD93">
        <v>1</v>
      </c>
      <c r="EJE93" t="s">
        <v>438</v>
      </c>
      <c r="EJF93" t="s">
        <v>440</v>
      </c>
      <c r="EJG93" t="s">
        <v>428</v>
      </c>
      <c r="EJI93" t="s">
        <v>114</v>
      </c>
      <c r="EJJ93" t="s">
        <v>113</v>
      </c>
      <c r="EJK93" t="s">
        <v>398</v>
      </c>
      <c r="EJL93">
        <v>1</v>
      </c>
      <c r="EJM93" t="s">
        <v>438</v>
      </c>
      <c r="EJN93" t="s">
        <v>440</v>
      </c>
      <c r="EJO93" t="s">
        <v>428</v>
      </c>
      <c r="EJQ93" t="s">
        <v>114</v>
      </c>
      <c r="EJR93" t="s">
        <v>113</v>
      </c>
      <c r="EJS93" t="s">
        <v>398</v>
      </c>
      <c r="EJT93">
        <v>1</v>
      </c>
      <c r="EJU93" t="s">
        <v>438</v>
      </c>
      <c r="EJV93" t="s">
        <v>440</v>
      </c>
      <c r="EJW93" t="s">
        <v>428</v>
      </c>
      <c r="EJY93" t="s">
        <v>114</v>
      </c>
      <c r="EJZ93" t="s">
        <v>113</v>
      </c>
      <c r="EKA93" t="s">
        <v>398</v>
      </c>
      <c r="EKB93">
        <v>1</v>
      </c>
      <c r="EKC93" t="s">
        <v>438</v>
      </c>
      <c r="EKD93" t="s">
        <v>440</v>
      </c>
      <c r="EKE93" t="s">
        <v>428</v>
      </c>
      <c r="EKG93" t="s">
        <v>114</v>
      </c>
      <c r="EKH93" t="s">
        <v>113</v>
      </c>
      <c r="EKI93" t="s">
        <v>398</v>
      </c>
      <c r="EKJ93">
        <v>1</v>
      </c>
      <c r="EKK93" t="s">
        <v>438</v>
      </c>
      <c r="EKL93" t="s">
        <v>440</v>
      </c>
      <c r="EKM93" t="s">
        <v>428</v>
      </c>
      <c r="EKO93" t="s">
        <v>114</v>
      </c>
      <c r="EKP93" t="s">
        <v>113</v>
      </c>
      <c r="EKQ93" t="s">
        <v>398</v>
      </c>
      <c r="EKR93">
        <v>1</v>
      </c>
      <c r="EKS93" t="s">
        <v>438</v>
      </c>
      <c r="EKT93" t="s">
        <v>440</v>
      </c>
      <c r="EKU93" t="s">
        <v>428</v>
      </c>
      <c r="EKW93" t="s">
        <v>114</v>
      </c>
      <c r="EKX93" t="s">
        <v>113</v>
      </c>
      <c r="EKY93" t="s">
        <v>398</v>
      </c>
      <c r="EKZ93">
        <v>1</v>
      </c>
      <c r="ELA93" t="s">
        <v>438</v>
      </c>
      <c r="ELB93" t="s">
        <v>440</v>
      </c>
      <c r="ELC93" t="s">
        <v>428</v>
      </c>
      <c r="ELE93" t="s">
        <v>114</v>
      </c>
      <c r="ELF93" t="s">
        <v>113</v>
      </c>
      <c r="ELG93" t="s">
        <v>398</v>
      </c>
      <c r="ELH93">
        <v>1</v>
      </c>
      <c r="ELI93" t="s">
        <v>438</v>
      </c>
      <c r="ELJ93" t="s">
        <v>440</v>
      </c>
      <c r="ELK93" t="s">
        <v>428</v>
      </c>
      <c r="ELM93" t="s">
        <v>114</v>
      </c>
      <c r="ELN93" t="s">
        <v>113</v>
      </c>
      <c r="ELO93" t="s">
        <v>398</v>
      </c>
      <c r="ELP93">
        <v>1</v>
      </c>
      <c r="ELQ93" t="s">
        <v>438</v>
      </c>
      <c r="ELR93" t="s">
        <v>440</v>
      </c>
      <c r="ELS93" t="s">
        <v>428</v>
      </c>
      <c r="ELU93" t="s">
        <v>114</v>
      </c>
      <c r="ELV93" t="s">
        <v>113</v>
      </c>
      <c r="ELW93" t="s">
        <v>398</v>
      </c>
      <c r="ELX93">
        <v>1</v>
      </c>
      <c r="ELY93" t="s">
        <v>438</v>
      </c>
      <c r="ELZ93" t="s">
        <v>440</v>
      </c>
      <c r="EMA93" t="s">
        <v>428</v>
      </c>
      <c r="EMC93" t="s">
        <v>114</v>
      </c>
      <c r="EMD93" t="s">
        <v>113</v>
      </c>
      <c r="EME93" t="s">
        <v>398</v>
      </c>
      <c r="EMF93">
        <v>1</v>
      </c>
      <c r="EMG93" t="s">
        <v>438</v>
      </c>
      <c r="EMH93" t="s">
        <v>440</v>
      </c>
      <c r="EMI93" t="s">
        <v>428</v>
      </c>
      <c r="EMK93" t="s">
        <v>114</v>
      </c>
      <c r="EML93" t="s">
        <v>113</v>
      </c>
      <c r="EMM93" t="s">
        <v>398</v>
      </c>
      <c r="EMN93">
        <v>1</v>
      </c>
      <c r="EMO93" t="s">
        <v>438</v>
      </c>
      <c r="EMP93" t="s">
        <v>440</v>
      </c>
      <c r="EMQ93" t="s">
        <v>428</v>
      </c>
      <c r="EMS93" t="s">
        <v>114</v>
      </c>
      <c r="EMT93" t="s">
        <v>113</v>
      </c>
      <c r="EMU93" t="s">
        <v>398</v>
      </c>
      <c r="EMV93">
        <v>1</v>
      </c>
      <c r="EMW93" t="s">
        <v>438</v>
      </c>
      <c r="EMX93" t="s">
        <v>440</v>
      </c>
      <c r="EMY93" t="s">
        <v>428</v>
      </c>
      <c r="ENA93" t="s">
        <v>114</v>
      </c>
      <c r="ENB93" t="s">
        <v>113</v>
      </c>
      <c r="ENC93" t="s">
        <v>398</v>
      </c>
      <c r="END93">
        <v>1</v>
      </c>
      <c r="ENE93" t="s">
        <v>438</v>
      </c>
      <c r="ENF93" t="s">
        <v>440</v>
      </c>
      <c r="ENG93" t="s">
        <v>428</v>
      </c>
      <c r="ENI93" t="s">
        <v>114</v>
      </c>
      <c r="ENJ93" t="s">
        <v>113</v>
      </c>
      <c r="ENK93" t="s">
        <v>398</v>
      </c>
      <c r="ENL93">
        <v>1</v>
      </c>
      <c r="ENM93" t="s">
        <v>438</v>
      </c>
      <c r="ENN93" t="s">
        <v>440</v>
      </c>
      <c r="ENO93" t="s">
        <v>428</v>
      </c>
      <c r="ENQ93" t="s">
        <v>114</v>
      </c>
      <c r="ENR93" t="s">
        <v>113</v>
      </c>
      <c r="ENS93" t="s">
        <v>398</v>
      </c>
      <c r="ENT93">
        <v>1</v>
      </c>
      <c r="ENU93" t="s">
        <v>438</v>
      </c>
      <c r="ENV93" t="s">
        <v>440</v>
      </c>
      <c r="ENW93" t="s">
        <v>428</v>
      </c>
      <c r="ENY93" t="s">
        <v>114</v>
      </c>
      <c r="ENZ93" t="s">
        <v>113</v>
      </c>
      <c r="EOA93" t="s">
        <v>398</v>
      </c>
      <c r="EOB93">
        <v>1</v>
      </c>
      <c r="EOC93" t="s">
        <v>438</v>
      </c>
      <c r="EOD93" t="s">
        <v>440</v>
      </c>
      <c r="EOE93" t="s">
        <v>428</v>
      </c>
      <c r="EOG93" t="s">
        <v>114</v>
      </c>
      <c r="EOH93" t="s">
        <v>113</v>
      </c>
      <c r="EOI93" t="s">
        <v>398</v>
      </c>
      <c r="EOJ93">
        <v>1</v>
      </c>
      <c r="EOK93" t="s">
        <v>438</v>
      </c>
      <c r="EOL93" t="s">
        <v>440</v>
      </c>
      <c r="EOM93" t="s">
        <v>428</v>
      </c>
      <c r="EOO93" t="s">
        <v>114</v>
      </c>
      <c r="EOP93" t="s">
        <v>113</v>
      </c>
      <c r="EOQ93" t="s">
        <v>398</v>
      </c>
      <c r="EOR93">
        <v>1</v>
      </c>
      <c r="EOS93" t="s">
        <v>438</v>
      </c>
      <c r="EOT93" t="s">
        <v>440</v>
      </c>
      <c r="EOU93" t="s">
        <v>428</v>
      </c>
      <c r="EOW93" t="s">
        <v>114</v>
      </c>
      <c r="EOX93" t="s">
        <v>113</v>
      </c>
      <c r="EOY93" t="s">
        <v>398</v>
      </c>
      <c r="EOZ93">
        <v>1</v>
      </c>
      <c r="EPA93" t="s">
        <v>438</v>
      </c>
      <c r="EPB93" t="s">
        <v>440</v>
      </c>
      <c r="EPC93" t="s">
        <v>428</v>
      </c>
      <c r="EPE93" t="s">
        <v>114</v>
      </c>
      <c r="EPF93" t="s">
        <v>113</v>
      </c>
      <c r="EPG93" t="s">
        <v>398</v>
      </c>
      <c r="EPH93">
        <v>1</v>
      </c>
      <c r="EPI93" t="s">
        <v>438</v>
      </c>
      <c r="EPJ93" t="s">
        <v>440</v>
      </c>
      <c r="EPK93" t="s">
        <v>428</v>
      </c>
      <c r="EPM93" t="s">
        <v>114</v>
      </c>
      <c r="EPN93" t="s">
        <v>113</v>
      </c>
      <c r="EPO93" t="s">
        <v>398</v>
      </c>
      <c r="EPP93">
        <v>1</v>
      </c>
      <c r="EPQ93" t="s">
        <v>438</v>
      </c>
      <c r="EPR93" t="s">
        <v>440</v>
      </c>
      <c r="EPS93" t="s">
        <v>428</v>
      </c>
      <c r="EPU93" t="s">
        <v>114</v>
      </c>
      <c r="EPV93" t="s">
        <v>113</v>
      </c>
      <c r="EPW93" t="s">
        <v>398</v>
      </c>
      <c r="EPX93">
        <v>1</v>
      </c>
      <c r="EPY93" t="s">
        <v>438</v>
      </c>
      <c r="EPZ93" t="s">
        <v>440</v>
      </c>
      <c r="EQA93" t="s">
        <v>428</v>
      </c>
      <c r="EQC93" t="s">
        <v>114</v>
      </c>
      <c r="EQD93" t="s">
        <v>113</v>
      </c>
      <c r="EQE93" t="s">
        <v>398</v>
      </c>
      <c r="EQF93">
        <v>1</v>
      </c>
      <c r="EQG93" t="s">
        <v>438</v>
      </c>
      <c r="EQH93" t="s">
        <v>440</v>
      </c>
      <c r="EQI93" t="s">
        <v>428</v>
      </c>
      <c r="EQK93" t="s">
        <v>114</v>
      </c>
      <c r="EQL93" t="s">
        <v>113</v>
      </c>
      <c r="EQM93" t="s">
        <v>398</v>
      </c>
      <c r="EQN93">
        <v>1</v>
      </c>
      <c r="EQO93" t="s">
        <v>438</v>
      </c>
      <c r="EQP93" t="s">
        <v>440</v>
      </c>
      <c r="EQQ93" t="s">
        <v>428</v>
      </c>
      <c r="EQS93" t="s">
        <v>114</v>
      </c>
      <c r="EQT93" t="s">
        <v>113</v>
      </c>
      <c r="EQU93" t="s">
        <v>398</v>
      </c>
      <c r="EQV93">
        <v>1</v>
      </c>
      <c r="EQW93" t="s">
        <v>438</v>
      </c>
      <c r="EQX93" t="s">
        <v>440</v>
      </c>
      <c r="EQY93" t="s">
        <v>428</v>
      </c>
      <c r="ERA93" t="s">
        <v>114</v>
      </c>
      <c r="ERB93" t="s">
        <v>113</v>
      </c>
      <c r="ERC93" t="s">
        <v>398</v>
      </c>
      <c r="ERD93">
        <v>1</v>
      </c>
      <c r="ERE93" t="s">
        <v>438</v>
      </c>
      <c r="ERF93" t="s">
        <v>440</v>
      </c>
      <c r="ERG93" t="s">
        <v>428</v>
      </c>
      <c r="ERI93" t="s">
        <v>114</v>
      </c>
      <c r="ERJ93" t="s">
        <v>113</v>
      </c>
      <c r="ERK93" t="s">
        <v>398</v>
      </c>
      <c r="ERL93">
        <v>1</v>
      </c>
      <c r="ERM93" t="s">
        <v>438</v>
      </c>
      <c r="ERN93" t="s">
        <v>440</v>
      </c>
      <c r="ERO93" t="s">
        <v>428</v>
      </c>
      <c r="ERQ93" t="s">
        <v>114</v>
      </c>
      <c r="ERR93" t="s">
        <v>113</v>
      </c>
      <c r="ERS93" t="s">
        <v>398</v>
      </c>
      <c r="ERT93">
        <v>1</v>
      </c>
      <c r="ERU93" t="s">
        <v>438</v>
      </c>
      <c r="ERV93" t="s">
        <v>440</v>
      </c>
      <c r="ERW93" t="s">
        <v>428</v>
      </c>
      <c r="ERY93" t="s">
        <v>114</v>
      </c>
      <c r="ERZ93" t="s">
        <v>113</v>
      </c>
      <c r="ESA93" t="s">
        <v>398</v>
      </c>
      <c r="ESB93">
        <v>1</v>
      </c>
      <c r="ESC93" t="s">
        <v>438</v>
      </c>
      <c r="ESD93" t="s">
        <v>440</v>
      </c>
      <c r="ESE93" t="s">
        <v>428</v>
      </c>
      <c r="ESG93" t="s">
        <v>114</v>
      </c>
      <c r="ESH93" t="s">
        <v>113</v>
      </c>
      <c r="ESI93" t="s">
        <v>398</v>
      </c>
      <c r="ESJ93">
        <v>1</v>
      </c>
      <c r="ESK93" t="s">
        <v>438</v>
      </c>
      <c r="ESL93" t="s">
        <v>440</v>
      </c>
      <c r="ESM93" t="s">
        <v>428</v>
      </c>
      <c r="ESO93" t="s">
        <v>114</v>
      </c>
      <c r="ESP93" t="s">
        <v>113</v>
      </c>
      <c r="ESQ93" t="s">
        <v>398</v>
      </c>
      <c r="ESR93">
        <v>1</v>
      </c>
      <c r="ESS93" t="s">
        <v>438</v>
      </c>
      <c r="EST93" t="s">
        <v>440</v>
      </c>
      <c r="ESU93" t="s">
        <v>428</v>
      </c>
      <c r="ESW93" t="s">
        <v>114</v>
      </c>
      <c r="ESX93" t="s">
        <v>113</v>
      </c>
      <c r="ESY93" t="s">
        <v>398</v>
      </c>
      <c r="ESZ93">
        <v>1</v>
      </c>
      <c r="ETA93" t="s">
        <v>438</v>
      </c>
      <c r="ETB93" t="s">
        <v>440</v>
      </c>
      <c r="ETC93" t="s">
        <v>428</v>
      </c>
      <c r="ETE93" t="s">
        <v>114</v>
      </c>
      <c r="ETF93" t="s">
        <v>113</v>
      </c>
      <c r="ETG93" t="s">
        <v>398</v>
      </c>
      <c r="ETH93">
        <v>1</v>
      </c>
      <c r="ETI93" t="s">
        <v>438</v>
      </c>
      <c r="ETJ93" t="s">
        <v>440</v>
      </c>
      <c r="ETK93" t="s">
        <v>428</v>
      </c>
      <c r="ETM93" t="s">
        <v>114</v>
      </c>
      <c r="ETN93" t="s">
        <v>113</v>
      </c>
      <c r="ETO93" t="s">
        <v>398</v>
      </c>
      <c r="ETP93">
        <v>1</v>
      </c>
      <c r="ETQ93" t="s">
        <v>438</v>
      </c>
      <c r="ETR93" t="s">
        <v>440</v>
      </c>
      <c r="ETS93" t="s">
        <v>428</v>
      </c>
      <c r="ETU93" t="s">
        <v>114</v>
      </c>
      <c r="ETV93" t="s">
        <v>113</v>
      </c>
      <c r="ETW93" t="s">
        <v>398</v>
      </c>
      <c r="ETX93">
        <v>1</v>
      </c>
      <c r="ETY93" t="s">
        <v>438</v>
      </c>
      <c r="ETZ93" t="s">
        <v>440</v>
      </c>
      <c r="EUA93" t="s">
        <v>428</v>
      </c>
      <c r="EUC93" t="s">
        <v>114</v>
      </c>
      <c r="EUD93" t="s">
        <v>113</v>
      </c>
      <c r="EUE93" t="s">
        <v>398</v>
      </c>
      <c r="EUF93">
        <v>1</v>
      </c>
      <c r="EUG93" t="s">
        <v>438</v>
      </c>
      <c r="EUH93" t="s">
        <v>440</v>
      </c>
      <c r="EUI93" t="s">
        <v>428</v>
      </c>
      <c r="EUK93" t="s">
        <v>114</v>
      </c>
      <c r="EUL93" t="s">
        <v>113</v>
      </c>
      <c r="EUM93" t="s">
        <v>398</v>
      </c>
      <c r="EUN93">
        <v>1</v>
      </c>
      <c r="EUO93" t="s">
        <v>438</v>
      </c>
      <c r="EUP93" t="s">
        <v>440</v>
      </c>
      <c r="EUQ93" t="s">
        <v>428</v>
      </c>
      <c r="EUS93" t="s">
        <v>114</v>
      </c>
      <c r="EUT93" t="s">
        <v>113</v>
      </c>
      <c r="EUU93" t="s">
        <v>398</v>
      </c>
      <c r="EUV93">
        <v>1</v>
      </c>
      <c r="EUW93" t="s">
        <v>438</v>
      </c>
      <c r="EUX93" t="s">
        <v>440</v>
      </c>
      <c r="EUY93" t="s">
        <v>428</v>
      </c>
      <c r="EVA93" t="s">
        <v>114</v>
      </c>
      <c r="EVB93" t="s">
        <v>113</v>
      </c>
      <c r="EVC93" t="s">
        <v>398</v>
      </c>
      <c r="EVD93">
        <v>1</v>
      </c>
      <c r="EVE93" t="s">
        <v>438</v>
      </c>
      <c r="EVF93" t="s">
        <v>440</v>
      </c>
      <c r="EVG93" t="s">
        <v>428</v>
      </c>
      <c r="EVI93" t="s">
        <v>114</v>
      </c>
      <c r="EVJ93" t="s">
        <v>113</v>
      </c>
      <c r="EVK93" t="s">
        <v>398</v>
      </c>
      <c r="EVL93">
        <v>1</v>
      </c>
      <c r="EVM93" t="s">
        <v>438</v>
      </c>
      <c r="EVN93" t="s">
        <v>440</v>
      </c>
      <c r="EVO93" t="s">
        <v>428</v>
      </c>
      <c r="EVQ93" t="s">
        <v>114</v>
      </c>
      <c r="EVR93" t="s">
        <v>113</v>
      </c>
      <c r="EVS93" t="s">
        <v>398</v>
      </c>
      <c r="EVT93">
        <v>1</v>
      </c>
      <c r="EVU93" t="s">
        <v>438</v>
      </c>
      <c r="EVV93" t="s">
        <v>440</v>
      </c>
      <c r="EVW93" t="s">
        <v>428</v>
      </c>
      <c r="EVY93" t="s">
        <v>114</v>
      </c>
      <c r="EVZ93" t="s">
        <v>113</v>
      </c>
      <c r="EWA93" t="s">
        <v>398</v>
      </c>
      <c r="EWB93">
        <v>1</v>
      </c>
      <c r="EWC93" t="s">
        <v>438</v>
      </c>
      <c r="EWD93" t="s">
        <v>440</v>
      </c>
      <c r="EWE93" t="s">
        <v>428</v>
      </c>
      <c r="EWG93" t="s">
        <v>114</v>
      </c>
      <c r="EWH93" t="s">
        <v>113</v>
      </c>
      <c r="EWI93" t="s">
        <v>398</v>
      </c>
      <c r="EWJ93">
        <v>1</v>
      </c>
      <c r="EWK93" t="s">
        <v>438</v>
      </c>
      <c r="EWL93" t="s">
        <v>440</v>
      </c>
      <c r="EWM93" t="s">
        <v>428</v>
      </c>
      <c r="EWO93" t="s">
        <v>114</v>
      </c>
      <c r="EWP93" t="s">
        <v>113</v>
      </c>
      <c r="EWQ93" t="s">
        <v>398</v>
      </c>
      <c r="EWR93">
        <v>1</v>
      </c>
      <c r="EWS93" t="s">
        <v>438</v>
      </c>
      <c r="EWT93" t="s">
        <v>440</v>
      </c>
      <c r="EWU93" t="s">
        <v>428</v>
      </c>
      <c r="EWW93" t="s">
        <v>114</v>
      </c>
      <c r="EWX93" t="s">
        <v>113</v>
      </c>
      <c r="EWY93" t="s">
        <v>398</v>
      </c>
      <c r="EWZ93">
        <v>1</v>
      </c>
      <c r="EXA93" t="s">
        <v>438</v>
      </c>
      <c r="EXB93" t="s">
        <v>440</v>
      </c>
      <c r="EXC93" t="s">
        <v>428</v>
      </c>
      <c r="EXE93" t="s">
        <v>114</v>
      </c>
      <c r="EXF93" t="s">
        <v>113</v>
      </c>
      <c r="EXG93" t="s">
        <v>398</v>
      </c>
      <c r="EXH93">
        <v>1</v>
      </c>
      <c r="EXI93" t="s">
        <v>438</v>
      </c>
      <c r="EXJ93" t="s">
        <v>440</v>
      </c>
      <c r="EXK93" t="s">
        <v>428</v>
      </c>
      <c r="EXM93" t="s">
        <v>114</v>
      </c>
      <c r="EXN93" t="s">
        <v>113</v>
      </c>
      <c r="EXO93" t="s">
        <v>398</v>
      </c>
      <c r="EXP93">
        <v>1</v>
      </c>
      <c r="EXQ93" t="s">
        <v>438</v>
      </c>
      <c r="EXR93" t="s">
        <v>440</v>
      </c>
      <c r="EXS93" t="s">
        <v>428</v>
      </c>
      <c r="EXU93" t="s">
        <v>114</v>
      </c>
      <c r="EXV93" t="s">
        <v>113</v>
      </c>
      <c r="EXW93" t="s">
        <v>398</v>
      </c>
      <c r="EXX93">
        <v>1</v>
      </c>
      <c r="EXY93" t="s">
        <v>438</v>
      </c>
      <c r="EXZ93" t="s">
        <v>440</v>
      </c>
      <c r="EYA93" t="s">
        <v>428</v>
      </c>
      <c r="EYC93" t="s">
        <v>114</v>
      </c>
      <c r="EYD93" t="s">
        <v>113</v>
      </c>
      <c r="EYE93" t="s">
        <v>398</v>
      </c>
      <c r="EYF93">
        <v>1</v>
      </c>
      <c r="EYG93" t="s">
        <v>438</v>
      </c>
      <c r="EYH93" t="s">
        <v>440</v>
      </c>
      <c r="EYI93" t="s">
        <v>428</v>
      </c>
      <c r="EYK93" t="s">
        <v>114</v>
      </c>
      <c r="EYL93" t="s">
        <v>113</v>
      </c>
      <c r="EYM93" t="s">
        <v>398</v>
      </c>
      <c r="EYN93">
        <v>1</v>
      </c>
      <c r="EYO93" t="s">
        <v>438</v>
      </c>
      <c r="EYP93" t="s">
        <v>440</v>
      </c>
      <c r="EYQ93" t="s">
        <v>428</v>
      </c>
      <c r="EYS93" t="s">
        <v>114</v>
      </c>
      <c r="EYT93" t="s">
        <v>113</v>
      </c>
      <c r="EYU93" t="s">
        <v>398</v>
      </c>
      <c r="EYV93">
        <v>1</v>
      </c>
      <c r="EYW93" t="s">
        <v>438</v>
      </c>
      <c r="EYX93" t="s">
        <v>440</v>
      </c>
      <c r="EYY93" t="s">
        <v>428</v>
      </c>
      <c r="EZA93" t="s">
        <v>114</v>
      </c>
      <c r="EZB93" t="s">
        <v>113</v>
      </c>
      <c r="EZC93" t="s">
        <v>398</v>
      </c>
      <c r="EZD93">
        <v>1</v>
      </c>
      <c r="EZE93" t="s">
        <v>438</v>
      </c>
      <c r="EZF93" t="s">
        <v>440</v>
      </c>
      <c r="EZG93" t="s">
        <v>428</v>
      </c>
      <c r="EZI93" t="s">
        <v>114</v>
      </c>
      <c r="EZJ93" t="s">
        <v>113</v>
      </c>
      <c r="EZK93" t="s">
        <v>398</v>
      </c>
      <c r="EZL93">
        <v>1</v>
      </c>
      <c r="EZM93" t="s">
        <v>438</v>
      </c>
      <c r="EZN93" t="s">
        <v>440</v>
      </c>
      <c r="EZO93" t="s">
        <v>428</v>
      </c>
      <c r="EZQ93" t="s">
        <v>114</v>
      </c>
      <c r="EZR93" t="s">
        <v>113</v>
      </c>
      <c r="EZS93" t="s">
        <v>398</v>
      </c>
      <c r="EZT93">
        <v>1</v>
      </c>
      <c r="EZU93" t="s">
        <v>438</v>
      </c>
      <c r="EZV93" t="s">
        <v>440</v>
      </c>
      <c r="EZW93" t="s">
        <v>428</v>
      </c>
      <c r="EZY93" t="s">
        <v>114</v>
      </c>
      <c r="EZZ93" t="s">
        <v>113</v>
      </c>
      <c r="FAA93" t="s">
        <v>398</v>
      </c>
      <c r="FAB93">
        <v>1</v>
      </c>
      <c r="FAC93" t="s">
        <v>438</v>
      </c>
      <c r="FAD93" t="s">
        <v>440</v>
      </c>
      <c r="FAE93" t="s">
        <v>428</v>
      </c>
      <c r="FAG93" t="s">
        <v>114</v>
      </c>
      <c r="FAH93" t="s">
        <v>113</v>
      </c>
      <c r="FAI93" t="s">
        <v>398</v>
      </c>
      <c r="FAJ93">
        <v>1</v>
      </c>
      <c r="FAK93" t="s">
        <v>438</v>
      </c>
      <c r="FAL93" t="s">
        <v>440</v>
      </c>
      <c r="FAM93" t="s">
        <v>428</v>
      </c>
      <c r="FAO93" t="s">
        <v>114</v>
      </c>
      <c r="FAP93" t="s">
        <v>113</v>
      </c>
      <c r="FAQ93" t="s">
        <v>398</v>
      </c>
      <c r="FAR93">
        <v>1</v>
      </c>
      <c r="FAS93" t="s">
        <v>438</v>
      </c>
      <c r="FAT93" t="s">
        <v>440</v>
      </c>
      <c r="FAU93" t="s">
        <v>428</v>
      </c>
      <c r="FAW93" t="s">
        <v>114</v>
      </c>
      <c r="FAX93" t="s">
        <v>113</v>
      </c>
      <c r="FAY93" t="s">
        <v>398</v>
      </c>
      <c r="FAZ93">
        <v>1</v>
      </c>
      <c r="FBA93" t="s">
        <v>438</v>
      </c>
      <c r="FBB93" t="s">
        <v>440</v>
      </c>
      <c r="FBC93" t="s">
        <v>428</v>
      </c>
      <c r="FBE93" t="s">
        <v>114</v>
      </c>
      <c r="FBF93" t="s">
        <v>113</v>
      </c>
      <c r="FBG93" t="s">
        <v>398</v>
      </c>
      <c r="FBH93">
        <v>1</v>
      </c>
      <c r="FBI93" t="s">
        <v>438</v>
      </c>
      <c r="FBJ93" t="s">
        <v>440</v>
      </c>
      <c r="FBK93" t="s">
        <v>428</v>
      </c>
      <c r="FBM93" t="s">
        <v>114</v>
      </c>
      <c r="FBN93" t="s">
        <v>113</v>
      </c>
      <c r="FBO93" t="s">
        <v>398</v>
      </c>
      <c r="FBP93">
        <v>1</v>
      </c>
      <c r="FBQ93" t="s">
        <v>438</v>
      </c>
      <c r="FBR93" t="s">
        <v>440</v>
      </c>
      <c r="FBS93" t="s">
        <v>428</v>
      </c>
      <c r="FBU93" t="s">
        <v>114</v>
      </c>
      <c r="FBV93" t="s">
        <v>113</v>
      </c>
      <c r="FBW93" t="s">
        <v>398</v>
      </c>
      <c r="FBX93">
        <v>1</v>
      </c>
      <c r="FBY93" t="s">
        <v>438</v>
      </c>
      <c r="FBZ93" t="s">
        <v>440</v>
      </c>
      <c r="FCA93" t="s">
        <v>428</v>
      </c>
      <c r="FCC93" t="s">
        <v>114</v>
      </c>
      <c r="FCD93" t="s">
        <v>113</v>
      </c>
      <c r="FCE93" t="s">
        <v>398</v>
      </c>
      <c r="FCF93">
        <v>1</v>
      </c>
      <c r="FCG93" t="s">
        <v>438</v>
      </c>
      <c r="FCH93" t="s">
        <v>440</v>
      </c>
      <c r="FCI93" t="s">
        <v>428</v>
      </c>
      <c r="FCK93" t="s">
        <v>114</v>
      </c>
      <c r="FCL93" t="s">
        <v>113</v>
      </c>
      <c r="FCM93" t="s">
        <v>398</v>
      </c>
      <c r="FCN93">
        <v>1</v>
      </c>
      <c r="FCO93" t="s">
        <v>438</v>
      </c>
      <c r="FCP93" t="s">
        <v>440</v>
      </c>
      <c r="FCQ93" t="s">
        <v>428</v>
      </c>
      <c r="FCS93" t="s">
        <v>114</v>
      </c>
      <c r="FCT93" t="s">
        <v>113</v>
      </c>
      <c r="FCU93" t="s">
        <v>398</v>
      </c>
      <c r="FCV93">
        <v>1</v>
      </c>
      <c r="FCW93" t="s">
        <v>438</v>
      </c>
      <c r="FCX93" t="s">
        <v>440</v>
      </c>
      <c r="FCY93" t="s">
        <v>428</v>
      </c>
      <c r="FDA93" t="s">
        <v>114</v>
      </c>
      <c r="FDB93" t="s">
        <v>113</v>
      </c>
      <c r="FDC93" t="s">
        <v>398</v>
      </c>
      <c r="FDD93">
        <v>1</v>
      </c>
      <c r="FDE93" t="s">
        <v>438</v>
      </c>
      <c r="FDF93" t="s">
        <v>440</v>
      </c>
      <c r="FDG93" t="s">
        <v>428</v>
      </c>
      <c r="FDI93" t="s">
        <v>114</v>
      </c>
      <c r="FDJ93" t="s">
        <v>113</v>
      </c>
      <c r="FDK93" t="s">
        <v>398</v>
      </c>
      <c r="FDL93">
        <v>1</v>
      </c>
      <c r="FDM93" t="s">
        <v>438</v>
      </c>
      <c r="FDN93" t="s">
        <v>440</v>
      </c>
      <c r="FDO93" t="s">
        <v>428</v>
      </c>
      <c r="FDQ93" t="s">
        <v>114</v>
      </c>
      <c r="FDR93" t="s">
        <v>113</v>
      </c>
      <c r="FDS93" t="s">
        <v>398</v>
      </c>
      <c r="FDT93">
        <v>1</v>
      </c>
      <c r="FDU93" t="s">
        <v>438</v>
      </c>
      <c r="FDV93" t="s">
        <v>440</v>
      </c>
      <c r="FDW93" t="s">
        <v>428</v>
      </c>
      <c r="FDY93" t="s">
        <v>114</v>
      </c>
      <c r="FDZ93" t="s">
        <v>113</v>
      </c>
      <c r="FEA93" t="s">
        <v>398</v>
      </c>
      <c r="FEB93">
        <v>1</v>
      </c>
      <c r="FEC93" t="s">
        <v>438</v>
      </c>
      <c r="FED93" t="s">
        <v>440</v>
      </c>
      <c r="FEE93" t="s">
        <v>428</v>
      </c>
      <c r="FEG93" t="s">
        <v>114</v>
      </c>
      <c r="FEH93" t="s">
        <v>113</v>
      </c>
      <c r="FEI93" t="s">
        <v>398</v>
      </c>
      <c r="FEJ93">
        <v>1</v>
      </c>
      <c r="FEK93" t="s">
        <v>438</v>
      </c>
      <c r="FEL93" t="s">
        <v>440</v>
      </c>
      <c r="FEM93" t="s">
        <v>428</v>
      </c>
      <c r="FEO93" t="s">
        <v>114</v>
      </c>
      <c r="FEP93" t="s">
        <v>113</v>
      </c>
      <c r="FEQ93" t="s">
        <v>398</v>
      </c>
      <c r="FER93">
        <v>1</v>
      </c>
      <c r="FES93" t="s">
        <v>438</v>
      </c>
      <c r="FET93" t="s">
        <v>440</v>
      </c>
      <c r="FEU93" t="s">
        <v>428</v>
      </c>
      <c r="FEW93" t="s">
        <v>114</v>
      </c>
      <c r="FEX93" t="s">
        <v>113</v>
      </c>
      <c r="FEY93" t="s">
        <v>398</v>
      </c>
      <c r="FEZ93">
        <v>1</v>
      </c>
      <c r="FFA93" t="s">
        <v>438</v>
      </c>
      <c r="FFB93" t="s">
        <v>440</v>
      </c>
      <c r="FFC93" t="s">
        <v>428</v>
      </c>
      <c r="FFE93" t="s">
        <v>114</v>
      </c>
      <c r="FFF93" t="s">
        <v>113</v>
      </c>
      <c r="FFG93" t="s">
        <v>398</v>
      </c>
      <c r="FFH93">
        <v>1</v>
      </c>
      <c r="FFI93" t="s">
        <v>438</v>
      </c>
      <c r="FFJ93" t="s">
        <v>440</v>
      </c>
      <c r="FFK93" t="s">
        <v>428</v>
      </c>
      <c r="FFM93" t="s">
        <v>114</v>
      </c>
      <c r="FFN93" t="s">
        <v>113</v>
      </c>
      <c r="FFO93" t="s">
        <v>398</v>
      </c>
      <c r="FFP93">
        <v>1</v>
      </c>
      <c r="FFQ93" t="s">
        <v>438</v>
      </c>
      <c r="FFR93" t="s">
        <v>440</v>
      </c>
      <c r="FFS93" t="s">
        <v>428</v>
      </c>
      <c r="FFU93" t="s">
        <v>114</v>
      </c>
      <c r="FFV93" t="s">
        <v>113</v>
      </c>
      <c r="FFW93" t="s">
        <v>398</v>
      </c>
      <c r="FFX93">
        <v>1</v>
      </c>
      <c r="FFY93" t="s">
        <v>438</v>
      </c>
      <c r="FFZ93" t="s">
        <v>440</v>
      </c>
      <c r="FGA93" t="s">
        <v>428</v>
      </c>
      <c r="FGC93" t="s">
        <v>114</v>
      </c>
      <c r="FGD93" t="s">
        <v>113</v>
      </c>
      <c r="FGE93" t="s">
        <v>398</v>
      </c>
      <c r="FGF93">
        <v>1</v>
      </c>
      <c r="FGG93" t="s">
        <v>438</v>
      </c>
      <c r="FGH93" t="s">
        <v>440</v>
      </c>
      <c r="FGI93" t="s">
        <v>428</v>
      </c>
      <c r="FGK93" t="s">
        <v>114</v>
      </c>
      <c r="FGL93" t="s">
        <v>113</v>
      </c>
      <c r="FGM93" t="s">
        <v>398</v>
      </c>
      <c r="FGN93">
        <v>1</v>
      </c>
      <c r="FGO93" t="s">
        <v>438</v>
      </c>
      <c r="FGP93" t="s">
        <v>440</v>
      </c>
      <c r="FGQ93" t="s">
        <v>428</v>
      </c>
      <c r="FGS93" t="s">
        <v>114</v>
      </c>
      <c r="FGT93" t="s">
        <v>113</v>
      </c>
      <c r="FGU93" t="s">
        <v>398</v>
      </c>
      <c r="FGV93">
        <v>1</v>
      </c>
      <c r="FGW93" t="s">
        <v>438</v>
      </c>
      <c r="FGX93" t="s">
        <v>440</v>
      </c>
      <c r="FGY93" t="s">
        <v>428</v>
      </c>
      <c r="FHA93" t="s">
        <v>114</v>
      </c>
      <c r="FHB93" t="s">
        <v>113</v>
      </c>
      <c r="FHC93" t="s">
        <v>398</v>
      </c>
      <c r="FHD93">
        <v>1</v>
      </c>
      <c r="FHE93" t="s">
        <v>438</v>
      </c>
      <c r="FHF93" t="s">
        <v>440</v>
      </c>
      <c r="FHG93" t="s">
        <v>428</v>
      </c>
      <c r="FHI93" t="s">
        <v>114</v>
      </c>
      <c r="FHJ93" t="s">
        <v>113</v>
      </c>
      <c r="FHK93" t="s">
        <v>398</v>
      </c>
      <c r="FHL93">
        <v>1</v>
      </c>
      <c r="FHM93" t="s">
        <v>438</v>
      </c>
      <c r="FHN93" t="s">
        <v>440</v>
      </c>
      <c r="FHO93" t="s">
        <v>428</v>
      </c>
      <c r="FHQ93" t="s">
        <v>114</v>
      </c>
      <c r="FHR93" t="s">
        <v>113</v>
      </c>
      <c r="FHS93" t="s">
        <v>398</v>
      </c>
      <c r="FHT93">
        <v>1</v>
      </c>
      <c r="FHU93" t="s">
        <v>438</v>
      </c>
      <c r="FHV93" t="s">
        <v>440</v>
      </c>
      <c r="FHW93" t="s">
        <v>428</v>
      </c>
      <c r="FHY93" t="s">
        <v>114</v>
      </c>
      <c r="FHZ93" t="s">
        <v>113</v>
      </c>
      <c r="FIA93" t="s">
        <v>398</v>
      </c>
      <c r="FIB93">
        <v>1</v>
      </c>
      <c r="FIC93" t="s">
        <v>438</v>
      </c>
      <c r="FID93" t="s">
        <v>440</v>
      </c>
      <c r="FIE93" t="s">
        <v>428</v>
      </c>
      <c r="FIG93" t="s">
        <v>114</v>
      </c>
      <c r="FIH93" t="s">
        <v>113</v>
      </c>
      <c r="FII93" t="s">
        <v>398</v>
      </c>
      <c r="FIJ93">
        <v>1</v>
      </c>
      <c r="FIK93" t="s">
        <v>438</v>
      </c>
      <c r="FIL93" t="s">
        <v>440</v>
      </c>
      <c r="FIM93" t="s">
        <v>428</v>
      </c>
      <c r="FIO93" t="s">
        <v>114</v>
      </c>
      <c r="FIP93" t="s">
        <v>113</v>
      </c>
      <c r="FIQ93" t="s">
        <v>398</v>
      </c>
      <c r="FIR93">
        <v>1</v>
      </c>
      <c r="FIS93" t="s">
        <v>438</v>
      </c>
      <c r="FIT93" t="s">
        <v>440</v>
      </c>
      <c r="FIU93" t="s">
        <v>428</v>
      </c>
      <c r="FIW93" t="s">
        <v>114</v>
      </c>
      <c r="FIX93" t="s">
        <v>113</v>
      </c>
      <c r="FIY93" t="s">
        <v>398</v>
      </c>
      <c r="FIZ93">
        <v>1</v>
      </c>
      <c r="FJA93" t="s">
        <v>438</v>
      </c>
      <c r="FJB93" t="s">
        <v>440</v>
      </c>
      <c r="FJC93" t="s">
        <v>428</v>
      </c>
      <c r="FJE93" t="s">
        <v>114</v>
      </c>
      <c r="FJF93" t="s">
        <v>113</v>
      </c>
      <c r="FJG93" t="s">
        <v>398</v>
      </c>
      <c r="FJH93">
        <v>1</v>
      </c>
      <c r="FJI93" t="s">
        <v>438</v>
      </c>
      <c r="FJJ93" t="s">
        <v>440</v>
      </c>
      <c r="FJK93" t="s">
        <v>428</v>
      </c>
      <c r="FJM93" t="s">
        <v>114</v>
      </c>
      <c r="FJN93" t="s">
        <v>113</v>
      </c>
      <c r="FJO93" t="s">
        <v>398</v>
      </c>
      <c r="FJP93">
        <v>1</v>
      </c>
      <c r="FJQ93" t="s">
        <v>438</v>
      </c>
      <c r="FJR93" t="s">
        <v>440</v>
      </c>
      <c r="FJS93" t="s">
        <v>428</v>
      </c>
      <c r="FJU93" t="s">
        <v>114</v>
      </c>
      <c r="FJV93" t="s">
        <v>113</v>
      </c>
      <c r="FJW93" t="s">
        <v>398</v>
      </c>
      <c r="FJX93">
        <v>1</v>
      </c>
      <c r="FJY93" t="s">
        <v>438</v>
      </c>
      <c r="FJZ93" t="s">
        <v>440</v>
      </c>
      <c r="FKA93" t="s">
        <v>428</v>
      </c>
      <c r="FKC93" t="s">
        <v>114</v>
      </c>
      <c r="FKD93" t="s">
        <v>113</v>
      </c>
      <c r="FKE93" t="s">
        <v>398</v>
      </c>
      <c r="FKF93">
        <v>1</v>
      </c>
      <c r="FKG93" t="s">
        <v>438</v>
      </c>
      <c r="FKH93" t="s">
        <v>440</v>
      </c>
      <c r="FKI93" t="s">
        <v>428</v>
      </c>
      <c r="FKK93" t="s">
        <v>114</v>
      </c>
      <c r="FKL93" t="s">
        <v>113</v>
      </c>
      <c r="FKM93" t="s">
        <v>398</v>
      </c>
      <c r="FKN93">
        <v>1</v>
      </c>
      <c r="FKO93" t="s">
        <v>438</v>
      </c>
      <c r="FKP93" t="s">
        <v>440</v>
      </c>
      <c r="FKQ93" t="s">
        <v>428</v>
      </c>
      <c r="FKS93" t="s">
        <v>114</v>
      </c>
      <c r="FKT93" t="s">
        <v>113</v>
      </c>
      <c r="FKU93" t="s">
        <v>398</v>
      </c>
      <c r="FKV93">
        <v>1</v>
      </c>
      <c r="FKW93" t="s">
        <v>438</v>
      </c>
      <c r="FKX93" t="s">
        <v>440</v>
      </c>
      <c r="FKY93" t="s">
        <v>428</v>
      </c>
      <c r="FLA93" t="s">
        <v>114</v>
      </c>
      <c r="FLB93" t="s">
        <v>113</v>
      </c>
      <c r="FLC93" t="s">
        <v>398</v>
      </c>
      <c r="FLD93">
        <v>1</v>
      </c>
      <c r="FLE93" t="s">
        <v>438</v>
      </c>
      <c r="FLF93" t="s">
        <v>440</v>
      </c>
      <c r="FLG93" t="s">
        <v>428</v>
      </c>
      <c r="FLI93" t="s">
        <v>114</v>
      </c>
      <c r="FLJ93" t="s">
        <v>113</v>
      </c>
      <c r="FLK93" t="s">
        <v>398</v>
      </c>
      <c r="FLL93">
        <v>1</v>
      </c>
      <c r="FLM93" t="s">
        <v>438</v>
      </c>
      <c r="FLN93" t="s">
        <v>440</v>
      </c>
      <c r="FLO93" t="s">
        <v>428</v>
      </c>
      <c r="FLQ93" t="s">
        <v>114</v>
      </c>
      <c r="FLR93" t="s">
        <v>113</v>
      </c>
      <c r="FLS93" t="s">
        <v>398</v>
      </c>
      <c r="FLT93">
        <v>1</v>
      </c>
      <c r="FLU93" t="s">
        <v>438</v>
      </c>
      <c r="FLV93" t="s">
        <v>440</v>
      </c>
      <c r="FLW93" t="s">
        <v>428</v>
      </c>
      <c r="FLY93" t="s">
        <v>114</v>
      </c>
      <c r="FLZ93" t="s">
        <v>113</v>
      </c>
      <c r="FMA93" t="s">
        <v>398</v>
      </c>
      <c r="FMB93">
        <v>1</v>
      </c>
      <c r="FMC93" t="s">
        <v>438</v>
      </c>
      <c r="FMD93" t="s">
        <v>440</v>
      </c>
      <c r="FME93" t="s">
        <v>428</v>
      </c>
      <c r="FMG93" t="s">
        <v>114</v>
      </c>
      <c r="FMH93" t="s">
        <v>113</v>
      </c>
      <c r="FMI93" t="s">
        <v>398</v>
      </c>
      <c r="FMJ93">
        <v>1</v>
      </c>
      <c r="FMK93" t="s">
        <v>438</v>
      </c>
      <c r="FML93" t="s">
        <v>440</v>
      </c>
      <c r="FMM93" t="s">
        <v>428</v>
      </c>
      <c r="FMO93" t="s">
        <v>114</v>
      </c>
      <c r="FMP93" t="s">
        <v>113</v>
      </c>
      <c r="FMQ93" t="s">
        <v>398</v>
      </c>
      <c r="FMR93">
        <v>1</v>
      </c>
      <c r="FMS93" t="s">
        <v>438</v>
      </c>
      <c r="FMT93" t="s">
        <v>440</v>
      </c>
      <c r="FMU93" t="s">
        <v>428</v>
      </c>
      <c r="FMW93" t="s">
        <v>114</v>
      </c>
      <c r="FMX93" t="s">
        <v>113</v>
      </c>
      <c r="FMY93" t="s">
        <v>398</v>
      </c>
      <c r="FMZ93">
        <v>1</v>
      </c>
      <c r="FNA93" t="s">
        <v>438</v>
      </c>
      <c r="FNB93" t="s">
        <v>440</v>
      </c>
      <c r="FNC93" t="s">
        <v>428</v>
      </c>
      <c r="FNE93" t="s">
        <v>114</v>
      </c>
      <c r="FNF93" t="s">
        <v>113</v>
      </c>
      <c r="FNG93" t="s">
        <v>398</v>
      </c>
      <c r="FNH93">
        <v>1</v>
      </c>
      <c r="FNI93" t="s">
        <v>438</v>
      </c>
      <c r="FNJ93" t="s">
        <v>440</v>
      </c>
      <c r="FNK93" t="s">
        <v>428</v>
      </c>
      <c r="FNM93" t="s">
        <v>114</v>
      </c>
      <c r="FNN93" t="s">
        <v>113</v>
      </c>
      <c r="FNO93" t="s">
        <v>398</v>
      </c>
      <c r="FNP93">
        <v>1</v>
      </c>
      <c r="FNQ93" t="s">
        <v>438</v>
      </c>
      <c r="FNR93" t="s">
        <v>440</v>
      </c>
      <c r="FNS93" t="s">
        <v>428</v>
      </c>
      <c r="FNU93" t="s">
        <v>114</v>
      </c>
      <c r="FNV93" t="s">
        <v>113</v>
      </c>
      <c r="FNW93" t="s">
        <v>398</v>
      </c>
      <c r="FNX93">
        <v>1</v>
      </c>
      <c r="FNY93" t="s">
        <v>438</v>
      </c>
      <c r="FNZ93" t="s">
        <v>440</v>
      </c>
      <c r="FOA93" t="s">
        <v>428</v>
      </c>
      <c r="FOC93" t="s">
        <v>114</v>
      </c>
      <c r="FOD93" t="s">
        <v>113</v>
      </c>
      <c r="FOE93" t="s">
        <v>398</v>
      </c>
      <c r="FOF93">
        <v>1</v>
      </c>
      <c r="FOG93" t="s">
        <v>438</v>
      </c>
      <c r="FOH93" t="s">
        <v>440</v>
      </c>
      <c r="FOI93" t="s">
        <v>428</v>
      </c>
      <c r="FOK93" t="s">
        <v>114</v>
      </c>
      <c r="FOL93" t="s">
        <v>113</v>
      </c>
      <c r="FOM93" t="s">
        <v>398</v>
      </c>
      <c r="FON93">
        <v>1</v>
      </c>
      <c r="FOO93" t="s">
        <v>438</v>
      </c>
      <c r="FOP93" t="s">
        <v>440</v>
      </c>
      <c r="FOQ93" t="s">
        <v>428</v>
      </c>
      <c r="FOS93" t="s">
        <v>114</v>
      </c>
      <c r="FOT93" t="s">
        <v>113</v>
      </c>
      <c r="FOU93" t="s">
        <v>398</v>
      </c>
      <c r="FOV93">
        <v>1</v>
      </c>
      <c r="FOW93" t="s">
        <v>438</v>
      </c>
      <c r="FOX93" t="s">
        <v>440</v>
      </c>
      <c r="FOY93" t="s">
        <v>428</v>
      </c>
      <c r="FPA93" t="s">
        <v>114</v>
      </c>
      <c r="FPB93" t="s">
        <v>113</v>
      </c>
      <c r="FPC93" t="s">
        <v>398</v>
      </c>
      <c r="FPD93">
        <v>1</v>
      </c>
      <c r="FPE93" t="s">
        <v>438</v>
      </c>
      <c r="FPF93" t="s">
        <v>440</v>
      </c>
      <c r="FPG93" t="s">
        <v>428</v>
      </c>
      <c r="FPI93" t="s">
        <v>114</v>
      </c>
      <c r="FPJ93" t="s">
        <v>113</v>
      </c>
      <c r="FPK93" t="s">
        <v>398</v>
      </c>
      <c r="FPL93">
        <v>1</v>
      </c>
      <c r="FPM93" t="s">
        <v>438</v>
      </c>
      <c r="FPN93" t="s">
        <v>440</v>
      </c>
      <c r="FPO93" t="s">
        <v>428</v>
      </c>
      <c r="FPQ93" t="s">
        <v>114</v>
      </c>
      <c r="FPR93" t="s">
        <v>113</v>
      </c>
      <c r="FPS93" t="s">
        <v>398</v>
      </c>
      <c r="FPT93">
        <v>1</v>
      </c>
      <c r="FPU93" t="s">
        <v>438</v>
      </c>
      <c r="FPV93" t="s">
        <v>440</v>
      </c>
      <c r="FPW93" t="s">
        <v>428</v>
      </c>
      <c r="FPY93" t="s">
        <v>114</v>
      </c>
      <c r="FPZ93" t="s">
        <v>113</v>
      </c>
      <c r="FQA93" t="s">
        <v>398</v>
      </c>
      <c r="FQB93">
        <v>1</v>
      </c>
      <c r="FQC93" t="s">
        <v>438</v>
      </c>
      <c r="FQD93" t="s">
        <v>440</v>
      </c>
      <c r="FQE93" t="s">
        <v>428</v>
      </c>
      <c r="FQG93" t="s">
        <v>114</v>
      </c>
      <c r="FQH93" t="s">
        <v>113</v>
      </c>
      <c r="FQI93" t="s">
        <v>398</v>
      </c>
      <c r="FQJ93">
        <v>1</v>
      </c>
      <c r="FQK93" t="s">
        <v>438</v>
      </c>
      <c r="FQL93" t="s">
        <v>440</v>
      </c>
      <c r="FQM93" t="s">
        <v>428</v>
      </c>
      <c r="FQO93" t="s">
        <v>114</v>
      </c>
      <c r="FQP93" t="s">
        <v>113</v>
      </c>
      <c r="FQQ93" t="s">
        <v>398</v>
      </c>
      <c r="FQR93">
        <v>1</v>
      </c>
      <c r="FQS93" t="s">
        <v>438</v>
      </c>
      <c r="FQT93" t="s">
        <v>440</v>
      </c>
      <c r="FQU93" t="s">
        <v>428</v>
      </c>
      <c r="FQW93" t="s">
        <v>114</v>
      </c>
      <c r="FQX93" t="s">
        <v>113</v>
      </c>
      <c r="FQY93" t="s">
        <v>398</v>
      </c>
      <c r="FQZ93">
        <v>1</v>
      </c>
      <c r="FRA93" t="s">
        <v>438</v>
      </c>
      <c r="FRB93" t="s">
        <v>440</v>
      </c>
      <c r="FRC93" t="s">
        <v>428</v>
      </c>
      <c r="FRE93" t="s">
        <v>114</v>
      </c>
      <c r="FRF93" t="s">
        <v>113</v>
      </c>
      <c r="FRG93" t="s">
        <v>398</v>
      </c>
      <c r="FRH93">
        <v>1</v>
      </c>
      <c r="FRI93" t="s">
        <v>438</v>
      </c>
      <c r="FRJ93" t="s">
        <v>440</v>
      </c>
      <c r="FRK93" t="s">
        <v>428</v>
      </c>
      <c r="FRM93" t="s">
        <v>114</v>
      </c>
      <c r="FRN93" t="s">
        <v>113</v>
      </c>
      <c r="FRO93" t="s">
        <v>398</v>
      </c>
      <c r="FRP93">
        <v>1</v>
      </c>
      <c r="FRQ93" t="s">
        <v>438</v>
      </c>
      <c r="FRR93" t="s">
        <v>440</v>
      </c>
      <c r="FRS93" t="s">
        <v>428</v>
      </c>
      <c r="FRU93" t="s">
        <v>114</v>
      </c>
      <c r="FRV93" t="s">
        <v>113</v>
      </c>
      <c r="FRW93" t="s">
        <v>398</v>
      </c>
      <c r="FRX93">
        <v>1</v>
      </c>
      <c r="FRY93" t="s">
        <v>438</v>
      </c>
      <c r="FRZ93" t="s">
        <v>440</v>
      </c>
      <c r="FSA93" t="s">
        <v>428</v>
      </c>
      <c r="FSC93" t="s">
        <v>114</v>
      </c>
      <c r="FSD93" t="s">
        <v>113</v>
      </c>
      <c r="FSE93" t="s">
        <v>398</v>
      </c>
      <c r="FSF93">
        <v>1</v>
      </c>
      <c r="FSG93" t="s">
        <v>438</v>
      </c>
      <c r="FSH93" t="s">
        <v>440</v>
      </c>
      <c r="FSI93" t="s">
        <v>428</v>
      </c>
      <c r="FSK93" t="s">
        <v>114</v>
      </c>
      <c r="FSL93" t="s">
        <v>113</v>
      </c>
      <c r="FSM93" t="s">
        <v>398</v>
      </c>
      <c r="FSN93">
        <v>1</v>
      </c>
      <c r="FSO93" t="s">
        <v>438</v>
      </c>
      <c r="FSP93" t="s">
        <v>440</v>
      </c>
      <c r="FSQ93" t="s">
        <v>428</v>
      </c>
      <c r="FSS93" t="s">
        <v>114</v>
      </c>
      <c r="FST93" t="s">
        <v>113</v>
      </c>
      <c r="FSU93" t="s">
        <v>398</v>
      </c>
      <c r="FSV93">
        <v>1</v>
      </c>
      <c r="FSW93" t="s">
        <v>438</v>
      </c>
      <c r="FSX93" t="s">
        <v>440</v>
      </c>
      <c r="FSY93" t="s">
        <v>428</v>
      </c>
      <c r="FTA93" t="s">
        <v>114</v>
      </c>
      <c r="FTB93" t="s">
        <v>113</v>
      </c>
      <c r="FTC93" t="s">
        <v>398</v>
      </c>
      <c r="FTD93">
        <v>1</v>
      </c>
      <c r="FTE93" t="s">
        <v>438</v>
      </c>
      <c r="FTF93" t="s">
        <v>440</v>
      </c>
      <c r="FTG93" t="s">
        <v>428</v>
      </c>
      <c r="FTI93" t="s">
        <v>114</v>
      </c>
      <c r="FTJ93" t="s">
        <v>113</v>
      </c>
      <c r="FTK93" t="s">
        <v>398</v>
      </c>
      <c r="FTL93">
        <v>1</v>
      </c>
      <c r="FTM93" t="s">
        <v>438</v>
      </c>
      <c r="FTN93" t="s">
        <v>440</v>
      </c>
      <c r="FTO93" t="s">
        <v>428</v>
      </c>
      <c r="FTQ93" t="s">
        <v>114</v>
      </c>
      <c r="FTR93" t="s">
        <v>113</v>
      </c>
      <c r="FTS93" t="s">
        <v>398</v>
      </c>
      <c r="FTT93">
        <v>1</v>
      </c>
      <c r="FTU93" t="s">
        <v>438</v>
      </c>
      <c r="FTV93" t="s">
        <v>440</v>
      </c>
      <c r="FTW93" t="s">
        <v>428</v>
      </c>
      <c r="FTY93" t="s">
        <v>114</v>
      </c>
      <c r="FTZ93" t="s">
        <v>113</v>
      </c>
      <c r="FUA93" t="s">
        <v>398</v>
      </c>
      <c r="FUB93">
        <v>1</v>
      </c>
      <c r="FUC93" t="s">
        <v>438</v>
      </c>
      <c r="FUD93" t="s">
        <v>440</v>
      </c>
      <c r="FUE93" t="s">
        <v>428</v>
      </c>
      <c r="FUG93" t="s">
        <v>114</v>
      </c>
      <c r="FUH93" t="s">
        <v>113</v>
      </c>
      <c r="FUI93" t="s">
        <v>398</v>
      </c>
      <c r="FUJ93">
        <v>1</v>
      </c>
      <c r="FUK93" t="s">
        <v>438</v>
      </c>
      <c r="FUL93" t="s">
        <v>440</v>
      </c>
      <c r="FUM93" t="s">
        <v>428</v>
      </c>
      <c r="FUO93" t="s">
        <v>114</v>
      </c>
      <c r="FUP93" t="s">
        <v>113</v>
      </c>
      <c r="FUQ93" t="s">
        <v>398</v>
      </c>
      <c r="FUR93">
        <v>1</v>
      </c>
      <c r="FUS93" t="s">
        <v>438</v>
      </c>
      <c r="FUT93" t="s">
        <v>440</v>
      </c>
      <c r="FUU93" t="s">
        <v>428</v>
      </c>
      <c r="FUW93" t="s">
        <v>114</v>
      </c>
      <c r="FUX93" t="s">
        <v>113</v>
      </c>
      <c r="FUY93" t="s">
        <v>398</v>
      </c>
      <c r="FUZ93">
        <v>1</v>
      </c>
      <c r="FVA93" t="s">
        <v>438</v>
      </c>
      <c r="FVB93" t="s">
        <v>440</v>
      </c>
      <c r="FVC93" t="s">
        <v>428</v>
      </c>
      <c r="FVE93" t="s">
        <v>114</v>
      </c>
      <c r="FVF93" t="s">
        <v>113</v>
      </c>
      <c r="FVG93" t="s">
        <v>398</v>
      </c>
      <c r="FVH93">
        <v>1</v>
      </c>
      <c r="FVI93" t="s">
        <v>438</v>
      </c>
      <c r="FVJ93" t="s">
        <v>440</v>
      </c>
      <c r="FVK93" t="s">
        <v>428</v>
      </c>
      <c r="FVM93" t="s">
        <v>114</v>
      </c>
      <c r="FVN93" t="s">
        <v>113</v>
      </c>
      <c r="FVO93" t="s">
        <v>398</v>
      </c>
      <c r="FVP93">
        <v>1</v>
      </c>
      <c r="FVQ93" t="s">
        <v>438</v>
      </c>
      <c r="FVR93" t="s">
        <v>440</v>
      </c>
      <c r="FVS93" t="s">
        <v>428</v>
      </c>
      <c r="FVU93" t="s">
        <v>114</v>
      </c>
      <c r="FVV93" t="s">
        <v>113</v>
      </c>
      <c r="FVW93" t="s">
        <v>398</v>
      </c>
      <c r="FVX93">
        <v>1</v>
      </c>
      <c r="FVY93" t="s">
        <v>438</v>
      </c>
      <c r="FVZ93" t="s">
        <v>440</v>
      </c>
      <c r="FWA93" t="s">
        <v>428</v>
      </c>
      <c r="FWC93" t="s">
        <v>114</v>
      </c>
      <c r="FWD93" t="s">
        <v>113</v>
      </c>
      <c r="FWE93" t="s">
        <v>398</v>
      </c>
      <c r="FWF93">
        <v>1</v>
      </c>
      <c r="FWG93" t="s">
        <v>438</v>
      </c>
      <c r="FWH93" t="s">
        <v>440</v>
      </c>
      <c r="FWI93" t="s">
        <v>428</v>
      </c>
      <c r="FWK93" t="s">
        <v>114</v>
      </c>
      <c r="FWL93" t="s">
        <v>113</v>
      </c>
      <c r="FWM93" t="s">
        <v>398</v>
      </c>
      <c r="FWN93">
        <v>1</v>
      </c>
      <c r="FWO93" t="s">
        <v>438</v>
      </c>
      <c r="FWP93" t="s">
        <v>440</v>
      </c>
      <c r="FWQ93" t="s">
        <v>428</v>
      </c>
      <c r="FWS93" t="s">
        <v>114</v>
      </c>
      <c r="FWT93" t="s">
        <v>113</v>
      </c>
      <c r="FWU93" t="s">
        <v>398</v>
      </c>
      <c r="FWV93">
        <v>1</v>
      </c>
      <c r="FWW93" t="s">
        <v>438</v>
      </c>
      <c r="FWX93" t="s">
        <v>440</v>
      </c>
      <c r="FWY93" t="s">
        <v>428</v>
      </c>
      <c r="FXA93" t="s">
        <v>114</v>
      </c>
      <c r="FXB93" t="s">
        <v>113</v>
      </c>
      <c r="FXC93" t="s">
        <v>398</v>
      </c>
      <c r="FXD93">
        <v>1</v>
      </c>
      <c r="FXE93" t="s">
        <v>438</v>
      </c>
      <c r="FXF93" t="s">
        <v>440</v>
      </c>
      <c r="FXG93" t="s">
        <v>428</v>
      </c>
      <c r="FXI93" t="s">
        <v>114</v>
      </c>
      <c r="FXJ93" t="s">
        <v>113</v>
      </c>
      <c r="FXK93" t="s">
        <v>398</v>
      </c>
      <c r="FXL93">
        <v>1</v>
      </c>
      <c r="FXM93" t="s">
        <v>438</v>
      </c>
      <c r="FXN93" t="s">
        <v>440</v>
      </c>
      <c r="FXO93" t="s">
        <v>428</v>
      </c>
      <c r="FXQ93" t="s">
        <v>114</v>
      </c>
      <c r="FXR93" t="s">
        <v>113</v>
      </c>
      <c r="FXS93" t="s">
        <v>398</v>
      </c>
      <c r="FXT93">
        <v>1</v>
      </c>
      <c r="FXU93" t="s">
        <v>438</v>
      </c>
      <c r="FXV93" t="s">
        <v>440</v>
      </c>
      <c r="FXW93" t="s">
        <v>428</v>
      </c>
      <c r="FXY93" t="s">
        <v>114</v>
      </c>
      <c r="FXZ93" t="s">
        <v>113</v>
      </c>
      <c r="FYA93" t="s">
        <v>398</v>
      </c>
      <c r="FYB93">
        <v>1</v>
      </c>
      <c r="FYC93" t="s">
        <v>438</v>
      </c>
      <c r="FYD93" t="s">
        <v>440</v>
      </c>
      <c r="FYE93" t="s">
        <v>428</v>
      </c>
      <c r="FYG93" t="s">
        <v>114</v>
      </c>
      <c r="FYH93" t="s">
        <v>113</v>
      </c>
      <c r="FYI93" t="s">
        <v>398</v>
      </c>
      <c r="FYJ93">
        <v>1</v>
      </c>
      <c r="FYK93" t="s">
        <v>438</v>
      </c>
      <c r="FYL93" t="s">
        <v>440</v>
      </c>
      <c r="FYM93" t="s">
        <v>428</v>
      </c>
      <c r="FYO93" t="s">
        <v>114</v>
      </c>
      <c r="FYP93" t="s">
        <v>113</v>
      </c>
      <c r="FYQ93" t="s">
        <v>398</v>
      </c>
      <c r="FYR93">
        <v>1</v>
      </c>
      <c r="FYS93" t="s">
        <v>438</v>
      </c>
      <c r="FYT93" t="s">
        <v>440</v>
      </c>
      <c r="FYU93" t="s">
        <v>428</v>
      </c>
      <c r="FYW93" t="s">
        <v>114</v>
      </c>
      <c r="FYX93" t="s">
        <v>113</v>
      </c>
      <c r="FYY93" t="s">
        <v>398</v>
      </c>
      <c r="FYZ93">
        <v>1</v>
      </c>
      <c r="FZA93" t="s">
        <v>438</v>
      </c>
      <c r="FZB93" t="s">
        <v>440</v>
      </c>
      <c r="FZC93" t="s">
        <v>428</v>
      </c>
      <c r="FZE93" t="s">
        <v>114</v>
      </c>
      <c r="FZF93" t="s">
        <v>113</v>
      </c>
      <c r="FZG93" t="s">
        <v>398</v>
      </c>
      <c r="FZH93">
        <v>1</v>
      </c>
      <c r="FZI93" t="s">
        <v>438</v>
      </c>
      <c r="FZJ93" t="s">
        <v>440</v>
      </c>
      <c r="FZK93" t="s">
        <v>428</v>
      </c>
      <c r="FZM93" t="s">
        <v>114</v>
      </c>
      <c r="FZN93" t="s">
        <v>113</v>
      </c>
      <c r="FZO93" t="s">
        <v>398</v>
      </c>
      <c r="FZP93">
        <v>1</v>
      </c>
      <c r="FZQ93" t="s">
        <v>438</v>
      </c>
      <c r="FZR93" t="s">
        <v>440</v>
      </c>
      <c r="FZS93" t="s">
        <v>428</v>
      </c>
      <c r="FZU93" t="s">
        <v>114</v>
      </c>
      <c r="FZV93" t="s">
        <v>113</v>
      </c>
      <c r="FZW93" t="s">
        <v>398</v>
      </c>
      <c r="FZX93">
        <v>1</v>
      </c>
      <c r="FZY93" t="s">
        <v>438</v>
      </c>
      <c r="FZZ93" t="s">
        <v>440</v>
      </c>
      <c r="GAA93" t="s">
        <v>428</v>
      </c>
      <c r="GAC93" t="s">
        <v>114</v>
      </c>
      <c r="GAD93" t="s">
        <v>113</v>
      </c>
      <c r="GAE93" t="s">
        <v>398</v>
      </c>
      <c r="GAF93">
        <v>1</v>
      </c>
      <c r="GAG93" t="s">
        <v>438</v>
      </c>
      <c r="GAH93" t="s">
        <v>440</v>
      </c>
      <c r="GAI93" t="s">
        <v>428</v>
      </c>
      <c r="GAK93" t="s">
        <v>114</v>
      </c>
      <c r="GAL93" t="s">
        <v>113</v>
      </c>
      <c r="GAM93" t="s">
        <v>398</v>
      </c>
      <c r="GAN93">
        <v>1</v>
      </c>
      <c r="GAO93" t="s">
        <v>438</v>
      </c>
      <c r="GAP93" t="s">
        <v>440</v>
      </c>
      <c r="GAQ93" t="s">
        <v>428</v>
      </c>
      <c r="GAS93" t="s">
        <v>114</v>
      </c>
      <c r="GAT93" t="s">
        <v>113</v>
      </c>
      <c r="GAU93" t="s">
        <v>398</v>
      </c>
      <c r="GAV93">
        <v>1</v>
      </c>
      <c r="GAW93" t="s">
        <v>438</v>
      </c>
      <c r="GAX93" t="s">
        <v>440</v>
      </c>
      <c r="GAY93" t="s">
        <v>428</v>
      </c>
      <c r="GBA93" t="s">
        <v>114</v>
      </c>
      <c r="GBB93" t="s">
        <v>113</v>
      </c>
      <c r="GBC93" t="s">
        <v>398</v>
      </c>
      <c r="GBD93">
        <v>1</v>
      </c>
      <c r="GBE93" t="s">
        <v>438</v>
      </c>
      <c r="GBF93" t="s">
        <v>440</v>
      </c>
      <c r="GBG93" t="s">
        <v>428</v>
      </c>
      <c r="GBI93" t="s">
        <v>114</v>
      </c>
      <c r="GBJ93" t="s">
        <v>113</v>
      </c>
      <c r="GBK93" t="s">
        <v>398</v>
      </c>
      <c r="GBL93">
        <v>1</v>
      </c>
      <c r="GBM93" t="s">
        <v>438</v>
      </c>
      <c r="GBN93" t="s">
        <v>440</v>
      </c>
      <c r="GBO93" t="s">
        <v>428</v>
      </c>
      <c r="GBQ93" t="s">
        <v>114</v>
      </c>
      <c r="GBR93" t="s">
        <v>113</v>
      </c>
      <c r="GBS93" t="s">
        <v>398</v>
      </c>
      <c r="GBT93">
        <v>1</v>
      </c>
      <c r="GBU93" t="s">
        <v>438</v>
      </c>
      <c r="GBV93" t="s">
        <v>440</v>
      </c>
      <c r="GBW93" t="s">
        <v>428</v>
      </c>
      <c r="GBY93" t="s">
        <v>114</v>
      </c>
      <c r="GBZ93" t="s">
        <v>113</v>
      </c>
      <c r="GCA93" t="s">
        <v>398</v>
      </c>
      <c r="GCB93">
        <v>1</v>
      </c>
      <c r="GCC93" t="s">
        <v>438</v>
      </c>
      <c r="GCD93" t="s">
        <v>440</v>
      </c>
      <c r="GCE93" t="s">
        <v>428</v>
      </c>
      <c r="GCG93" t="s">
        <v>114</v>
      </c>
      <c r="GCH93" t="s">
        <v>113</v>
      </c>
      <c r="GCI93" t="s">
        <v>398</v>
      </c>
      <c r="GCJ93">
        <v>1</v>
      </c>
      <c r="GCK93" t="s">
        <v>438</v>
      </c>
      <c r="GCL93" t="s">
        <v>440</v>
      </c>
      <c r="GCM93" t="s">
        <v>428</v>
      </c>
      <c r="GCO93" t="s">
        <v>114</v>
      </c>
      <c r="GCP93" t="s">
        <v>113</v>
      </c>
      <c r="GCQ93" t="s">
        <v>398</v>
      </c>
      <c r="GCR93">
        <v>1</v>
      </c>
      <c r="GCS93" t="s">
        <v>438</v>
      </c>
      <c r="GCT93" t="s">
        <v>440</v>
      </c>
      <c r="GCU93" t="s">
        <v>428</v>
      </c>
      <c r="GCW93" t="s">
        <v>114</v>
      </c>
      <c r="GCX93" t="s">
        <v>113</v>
      </c>
      <c r="GCY93" t="s">
        <v>398</v>
      </c>
      <c r="GCZ93">
        <v>1</v>
      </c>
      <c r="GDA93" t="s">
        <v>438</v>
      </c>
      <c r="GDB93" t="s">
        <v>440</v>
      </c>
      <c r="GDC93" t="s">
        <v>428</v>
      </c>
      <c r="GDE93" t="s">
        <v>114</v>
      </c>
      <c r="GDF93" t="s">
        <v>113</v>
      </c>
      <c r="GDG93" t="s">
        <v>398</v>
      </c>
      <c r="GDH93">
        <v>1</v>
      </c>
      <c r="GDI93" t="s">
        <v>438</v>
      </c>
      <c r="GDJ93" t="s">
        <v>440</v>
      </c>
      <c r="GDK93" t="s">
        <v>428</v>
      </c>
      <c r="GDM93" t="s">
        <v>114</v>
      </c>
      <c r="GDN93" t="s">
        <v>113</v>
      </c>
      <c r="GDO93" t="s">
        <v>398</v>
      </c>
      <c r="GDP93">
        <v>1</v>
      </c>
      <c r="GDQ93" t="s">
        <v>438</v>
      </c>
      <c r="GDR93" t="s">
        <v>440</v>
      </c>
      <c r="GDS93" t="s">
        <v>428</v>
      </c>
      <c r="GDU93" t="s">
        <v>114</v>
      </c>
      <c r="GDV93" t="s">
        <v>113</v>
      </c>
      <c r="GDW93" t="s">
        <v>398</v>
      </c>
      <c r="GDX93">
        <v>1</v>
      </c>
      <c r="GDY93" t="s">
        <v>438</v>
      </c>
      <c r="GDZ93" t="s">
        <v>440</v>
      </c>
      <c r="GEA93" t="s">
        <v>428</v>
      </c>
      <c r="GEC93" t="s">
        <v>114</v>
      </c>
      <c r="GED93" t="s">
        <v>113</v>
      </c>
      <c r="GEE93" t="s">
        <v>398</v>
      </c>
      <c r="GEF93">
        <v>1</v>
      </c>
      <c r="GEG93" t="s">
        <v>438</v>
      </c>
      <c r="GEH93" t="s">
        <v>440</v>
      </c>
      <c r="GEI93" t="s">
        <v>428</v>
      </c>
      <c r="GEK93" t="s">
        <v>114</v>
      </c>
      <c r="GEL93" t="s">
        <v>113</v>
      </c>
      <c r="GEM93" t="s">
        <v>398</v>
      </c>
      <c r="GEN93">
        <v>1</v>
      </c>
      <c r="GEO93" t="s">
        <v>438</v>
      </c>
      <c r="GEP93" t="s">
        <v>440</v>
      </c>
      <c r="GEQ93" t="s">
        <v>428</v>
      </c>
      <c r="GES93" t="s">
        <v>114</v>
      </c>
      <c r="GET93" t="s">
        <v>113</v>
      </c>
      <c r="GEU93" t="s">
        <v>398</v>
      </c>
      <c r="GEV93">
        <v>1</v>
      </c>
      <c r="GEW93" t="s">
        <v>438</v>
      </c>
      <c r="GEX93" t="s">
        <v>440</v>
      </c>
      <c r="GEY93" t="s">
        <v>428</v>
      </c>
      <c r="GFA93" t="s">
        <v>114</v>
      </c>
      <c r="GFB93" t="s">
        <v>113</v>
      </c>
      <c r="GFC93" t="s">
        <v>398</v>
      </c>
      <c r="GFD93">
        <v>1</v>
      </c>
      <c r="GFE93" t="s">
        <v>438</v>
      </c>
      <c r="GFF93" t="s">
        <v>440</v>
      </c>
      <c r="GFG93" t="s">
        <v>428</v>
      </c>
      <c r="GFI93" t="s">
        <v>114</v>
      </c>
      <c r="GFJ93" t="s">
        <v>113</v>
      </c>
      <c r="GFK93" t="s">
        <v>398</v>
      </c>
      <c r="GFL93">
        <v>1</v>
      </c>
      <c r="GFM93" t="s">
        <v>438</v>
      </c>
      <c r="GFN93" t="s">
        <v>440</v>
      </c>
      <c r="GFO93" t="s">
        <v>428</v>
      </c>
      <c r="GFQ93" t="s">
        <v>114</v>
      </c>
      <c r="GFR93" t="s">
        <v>113</v>
      </c>
      <c r="GFS93" t="s">
        <v>398</v>
      </c>
      <c r="GFT93">
        <v>1</v>
      </c>
      <c r="GFU93" t="s">
        <v>438</v>
      </c>
      <c r="GFV93" t="s">
        <v>440</v>
      </c>
      <c r="GFW93" t="s">
        <v>428</v>
      </c>
      <c r="GFY93" t="s">
        <v>114</v>
      </c>
      <c r="GFZ93" t="s">
        <v>113</v>
      </c>
      <c r="GGA93" t="s">
        <v>398</v>
      </c>
      <c r="GGB93">
        <v>1</v>
      </c>
      <c r="GGC93" t="s">
        <v>438</v>
      </c>
      <c r="GGD93" t="s">
        <v>440</v>
      </c>
      <c r="GGE93" t="s">
        <v>428</v>
      </c>
      <c r="GGG93" t="s">
        <v>114</v>
      </c>
      <c r="GGH93" t="s">
        <v>113</v>
      </c>
      <c r="GGI93" t="s">
        <v>398</v>
      </c>
      <c r="GGJ93">
        <v>1</v>
      </c>
      <c r="GGK93" t="s">
        <v>438</v>
      </c>
      <c r="GGL93" t="s">
        <v>440</v>
      </c>
      <c r="GGM93" t="s">
        <v>428</v>
      </c>
      <c r="GGO93" t="s">
        <v>114</v>
      </c>
      <c r="GGP93" t="s">
        <v>113</v>
      </c>
      <c r="GGQ93" t="s">
        <v>398</v>
      </c>
      <c r="GGR93">
        <v>1</v>
      </c>
      <c r="GGS93" t="s">
        <v>438</v>
      </c>
      <c r="GGT93" t="s">
        <v>440</v>
      </c>
      <c r="GGU93" t="s">
        <v>428</v>
      </c>
      <c r="GGW93" t="s">
        <v>114</v>
      </c>
      <c r="GGX93" t="s">
        <v>113</v>
      </c>
      <c r="GGY93" t="s">
        <v>398</v>
      </c>
      <c r="GGZ93">
        <v>1</v>
      </c>
      <c r="GHA93" t="s">
        <v>438</v>
      </c>
      <c r="GHB93" t="s">
        <v>440</v>
      </c>
      <c r="GHC93" t="s">
        <v>428</v>
      </c>
      <c r="GHE93" t="s">
        <v>114</v>
      </c>
      <c r="GHF93" t="s">
        <v>113</v>
      </c>
      <c r="GHG93" t="s">
        <v>398</v>
      </c>
      <c r="GHH93">
        <v>1</v>
      </c>
      <c r="GHI93" t="s">
        <v>438</v>
      </c>
      <c r="GHJ93" t="s">
        <v>440</v>
      </c>
      <c r="GHK93" t="s">
        <v>428</v>
      </c>
      <c r="GHM93" t="s">
        <v>114</v>
      </c>
      <c r="GHN93" t="s">
        <v>113</v>
      </c>
      <c r="GHO93" t="s">
        <v>398</v>
      </c>
      <c r="GHP93">
        <v>1</v>
      </c>
      <c r="GHQ93" t="s">
        <v>438</v>
      </c>
      <c r="GHR93" t="s">
        <v>440</v>
      </c>
      <c r="GHS93" t="s">
        <v>428</v>
      </c>
      <c r="GHU93" t="s">
        <v>114</v>
      </c>
      <c r="GHV93" t="s">
        <v>113</v>
      </c>
      <c r="GHW93" t="s">
        <v>398</v>
      </c>
      <c r="GHX93">
        <v>1</v>
      </c>
      <c r="GHY93" t="s">
        <v>438</v>
      </c>
      <c r="GHZ93" t="s">
        <v>440</v>
      </c>
      <c r="GIA93" t="s">
        <v>428</v>
      </c>
      <c r="GIC93" t="s">
        <v>114</v>
      </c>
      <c r="GID93" t="s">
        <v>113</v>
      </c>
      <c r="GIE93" t="s">
        <v>398</v>
      </c>
      <c r="GIF93">
        <v>1</v>
      </c>
      <c r="GIG93" t="s">
        <v>438</v>
      </c>
      <c r="GIH93" t="s">
        <v>440</v>
      </c>
      <c r="GII93" t="s">
        <v>428</v>
      </c>
      <c r="GIK93" t="s">
        <v>114</v>
      </c>
      <c r="GIL93" t="s">
        <v>113</v>
      </c>
      <c r="GIM93" t="s">
        <v>398</v>
      </c>
      <c r="GIN93">
        <v>1</v>
      </c>
      <c r="GIO93" t="s">
        <v>438</v>
      </c>
      <c r="GIP93" t="s">
        <v>440</v>
      </c>
      <c r="GIQ93" t="s">
        <v>428</v>
      </c>
      <c r="GIS93" t="s">
        <v>114</v>
      </c>
      <c r="GIT93" t="s">
        <v>113</v>
      </c>
      <c r="GIU93" t="s">
        <v>398</v>
      </c>
      <c r="GIV93">
        <v>1</v>
      </c>
      <c r="GIW93" t="s">
        <v>438</v>
      </c>
      <c r="GIX93" t="s">
        <v>440</v>
      </c>
      <c r="GIY93" t="s">
        <v>428</v>
      </c>
      <c r="GJA93" t="s">
        <v>114</v>
      </c>
      <c r="GJB93" t="s">
        <v>113</v>
      </c>
      <c r="GJC93" t="s">
        <v>398</v>
      </c>
      <c r="GJD93">
        <v>1</v>
      </c>
      <c r="GJE93" t="s">
        <v>438</v>
      </c>
      <c r="GJF93" t="s">
        <v>440</v>
      </c>
      <c r="GJG93" t="s">
        <v>428</v>
      </c>
      <c r="GJI93" t="s">
        <v>114</v>
      </c>
      <c r="GJJ93" t="s">
        <v>113</v>
      </c>
      <c r="GJK93" t="s">
        <v>398</v>
      </c>
      <c r="GJL93">
        <v>1</v>
      </c>
      <c r="GJM93" t="s">
        <v>438</v>
      </c>
      <c r="GJN93" t="s">
        <v>440</v>
      </c>
      <c r="GJO93" t="s">
        <v>428</v>
      </c>
      <c r="GJQ93" t="s">
        <v>114</v>
      </c>
      <c r="GJR93" t="s">
        <v>113</v>
      </c>
      <c r="GJS93" t="s">
        <v>398</v>
      </c>
      <c r="GJT93">
        <v>1</v>
      </c>
      <c r="GJU93" t="s">
        <v>438</v>
      </c>
      <c r="GJV93" t="s">
        <v>440</v>
      </c>
      <c r="GJW93" t="s">
        <v>428</v>
      </c>
      <c r="GJY93" t="s">
        <v>114</v>
      </c>
      <c r="GJZ93" t="s">
        <v>113</v>
      </c>
      <c r="GKA93" t="s">
        <v>398</v>
      </c>
      <c r="GKB93">
        <v>1</v>
      </c>
      <c r="GKC93" t="s">
        <v>438</v>
      </c>
      <c r="GKD93" t="s">
        <v>440</v>
      </c>
      <c r="GKE93" t="s">
        <v>428</v>
      </c>
      <c r="GKG93" t="s">
        <v>114</v>
      </c>
      <c r="GKH93" t="s">
        <v>113</v>
      </c>
      <c r="GKI93" t="s">
        <v>398</v>
      </c>
      <c r="GKJ93">
        <v>1</v>
      </c>
      <c r="GKK93" t="s">
        <v>438</v>
      </c>
      <c r="GKL93" t="s">
        <v>440</v>
      </c>
      <c r="GKM93" t="s">
        <v>428</v>
      </c>
      <c r="GKO93" t="s">
        <v>114</v>
      </c>
      <c r="GKP93" t="s">
        <v>113</v>
      </c>
      <c r="GKQ93" t="s">
        <v>398</v>
      </c>
      <c r="GKR93">
        <v>1</v>
      </c>
      <c r="GKS93" t="s">
        <v>438</v>
      </c>
      <c r="GKT93" t="s">
        <v>440</v>
      </c>
      <c r="GKU93" t="s">
        <v>428</v>
      </c>
      <c r="GKW93" t="s">
        <v>114</v>
      </c>
      <c r="GKX93" t="s">
        <v>113</v>
      </c>
      <c r="GKY93" t="s">
        <v>398</v>
      </c>
      <c r="GKZ93">
        <v>1</v>
      </c>
      <c r="GLA93" t="s">
        <v>438</v>
      </c>
      <c r="GLB93" t="s">
        <v>440</v>
      </c>
      <c r="GLC93" t="s">
        <v>428</v>
      </c>
      <c r="GLE93" t="s">
        <v>114</v>
      </c>
      <c r="GLF93" t="s">
        <v>113</v>
      </c>
      <c r="GLG93" t="s">
        <v>398</v>
      </c>
      <c r="GLH93">
        <v>1</v>
      </c>
      <c r="GLI93" t="s">
        <v>438</v>
      </c>
      <c r="GLJ93" t="s">
        <v>440</v>
      </c>
      <c r="GLK93" t="s">
        <v>428</v>
      </c>
      <c r="GLM93" t="s">
        <v>114</v>
      </c>
      <c r="GLN93" t="s">
        <v>113</v>
      </c>
      <c r="GLO93" t="s">
        <v>398</v>
      </c>
      <c r="GLP93">
        <v>1</v>
      </c>
      <c r="GLQ93" t="s">
        <v>438</v>
      </c>
      <c r="GLR93" t="s">
        <v>440</v>
      </c>
      <c r="GLS93" t="s">
        <v>428</v>
      </c>
      <c r="GLU93" t="s">
        <v>114</v>
      </c>
      <c r="GLV93" t="s">
        <v>113</v>
      </c>
      <c r="GLW93" t="s">
        <v>398</v>
      </c>
      <c r="GLX93">
        <v>1</v>
      </c>
      <c r="GLY93" t="s">
        <v>438</v>
      </c>
      <c r="GLZ93" t="s">
        <v>440</v>
      </c>
      <c r="GMA93" t="s">
        <v>428</v>
      </c>
      <c r="GMC93" t="s">
        <v>114</v>
      </c>
      <c r="GMD93" t="s">
        <v>113</v>
      </c>
      <c r="GME93" t="s">
        <v>398</v>
      </c>
      <c r="GMF93">
        <v>1</v>
      </c>
      <c r="GMG93" t="s">
        <v>438</v>
      </c>
      <c r="GMH93" t="s">
        <v>440</v>
      </c>
      <c r="GMI93" t="s">
        <v>428</v>
      </c>
      <c r="GMK93" t="s">
        <v>114</v>
      </c>
      <c r="GML93" t="s">
        <v>113</v>
      </c>
      <c r="GMM93" t="s">
        <v>398</v>
      </c>
      <c r="GMN93">
        <v>1</v>
      </c>
      <c r="GMO93" t="s">
        <v>438</v>
      </c>
      <c r="GMP93" t="s">
        <v>440</v>
      </c>
      <c r="GMQ93" t="s">
        <v>428</v>
      </c>
      <c r="GMS93" t="s">
        <v>114</v>
      </c>
      <c r="GMT93" t="s">
        <v>113</v>
      </c>
      <c r="GMU93" t="s">
        <v>398</v>
      </c>
      <c r="GMV93">
        <v>1</v>
      </c>
      <c r="GMW93" t="s">
        <v>438</v>
      </c>
      <c r="GMX93" t="s">
        <v>440</v>
      </c>
      <c r="GMY93" t="s">
        <v>428</v>
      </c>
      <c r="GNA93" t="s">
        <v>114</v>
      </c>
      <c r="GNB93" t="s">
        <v>113</v>
      </c>
      <c r="GNC93" t="s">
        <v>398</v>
      </c>
      <c r="GND93">
        <v>1</v>
      </c>
      <c r="GNE93" t="s">
        <v>438</v>
      </c>
      <c r="GNF93" t="s">
        <v>440</v>
      </c>
      <c r="GNG93" t="s">
        <v>428</v>
      </c>
      <c r="GNI93" t="s">
        <v>114</v>
      </c>
      <c r="GNJ93" t="s">
        <v>113</v>
      </c>
      <c r="GNK93" t="s">
        <v>398</v>
      </c>
      <c r="GNL93">
        <v>1</v>
      </c>
      <c r="GNM93" t="s">
        <v>438</v>
      </c>
      <c r="GNN93" t="s">
        <v>440</v>
      </c>
      <c r="GNO93" t="s">
        <v>428</v>
      </c>
      <c r="GNQ93" t="s">
        <v>114</v>
      </c>
      <c r="GNR93" t="s">
        <v>113</v>
      </c>
      <c r="GNS93" t="s">
        <v>398</v>
      </c>
      <c r="GNT93">
        <v>1</v>
      </c>
      <c r="GNU93" t="s">
        <v>438</v>
      </c>
      <c r="GNV93" t="s">
        <v>440</v>
      </c>
      <c r="GNW93" t="s">
        <v>428</v>
      </c>
      <c r="GNY93" t="s">
        <v>114</v>
      </c>
      <c r="GNZ93" t="s">
        <v>113</v>
      </c>
      <c r="GOA93" t="s">
        <v>398</v>
      </c>
      <c r="GOB93">
        <v>1</v>
      </c>
      <c r="GOC93" t="s">
        <v>438</v>
      </c>
      <c r="GOD93" t="s">
        <v>440</v>
      </c>
      <c r="GOE93" t="s">
        <v>428</v>
      </c>
      <c r="GOG93" t="s">
        <v>114</v>
      </c>
      <c r="GOH93" t="s">
        <v>113</v>
      </c>
      <c r="GOI93" t="s">
        <v>398</v>
      </c>
      <c r="GOJ93">
        <v>1</v>
      </c>
      <c r="GOK93" t="s">
        <v>438</v>
      </c>
      <c r="GOL93" t="s">
        <v>440</v>
      </c>
      <c r="GOM93" t="s">
        <v>428</v>
      </c>
      <c r="GOO93" t="s">
        <v>114</v>
      </c>
      <c r="GOP93" t="s">
        <v>113</v>
      </c>
      <c r="GOQ93" t="s">
        <v>398</v>
      </c>
      <c r="GOR93">
        <v>1</v>
      </c>
      <c r="GOS93" t="s">
        <v>438</v>
      </c>
      <c r="GOT93" t="s">
        <v>440</v>
      </c>
      <c r="GOU93" t="s">
        <v>428</v>
      </c>
      <c r="GOW93" t="s">
        <v>114</v>
      </c>
      <c r="GOX93" t="s">
        <v>113</v>
      </c>
      <c r="GOY93" t="s">
        <v>398</v>
      </c>
      <c r="GOZ93">
        <v>1</v>
      </c>
      <c r="GPA93" t="s">
        <v>438</v>
      </c>
      <c r="GPB93" t="s">
        <v>440</v>
      </c>
      <c r="GPC93" t="s">
        <v>428</v>
      </c>
      <c r="GPE93" t="s">
        <v>114</v>
      </c>
      <c r="GPF93" t="s">
        <v>113</v>
      </c>
      <c r="GPG93" t="s">
        <v>398</v>
      </c>
      <c r="GPH93">
        <v>1</v>
      </c>
      <c r="GPI93" t="s">
        <v>438</v>
      </c>
      <c r="GPJ93" t="s">
        <v>440</v>
      </c>
      <c r="GPK93" t="s">
        <v>428</v>
      </c>
      <c r="GPM93" t="s">
        <v>114</v>
      </c>
      <c r="GPN93" t="s">
        <v>113</v>
      </c>
      <c r="GPO93" t="s">
        <v>398</v>
      </c>
      <c r="GPP93">
        <v>1</v>
      </c>
      <c r="GPQ93" t="s">
        <v>438</v>
      </c>
      <c r="GPR93" t="s">
        <v>440</v>
      </c>
      <c r="GPS93" t="s">
        <v>428</v>
      </c>
      <c r="GPU93" t="s">
        <v>114</v>
      </c>
      <c r="GPV93" t="s">
        <v>113</v>
      </c>
      <c r="GPW93" t="s">
        <v>398</v>
      </c>
      <c r="GPX93">
        <v>1</v>
      </c>
      <c r="GPY93" t="s">
        <v>438</v>
      </c>
      <c r="GPZ93" t="s">
        <v>440</v>
      </c>
      <c r="GQA93" t="s">
        <v>428</v>
      </c>
      <c r="GQC93" t="s">
        <v>114</v>
      </c>
      <c r="GQD93" t="s">
        <v>113</v>
      </c>
      <c r="GQE93" t="s">
        <v>398</v>
      </c>
      <c r="GQF93">
        <v>1</v>
      </c>
      <c r="GQG93" t="s">
        <v>438</v>
      </c>
      <c r="GQH93" t="s">
        <v>440</v>
      </c>
      <c r="GQI93" t="s">
        <v>428</v>
      </c>
      <c r="GQK93" t="s">
        <v>114</v>
      </c>
      <c r="GQL93" t="s">
        <v>113</v>
      </c>
      <c r="GQM93" t="s">
        <v>398</v>
      </c>
      <c r="GQN93">
        <v>1</v>
      </c>
      <c r="GQO93" t="s">
        <v>438</v>
      </c>
      <c r="GQP93" t="s">
        <v>440</v>
      </c>
      <c r="GQQ93" t="s">
        <v>428</v>
      </c>
      <c r="GQS93" t="s">
        <v>114</v>
      </c>
      <c r="GQT93" t="s">
        <v>113</v>
      </c>
      <c r="GQU93" t="s">
        <v>398</v>
      </c>
      <c r="GQV93">
        <v>1</v>
      </c>
      <c r="GQW93" t="s">
        <v>438</v>
      </c>
      <c r="GQX93" t="s">
        <v>440</v>
      </c>
      <c r="GQY93" t="s">
        <v>428</v>
      </c>
      <c r="GRA93" t="s">
        <v>114</v>
      </c>
      <c r="GRB93" t="s">
        <v>113</v>
      </c>
      <c r="GRC93" t="s">
        <v>398</v>
      </c>
      <c r="GRD93">
        <v>1</v>
      </c>
      <c r="GRE93" t="s">
        <v>438</v>
      </c>
      <c r="GRF93" t="s">
        <v>440</v>
      </c>
      <c r="GRG93" t="s">
        <v>428</v>
      </c>
      <c r="GRI93" t="s">
        <v>114</v>
      </c>
      <c r="GRJ93" t="s">
        <v>113</v>
      </c>
      <c r="GRK93" t="s">
        <v>398</v>
      </c>
      <c r="GRL93">
        <v>1</v>
      </c>
      <c r="GRM93" t="s">
        <v>438</v>
      </c>
      <c r="GRN93" t="s">
        <v>440</v>
      </c>
      <c r="GRO93" t="s">
        <v>428</v>
      </c>
      <c r="GRQ93" t="s">
        <v>114</v>
      </c>
      <c r="GRR93" t="s">
        <v>113</v>
      </c>
      <c r="GRS93" t="s">
        <v>398</v>
      </c>
      <c r="GRT93">
        <v>1</v>
      </c>
      <c r="GRU93" t="s">
        <v>438</v>
      </c>
      <c r="GRV93" t="s">
        <v>440</v>
      </c>
      <c r="GRW93" t="s">
        <v>428</v>
      </c>
      <c r="GRY93" t="s">
        <v>114</v>
      </c>
      <c r="GRZ93" t="s">
        <v>113</v>
      </c>
      <c r="GSA93" t="s">
        <v>398</v>
      </c>
      <c r="GSB93">
        <v>1</v>
      </c>
      <c r="GSC93" t="s">
        <v>438</v>
      </c>
      <c r="GSD93" t="s">
        <v>440</v>
      </c>
      <c r="GSE93" t="s">
        <v>428</v>
      </c>
      <c r="GSG93" t="s">
        <v>114</v>
      </c>
      <c r="GSH93" t="s">
        <v>113</v>
      </c>
      <c r="GSI93" t="s">
        <v>398</v>
      </c>
      <c r="GSJ93">
        <v>1</v>
      </c>
      <c r="GSK93" t="s">
        <v>438</v>
      </c>
      <c r="GSL93" t="s">
        <v>440</v>
      </c>
      <c r="GSM93" t="s">
        <v>428</v>
      </c>
      <c r="GSO93" t="s">
        <v>114</v>
      </c>
      <c r="GSP93" t="s">
        <v>113</v>
      </c>
      <c r="GSQ93" t="s">
        <v>398</v>
      </c>
      <c r="GSR93">
        <v>1</v>
      </c>
      <c r="GSS93" t="s">
        <v>438</v>
      </c>
      <c r="GST93" t="s">
        <v>440</v>
      </c>
      <c r="GSU93" t="s">
        <v>428</v>
      </c>
      <c r="GSW93" t="s">
        <v>114</v>
      </c>
      <c r="GSX93" t="s">
        <v>113</v>
      </c>
      <c r="GSY93" t="s">
        <v>398</v>
      </c>
      <c r="GSZ93">
        <v>1</v>
      </c>
      <c r="GTA93" t="s">
        <v>438</v>
      </c>
      <c r="GTB93" t="s">
        <v>440</v>
      </c>
      <c r="GTC93" t="s">
        <v>428</v>
      </c>
      <c r="GTE93" t="s">
        <v>114</v>
      </c>
      <c r="GTF93" t="s">
        <v>113</v>
      </c>
      <c r="GTG93" t="s">
        <v>398</v>
      </c>
      <c r="GTH93">
        <v>1</v>
      </c>
      <c r="GTI93" t="s">
        <v>438</v>
      </c>
      <c r="GTJ93" t="s">
        <v>440</v>
      </c>
      <c r="GTK93" t="s">
        <v>428</v>
      </c>
      <c r="GTM93" t="s">
        <v>114</v>
      </c>
      <c r="GTN93" t="s">
        <v>113</v>
      </c>
      <c r="GTO93" t="s">
        <v>398</v>
      </c>
      <c r="GTP93">
        <v>1</v>
      </c>
      <c r="GTQ93" t="s">
        <v>438</v>
      </c>
      <c r="GTR93" t="s">
        <v>440</v>
      </c>
      <c r="GTS93" t="s">
        <v>428</v>
      </c>
      <c r="GTU93" t="s">
        <v>114</v>
      </c>
      <c r="GTV93" t="s">
        <v>113</v>
      </c>
      <c r="GTW93" t="s">
        <v>398</v>
      </c>
      <c r="GTX93">
        <v>1</v>
      </c>
      <c r="GTY93" t="s">
        <v>438</v>
      </c>
      <c r="GTZ93" t="s">
        <v>440</v>
      </c>
      <c r="GUA93" t="s">
        <v>428</v>
      </c>
      <c r="GUC93" t="s">
        <v>114</v>
      </c>
      <c r="GUD93" t="s">
        <v>113</v>
      </c>
      <c r="GUE93" t="s">
        <v>398</v>
      </c>
      <c r="GUF93">
        <v>1</v>
      </c>
      <c r="GUG93" t="s">
        <v>438</v>
      </c>
      <c r="GUH93" t="s">
        <v>440</v>
      </c>
      <c r="GUI93" t="s">
        <v>428</v>
      </c>
      <c r="GUK93" t="s">
        <v>114</v>
      </c>
      <c r="GUL93" t="s">
        <v>113</v>
      </c>
      <c r="GUM93" t="s">
        <v>398</v>
      </c>
      <c r="GUN93">
        <v>1</v>
      </c>
      <c r="GUO93" t="s">
        <v>438</v>
      </c>
      <c r="GUP93" t="s">
        <v>440</v>
      </c>
      <c r="GUQ93" t="s">
        <v>428</v>
      </c>
      <c r="GUS93" t="s">
        <v>114</v>
      </c>
      <c r="GUT93" t="s">
        <v>113</v>
      </c>
      <c r="GUU93" t="s">
        <v>398</v>
      </c>
      <c r="GUV93">
        <v>1</v>
      </c>
      <c r="GUW93" t="s">
        <v>438</v>
      </c>
      <c r="GUX93" t="s">
        <v>440</v>
      </c>
      <c r="GUY93" t="s">
        <v>428</v>
      </c>
      <c r="GVA93" t="s">
        <v>114</v>
      </c>
      <c r="GVB93" t="s">
        <v>113</v>
      </c>
      <c r="GVC93" t="s">
        <v>398</v>
      </c>
      <c r="GVD93">
        <v>1</v>
      </c>
      <c r="GVE93" t="s">
        <v>438</v>
      </c>
      <c r="GVF93" t="s">
        <v>440</v>
      </c>
      <c r="GVG93" t="s">
        <v>428</v>
      </c>
      <c r="GVI93" t="s">
        <v>114</v>
      </c>
      <c r="GVJ93" t="s">
        <v>113</v>
      </c>
      <c r="GVK93" t="s">
        <v>398</v>
      </c>
      <c r="GVL93">
        <v>1</v>
      </c>
      <c r="GVM93" t="s">
        <v>438</v>
      </c>
      <c r="GVN93" t="s">
        <v>440</v>
      </c>
      <c r="GVO93" t="s">
        <v>428</v>
      </c>
      <c r="GVQ93" t="s">
        <v>114</v>
      </c>
      <c r="GVR93" t="s">
        <v>113</v>
      </c>
      <c r="GVS93" t="s">
        <v>398</v>
      </c>
      <c r="GVT93">
        <v>1</v>
      </c>
      <c r="GVU93" t="s">
        <v>438</v>
      </c>
      <c r="GVV93" t="s">
        <v>440</v>
      </c>
      <c r="GVW93" t="s">
        <v>428</v>
      </c>
      <c r="GVY93" t="s">
        <v>114</v>
      </c>
      <c r="GVZ93" t="s">
        <v>113</v>
      </c>
      <c r="GWA93" t="s">
        <v>398</v>
      </c>
      <c r="GWB93">
        <v>1</v>
      </c>
      <c r="GWC93" t="s">
        <v>438</v>
      </c>
      <c r="GWD93" t="s">
        <v>440</v>
      </c>
      <c r="GWE93" t="s">
        <v>428</v>
      </c>
      <c r="GWG93" t="s">
        <v>114</v>
      </c>
      <c r="GWH93" t="s">
        <v>113</v>
      </c>
      <c r="GWI93" t="s">
        <v>398</v>
      </c>
      <c r="GWJ93">
        <v>1</v>
      </c>
      <c r="GWK93" t="s">
        <v>438</v>
      </c>
      <c r="GWL93" t="s">
        <v>440</v>
      </c>
      <c r="GWM93" t="s">
        <v>428</v>
      </c>
      <c r="GWO93" t="s">
        <v>114</v>
      </c>
      <c r="GWP93" t="s">
        <v>113</v>
      </c>
      <c r="GWQ93" t="s">
        <v>398</v>
      </c>
      <c r="GWR93">
        <v>1</v>
      </c>
      <c r="GWS93" t="s">
        <v>438</v>
      </c>
      <c r="GWT93" t="s">
        <v>440</v>
      </c>
      <c r="GWU93" t="s">
        <v>428</v>
      </c>
      <c r="GWW93" t="s">
        <v>114</v>
      </c>
      <c r="GWX93" t="s">
        <v>113</v>
      </c>
      <c r="GWY93" t="s">
        <v>398</v>
      </c>
      <c r="GWZ93">
        <v>1</v>
      </c>
      <c r="GXA93" t="s">
        <v>438</v>
      </c>
      <c r="GXB93" t="s">
        <v>440</v>
      </c>
      <c r="GXC93" t="s">
        <v>428</v>
      </c>
      <c r="GXE93" t="s">
        <v>114</v>
      </c>
      <c r="GXF93" t="s">
        <v>113</v>
      </c>
      <c r="GXG93" t="s">
        <v>398</v>
      </c>
      <c r="GXH93">
        <v>1</v>
      </c>
      <c r="GXI93" t="s">
        <v>438</v>
      </c>
      <c r="GXJ93" t="s">
        <v>440</v>
      </c>
      <c r="GXK93" t="s">
        <v>428</v>
      </c>
      <c r="GXM93" t="s">
        <v>114</v>
      </c>
      <c r="GXN93" t="s">
        <v>113</v>
      </c>
      <c r="GXO93" t="s">
        <v>398</v>
      </c>
      <c r="GXP93">
        <v>1</v>
      </c>
      <c r="GXQ93" t="s">
        <v>438</v>
      </c>
      <c r="GXR93" t="s">
        <v>440</v>
      </c>
      <c r="GXS93" t="s">
        <v>428</v>
      </c>
      <c r="GXU93" t="s">
        <v>114</v>
      </c>
      <c r="GXV93" t="s">
        <v>113</v>
      </c>
      <c r="GXW93" t="s">
        <v>398</v>
      </c>
      <c r="GXX93">
        <v>1</v>
      </c>
      <c r="GXY93" t="s">
        <v>438</v>
      </c>
      <c r="GXZ93" t="s">
        <v>440</v>
      </c>
      <c r="GYA93" t="s">
        <v>428</v>
      </c>
      <c r="GYC93" t="s">
        <v>114</v>
      </c>
      <c r="GYD93" t="s">
        <v>113</v>
      </c>
      <c r="GYE93" t="s">
        <v>398</v>
      </c>
      <c r="GYF93">
        <v>1</v>
      </c>
      <c r="GYG93" t="s">
        <v>438</v>
      </c>
      <c r="GYH93" t="s">
        <v>440</v>
      </c>
      <c r="GYI93" t="s">
        <v>428</v>
      </c>
      <c r="GYK93" t="s">
        <v>114</v>
      </c>
      <c r="GYL93" t="s">
        <v>113</v>
      </c>
      <c r="GYM93" t="s">
        <v>398</v>
      </c>
      <c r="GYN93">
        <v>1</v>
      </c>
      <c r="GYO93" t="s">
        <v>438</v>
      </c>
      <c r="GYP93" t="s">
        <v>440</v>
      </c>
      <c r="GYQ93" t="s">
        <v>428</v>
      </c>
      <c r="GYS93" t="s">
        <v>114</v>
      </c>
      <c r="GYT93" t="s">
        <v>113</v>
      </c>
      <c r="GYU93" t="s">
        <v>398</v>
      </c>
      <c r="GYV93">
        <v>1</v>
      </c>
      <c r="GYW93" t="s">
        <v>438</v>
      </c>
      <c r="GYX93" t="s">
        <v>440</v>
      </c>
      <c r="GYY93" t="s">
        <v>428</v>
      </c>
      <c r="GZA93" t="s">
        <v>114</v>
      </c>
      <c r="GZB93" t="s">
        <v>113</v>
      </c>
      <c r="GZC93" t="s">
        <v>398</v>
      </c>
      <c r="GZD93">
        <v>1</v>
      </c>
      <c r="GZE93" t="s">
        <v>438</v>
      </c>
      <c r="GZF93" t="s">
        <v>440</v>
      </c>
      <c r="GZG93" t="s">
        <v>428</v>
      </c>
      <c r="GZI93" t="s">
        <v>114</v>
      </c>
      <c r="GZJ93" t="s">
        <v>113</v>
      </c>
      <c r="GZK93" t="s">
        <v>398</v>
      </c>
      <c r="GZL93">
        <v>1</v>
      </c>
      <c r="GZM93" t="s">
        <v>438</v>
      </c>
      <c r="GZN93" t="s">
        <v>440</v>
      </c>
      <c r="GZO93" t="s">
        <v>428</v>
      </c>
      <c r="GZQ93" t="s">
        <v>114</v>
      </c>
      <c r="GZR93" t="s">
        <v>113</v>
      </c>
      <c r="GZS93" t="s">
        <v>398</v>
      </c>
      <c r="GZT93">
        <v>1</v>
      </c>
      <c r="GZU93" t="s">
        <v>438</v>
      </c>
      <c r="GZV93" t="s">
        <v>440</v>
      </c>
      <c r="GZW93" t="s">
        <v>428</v>
      </c>
      <c r="GZY93" t="s">
        <v>114</v>
      </c>
      <c r="GZZ93" t="s">
        <v>113</v>
      </c>
      <c r="HAA93" t="s">
        <v>398</v>
      </c>
      <c r="HAB93">
        <v>1</v>
      </c>
      <c r="HAC93" t="s">
        <v>438</v>
      </c>
      <c r="HAD93" t="s">
        <v>440</v>
      </c>
      <c r="HAE93" t="s">
        <v>428</v>
      </c>
      <c r="HAG93" t="s">
        <v>114</v>
      </c>
      <c r="HAH93" t="s">
        <v>113</v>
      </c>
      <c r="HAI93" t="s">
        <v>398</v>
      </c>
      <c r="HAJ93">
        <v>1</v>
      </c>
      <c r="HAK93" t="s">
        <v>438</v>
      </c>
      <c r="HAL93" t="s">
        <v>440</v>
      </c>
      <c r="HAM93" t="s">
        <v>428</v>
      </c>
      <c r="HAO93" t="s">
        <v>114</v>
      </c>
      <c r="HAP93" t="s">
        <v>113</v>
      </c>
      <c r="HAQ93" t="s">
        <v>398</v>
      </c>
      <c r="HAR93">
        <v>1</v>
      </c>
      <c r="HAS93" t="s">
        <v>438</v>
      </c>
      <c r="HAT93" t="s">
        <v>440</v>
      </c>
      <c r="HAU93" t="s">
        <v>428</v>
      </c>
      <c r="HAW93" t="s">
        <v>114</v>
      </c>
      <c r="HAX93" t="s">
        <v>113</v>
      </c>
      <c r="HAY93" t="s">
        <v>398</v>
      </c>
      <c r="HAZ93">
        <v>1</v>
      </c>
      <c r="HBA93" t="s">
        <v>438</v>
      </c>
      <c r="HBB93" t="s">
        <v>440</v>
      </c>
      <c r="HBC93" t="s">
        <v>428</v>
      </c>
      <c r="HBE93" t="s">
        <v>114</v>
      </c>
      <c r="HBF93" t="s">
        <v>113</v>
      </c>
      <c r="HBG93" t="s">
        <v>398</v>
      </c>
      <c r="HBH93">
        <v>1</v>
      </c>
      <c r="HBI93" t="s">
        <v>438</v>
      </c>
      <c r="HBJ93" t="s">
        <v>440</v>
      </c>
      <c r="HBK93" t="s">
        <v>428</v>
      </c>
      <c r="HBM93" t="s">
        <v>114</v>
      </c>
      <c r="HBN93" t="s">
        <v>113</v>
      </c>
      <c r="HBO93" t="s">
        <v>398</v>
      </c>
      <c r="HBP93">
        <v>1</v>
      </c>
      <c r="HBQ93" t="s">
        <v>438</v>
      </c>
      <c r="HBR93" t="s">
        <v>440</v>
      </c>
      <c r="HBS93" t="s">
        <v>428</v>
      </c>
      <c r="HBU93" t="s">
        <v>114</v>
      </c>
      <c r="HBV93" t="s">
        <v>113</v>
      </c>
      <c r="HBW93" t="s">
        <v>398</v>
      </c>
      <c r="HBX93">
        <v>1</v>
      </c>
      <c r="HBY93" t="s">
        <v>438</v>
      </c>
      <c r="HBZ93" t="s">
        <v>440</v>
      </c>
      <c r="HCA93" t="s">
        <v>428</v>
      </c>
      <c r="HCC93" t="s">
        <v>114</v>
      </c>
      <c r="HCD93" t="s">
        <v>113</v>
      </c>
      <c r="HCE93" t="s">
        <v>398</v>
      </c>
      <c r="HCF93">
        <v>1</v>
      </c>
      <c r="HCG93" t="s">
        <v>438</v>
      </c>
      <c r="HCH93" t="s">
        <v>440</v>
      </c>
      <c r="HCI93" t="s">
        <v>428</v>
      </c>
      <c r="HCK93" t="s">
        <v>114</v>
      </c>
      <c r="HCL93" t="s">
        <v>113</v>
      </c>
      <c r="HCM93" t="s">
        <v>398</v>
      </c>
      <c r="HCN93">
        <v>1</v>
      </c>
      <c r="HCO93" t="s">
        <v>438</v>
      </c>
      <c r="HCP93" t="s">
        <v>440</v>
      </c>
      <c r="HCQ93" t="s">
        <v>428</v>
      </c>
      <c r="HCS93" t="s">
        <v>114</v>
      </c>
      <c r="HCT93" t="s">
        <v>113</v>
      </c>
      <c r="HCU93" t="s">
        <v>398</v>
      </c>
      <c r="HCV93">
        <v>1</v>
      </c>
      <c r="HCW93" t="s">
        <v>438</v>
      </c>
      <c r="HCX93" t="s">
        <v>440</v>
      </c>
      <c r="HCY93" t="s">
        <v>428</v>
      </c>
      <c r="HDA93" t="s">
        <v>114</v>
      </c>
      <c r="HDB93" t="s">
        <v>113</v>
      </c>
      <c r="HDC93" t="s">
        <v>398</v>
      </c>
      <c r="HDD93">
        <v>1</v>
      </c>
      <c r="HDE93" t="s">
        <v>438</v>
      </c>
      <c r="HDF93" t="s">
        <v>440</v>
      </c>
      <c r="HDG93" t="s">
        <v>428</v>
      </c>
      <c r="HDI93" t="s">
        <v>114</v>
      </c>
      <c r="HDJ93" t="s">
        <v>113</v>
      </c>
      <c r="HDK93" t="s">
        <v>398</v>
      </c>
      <c r="HDL93">
        <v>1</v>
      </c>
      <c r="HDM93" t="s">
        <v>438</v>
      </c>
      <c r="HDN93" t="s">
        <v>440</v>
      </c>
      <c r="HDO93" t="s">
        <v>428</v>
      </c>
      <c r="HDQ93" t="s">
        <v>114</v>
      </c>
      <c r="HDR93" t="s">
        <v>113</v>
      </c>
      <c r="HDS93" t="s">
        <v>398</v>
      </c>
      <c r="HDT93">
        <v>1</v>
      </c>
      <c r="HDU93" t="s">
        <v>438</v>
      </c>
      <c r="HDV93" t="s">
        <v>440</v>
      </c>
      <c r="HDW93" t="s">
        <v>428</v>
      </c>
      <c r="HDY93" t="s">
        <v>114</v>
      </c>
      <c r="HDZ93" t="s">
        <v>113</v>
      </c>
      <c r="HEA93" t="s">
        <v>398</v>
      </c>
      <c r="HEB93">
        <v>1</v>
      </c>
      <c r="HEC93" t="s">
        <v>438</v>
      </c>
      <c r="HED93" t="s">
        <v>440</v>
      </c>
      <c r="HEE93" t="s">
        <v>428</v>
      </c>
      <c r="HEG93" t="s">
        <v>114</v>
      </c>
      <c r="HEH93" t="s">
        <v>113</v>
      </c>
      <c r="HEI93" t="s">
        <v>398</v>
      </c>
      <c r="HEJ93">
        <v>1</v>
      </c>
      <c r="HEK93" t="s">
        <v>438</v>
      </c>
      <c r="HEL93" t="s">
        <v>440</v>
      </c>
      <c r="HEM93" t="s">
        <v>428</v>
      </c>
      <c r="HEO93" t="s">
        <v>114</v>
      </c>
      <c r="HEP93" t="s">
        <v>113</v>
      </c>
      <c r="HEQ93" t="s">
        <v>398</v>
      </c>
      <c r="HER93">
        <v>1</v>
      </c>
      <c r="HES93" t="s">
        <v>438</v>
      </c>
      <c r="HET93" t="s">
        <v>440</v>
      </c>
      <c r="HEU93" t="s">
        <v>428</v>
      </c>
      <c r="HEW93" t="s">
        <v>114</v>
      </c>
      <c r="HEX93" t="s">
        <v>113</v>
      </c>
      <c r="HEY93" t="s">
        <v>398</v>
      </c>
      <c r="HEZ93">
        <v>1</v>
      </c>
      <c r="HFA93" t="s">
        <v>438</v>
      </c>
      <c r="HFB93" t="s">
        <v>440</v>
      </c>
      <c r="HFC93" t="s">
        <v>428</v>
      </c>
      <c r="HFE93" t="s">
        <v>114</v>
      </c>
      <c r="HFF93" t="s">
        <v>113</v>
      </c>
      <c r="HFG93" t="s">
        <v>398</v>
      </c>
      <c r="HFH93">
        <v>1</v>
      </c>
      <c r="HFI93" t="s">
        <v>438</v>
      </c>
      <c r="HFJ93" t="s">
        <v>440</v>
      </c>
      <c r="HFK93" t="s">
        <v>428</v>
      </c>
      <c r="HFM93" t="s">
        <v>114</v>
      </c>
      <c r="HFN93" t="s">
        <v>113</v>
      </c>
      <c r="HFO93" t="s">
        <v>398</v>
      </c>
      <c r="HFP93">
        <v>1</v>
      </c>
      <c r="HFQ93" t="s">
        <v>438</v>
      </c>
      <c r="HFR93" t="s">
        <v>440</v>
      </c>
      <c r="HFS93" t="s">
        <v>428</v>
      </c>
      <c r="HFU93" t="s">
        <v>114</v>
      </c>
      <c r="HFV93" t="s">
        <v>113</v>
      </c>
      <c r="HFW93" t="s">
        <v>398</v>
      </c>
      <c r="HFX93">
        <v>1</v>
      </c>
      <c r="HFY93" t="s">
        <v>438</v>
      </c>
      <c r="HFZ93" t="s">
        <v>440</v>
      </c>
      <c r="HGA93" t="s">
        <v>428</v>
      </c>
      <c r="HGC93" t="s">
        <v>114</v>
      </c>
      <c r="HGD93" t="s">
        <v>113</v>
      </c>
      <c r="HGE93" t="s">
        <v>398</v>
      </c>
      <c r="HGF93">
        <v>1</v>
      </c>
      <c r="HGG93" t="s">
        <v>438</v>
      </c>
      <c r="HGH93" t="s">
        <v>440</v>
      </c>
      <c r="HGI93" t="s">
        <v>428</v>
      </c>
      <c r="HGK93" t="s">
        <v>114</v>
      </c>
      <c r="HGL93" t="s">
        <v>113</v>
      </c>
      <c r="HGM93" t="s">
        <v>398</v>
      </c>
      <c r="HGN93">
        <v>1</v>
      </c>
      <c r="HGO93" t="s">
        <v>438</v>
      </c>
      <c r="HGP93" t="s">
        <v>440</v>
      </c>
      <c r="HGQ93" t="s">
        <v>428</v>
      </c>
      <c r="HGS93" t="s">
        <v>114</v>
      </c>
      <c r="HGT93" t="s">
        <v>113</v>
      </c>
      <c r="HGU93" t="s">
        <v>398</v>
      </c>
      <c r="HGV93">
        <v>1</v>
      </c>
      <c r="HGW93" t="s">
        <v>438</v>
      </c>
      <c r="HGX93" t="s">
        <v>440</v>
      </c>
      <c r="HGY93" t="s">
        <v>428</v>
      </c>
      <c r="HHA93" t="s">
        <v>114</v>
      </c>
      <c r="HHB93" t="s">
        <v>113</v>
      </c>
      <c r="HHC93" t="s">
        <v>398</v>
      </c>
      <c r="HHD93">
        <v>1</v>
      </c>
      <c r="HHE93" t="s">
        <v>438</v>
      </c>
      <c r="HHF93" t="s">
        <v>440</v>
      </c>
      <c r="HHG93" t="s">
        <v>428</v>
      </c>
      <c r="HHI93" t="s">
        <v>114</v>
      </c>
      <c r="HHJ93" t="s">
        <v>113</v>
      </c>
      <c r="HHK93" t="s">
        <v>398</v>
      </c>
      <c r="HHL93">
        <v>1</v>
      </c>
      <c r="HHM93" t="s">
        <v>438</v>
      </c>
      <c r="HHN93" t="s">
        <v>440</v>
      </c>
      <c r="HHO93" t="s">
        <v>428</v>
      </c>
      <c r="HHQ93" t="s">
        <v>114</v>
      </c>
      <c r="HHR93" t="s">
        <v>113</v>
      </c>
      <c r="HHS93" t="s">
        <v>398</v>
      </c>
      <c r="HHT93">
        <v>1</v>
      </c>
      <c r="HHU93" t="s">
        <v>438</v>
      </c>
      <c r="HHV93" t="s">
        <v>440</v>
      </c>
      <c r="HHW93" t="s">
        <v>428</v>
      </c>
      <c r="HHY93" t="s">
        <v>114</v>
      </c>
      <c r="HHZ93" t="s">
        <v>113</v>
      </c>
      <c r="HIA93" t="s">
        <v>398</v>
      </c>
      <c r="HIB93">
        <v>1</v>
      </c>
      <c r="HIC93" t="s">
        <v>438</v>
      </c>
      <c r="HID93" t="s">
        <v>440</v>
      </c>
      <c r="HIE93" t="s">
        <v>428</v>
      </c>
      <c r="HIG93" t="s">
        <v>114</v>
      </c>
      <c r="HIH93" t="s">
        <v>113</v>
      </c>
      <c r="HII93" t="s">
        <v>398</v>
      </c>
      <c r="HIJ93">
        <v>1</v>
      </c>
      <c r="HIK93" t="s">
        <v>438</v>
      </c>
      <c r="HIL93" t="s">
        <v>440</v>
      </c>
      <c r="HIM93" t="s">
        <v>428</v>
      </c>
      <c r="HIO93" t="s">
        <v>114</v>
      </c>
      <c r="HIP93" t="s">
        <v>113</v>
      </c>
      <c r="HIQ93" t="s">
        <v>398</v>
      </c>
      <c r="HIR93">
        <v>1</v>
      </c>
      <c r="HIS93" t="s">
        <v>438</v>
      </c>
      <c r="HIT93" t="s">
        <v>440</v>
      </c>
      <c r="HIU93" t="s">
        <v>428</v>
      </c>
      <c r="HIW93" t="s">
        <v>114</v>
      </c>
      <c r="HIX93" t="s">
        <v>113</v>
      </c>
      <c r="HIY93" t="s">
        <v>398</v>
      </c>
      <c r="HIZ93">
        <v>1</v>
      </c>
      <c r="HJA93" t="s">
        <v>438</v>
      </c>
      <c r="HJB93" t="s">
        <v>440</v>
      </c>
      <c r="HJC93" t="s">
        <v>428</v>
      </c>
      <c r="HJE93" t="s">
        <v>114</v>
      </c>
      <c r="HJF93" t="s">
        <v>113</v>
      </c>
      <c r="HJG93" t="s">
        <v>398</v>
      </c>
      <c r="HJH93">
        <v>1</v>
      </c>
      <c r="HJI93" t="s">
        <v>438</v>
      </c>
      <c r="HJJ93" t="s">
        <v>440</v>
      </c>
      <c r="HJK93" t="s">
        <v>428</v>
      </c>
      <c r="HJM93" t="s">
        <v>114</v>
      </c>
      <c r="HJN93" t="s">
        <v>113</v>
      </c>
      <c r="HJO93" t="s">
        <v>398</v>
      </c>
      <c r="HJP93">
        <v>1</v>
      </c>
      <c r="HJQ93" t="s">
        <v>438</v>
      </c>
      <c r="HJR93" t="s">
        <v>440</v>
      </c>
      <c r="HJS93" t="s">
        <v>428</v>
      </c>
      <c r="HJU93" t="s">
        <v>114</v>
      </c>
      <c r="HJV93" t="s">
        <v>113</v>
      </c>
      <c r="HJW93" t="s">
        <v>398</v>
      </c>
      <c r="HJX93">
        <v>1</v>
      </c>
      <c r="HJY93" t="s">
        <v>438</v>
      </c>
      <c r="HJZ93" t="s">
        <v>440</v>
      </c>
      <c r="HKA93" t="s">
        <v>428</v>
      </c>
      <c r="HKC93" t="s">
        <v>114</v>
      </c>
      <c r="HKD93" t="s">
        <v>113</v>
      </c>
      <c r="HKE93" t="s">
        <v>398</v>
      </c>
      <c r="HKF93">
        <v>1</v>
      </c>
      <c r="HKG93" t="s">
        <v>438</v>
      </c>
      <c r="HKH93" t="s">
        <v>440</v>
      </c>
      <c r="HKI93" t="s">
        <v>428</v>
      </c>
      <c r="HKK93" t="s">
        <v>114</v>
      </c>
      <c r="HKL93" t="s">
        <v>113</v>
      </c>
      <c r="HKM93" t="s">
        <v>398</v>
      </c>
      <c r="HKN93">
        <v>1</v>
      </c>
      <c r="HKO93" t="s">
        <v>438</v>
      </c>
      <c r="HKP93" t="s">
        <v>440</v>
      </c>
      <c r="HKQ93" t="s">
        <v>428</v>
      </c>
      <c r="HKS93" t="s">
        <v>114</v>
      </c>
      <c r="HKT93" t="s">
        <v>113</v>
      </c>
      <c r="HKU93" t="s">
        <v>398</v>
      </c>
      <c r="HKV93">
        <v>1</v>
      </c>
      <c r="HKW93" t="s">
        <v>438</v>
      </c>
      <c r="HKX93" t="s">
        <v>440</v>
      </c>
      <c r="HKY93" t="s">
        <v>428</v>
      </c>
      <c r="HLA93" t="s">
        <v>114</v>
      </c>
      <c r="HLB93" t="s">
        <v>113</v>
      </c>
      <c r="HLC93" t="s">
        <v>398</v>
      </c>
      <c r="HLD93">
        <v>1</v>
      </c>
      <c r="HLE93" t="s">
        <v>438</v>
      </c>
      <c r="HLF93" t="s">
        <v>440</v>
      </c>
      <c r="HLG93" t="s">
        <v>428</v>
      </c>
      <c r="HLI93" t="s">
        <v>114</v>
      </c>
      <c r="HLJ93" t="s">
        <v>113</v>
      </c>
      <c r="HLK93" t="s">
        <v>398</v>
      </c>
      <c r="HLL93">
        <v>1</v>
      </c>
      <c r="HLM93" t="s">
        <v>438</v>
      </c>
      <c r="HLN93" t="s">
        <v>440</v>
      </c>
      <c r="HLO93" t="s">
        <v>428</v>
      </c>
      <c r="HLQ93" t="s">
        <v>114</v>
      </c>
      <c r="HLR93" t="s">
        <v>113</v>
      </c>
      <c r="HLS93" t="s">
        <v>398</v>
      </c>
      <c r="HLT93">
        <v>1</v>
      </c>
      <c r="HLU93" t="s">
        <v>438</v>
      </c>
      <c r="HLV93" t="s">
        <v>440</v>
      </c>
      <c r="HLW93" t="s">
        <v>428</v>
      </c>
      <c r="HLY93" t="s">
        <v>114</v>
      </c>
      <c r="HLZ93" t="s">
        <v>113</v>
      </c>
      <c r="HMA93" t="s">
        <v>398</v>
      </c>
      <c r="HMB93">
        <v>1</v>
      </c>
      <c r="HMC93" t="s">
        <v>438</v>
      </c>
      <c r="HMD93" t="s">
        <v>440</v>
      </c>
      <c r="HME93" t="s">
        <v>428</v>
      </c>
      <c r="HMG93" t="s">
        <v>114</v>
      </c>
      <c r="HMH93" t="s">
        <v>113</v>
      </c>
      <c r="HMI93" t="s">
        <v>398</v>
      </c>
      <c r="HMJ93">
        <v>1</v>
      </c>
      <c r="HMK93" t="s">
        <v>438</v>
      </c>
      <c r="HML93" t="s">
        <v>440</v>
      </c>
      <c r="HMM93" t="s">
        <v>428</v>
      </c>
      <c r="HMO93" t="s">
        <v>114</v>
      </c>
      <c r="HMP93" t="s">
        <v>113</v>
      </c>
      <c r="HMQ93" t="s">
        <v>398</v>
      </c>
      <c r="HMR93">
        <v>1</v>
      </c>
      <c r="HMS93" t="s">
        <v>438</v>
      </c>
      <c r="HMT93" t="s">
        <v>440</v>
      </c>
      <c r="HMU93" t="s">
        <v>428</v>
      </c>
      <c r="HMW93" t="s">
        <v>114</v>
      </c>
      <c r="HMX93" t="s">
        <v>113</v>
      </c>
      <c r="HMY93" t="s">
        <v>398</v>
      </c>
      <c r="HMZ93">
        <v>1</v>
      </c>
      <c r="HNA93" t="s">
        <v>438</v>
      </c>
      <c r="HNB93" t="s">
        <v>440</v>
      </c>
      <c r="HNC93" t="s">
        <v>428</v>
      </c>
      <c r="HNE93" t="s">
        <v>114</v>
      </c>
      <c r="HNF93" t="s">
        <v>113</v>
      </c>
      <c r="HNG93" t="s">
        <v>398</v>
      </c>
      <c r="HNH93">
        <v>1</v>
      </c>
      <c r="HNI93" t="s">
        <v>438</v>
      </c>
      <c r="HNJ93" t="s">
        <v>440</v>
      </c>
      <c r="HNK93" t="s">
        <v>428</v>
      </c>
      <c r="HNM93" t="s">
        <v>114</v>
      </c>
      <c r="HNN93" t="s">
        <v>113</v>
      </c>
      <c r="HNO93" t="s">
        <v>398</v>
      </c>
      <c r="HNP93">
        <v>1</v>
      </c>
      <c r="HNQ93" t="s">
        <v>438</v>
      </c>
      <c r="HNR93" t="s">
        <v>440</v>
      </c>
      <c r="HNS93" t="s">
        <v>428</v>
      </c>
      <c r="HNU93" t="s">
        <v>114</v>
      </c>
      <c r="HNV93" t="s">
        <v>113</v>
      </c>
      <c r="HNW93" t="s">
        <v>398</v>
      </c>
      <c r="HNX93">
        <v>1</v>
      </c>
      <c r="HNY93" t="s">
        <v>438</v>
      </c>
      <c r="HNZ93" t="s">
        <v>440</v>
      </c>
      <c r="HOA93" t="s">
        <v>428</v>
      </c>
      <c r="HOC93" t="s">
        <v>114</v>
      </c>
      <c r="HOD93" t="s">
        <v>113</v>
      </c>
      <c r="HOE93" t="s">
        <v>398</v>
      </c>
      <c r="HOF93">
        <v>1</v>
      </c>
      <c r="HOG93" t="s">
        <v>438</v>
      </c>
      <c r="HOH93" t="s">
        <v>440</v>
      </c>
      <c r="HOI93" t="s">
        <v>428</v>
      </c>
      <c r="HOK93" t="s">
        <v>114</v>
      </c>
      <c r="HOL93" t="s">
        <v>113</v>
      </c>
      <c r="HOM93" t="s">
        <v>398</v>
      </c>
      <c r="HON93">
        <v>1</v>
      </c>
      <c r="HOO93" t="s">
        <v>438</v>
      </c>
      <c r="HOP93" t="s">
        <v>440</v>
      </c>
      <c r="HOQ93" t="s">
        <v>428</v>
      </c>
      <c r="HOS93" t="s">
        <v>114</v>
      </c>
      <c r="HOT93" t="s">
        <v>113</v>
      </c>
      <c r="HOU93" t="s">
        <v>398</v>
      </c>
      <c r="HOV93">
        <v>1</v>
      </c>
      <c r="HOW93" t="s">
        <v>438</v>
      </c>
      <c r="HOX93" t="s">
        <v>440</v>
      </c>
      <c r="HOY93" t="s">
        <v>428</v>
      </c>
      <c r="HPA93" t="s">
        <v>114</v>
      </c>
      <c r="HPB93" t="s">
        <v>113</v>
      </c>
      <c r="HPC93" t="s">
        <v>398</v>
      </c>
      <c r="HPD93">
        <v>1</v>
      </c>
      <c r="HPE93" t="s">
        <v>438</v>
      </c>
      <c r="HPF93" t="s">
        <v>440</v>
      </c>
      <c r="HPG93" t="s">
        <v>428</v>
      </c>
      <c r="HPI93" t="s">
        <v>114</v>
      </c>
      <c r="HPJ93" t="s">
        <v>113</v>
      </c>
      <c r="HPK93" t="s">
        <v>398</v>
      </c>
      <c r="HPL93">
        <v>1</v>
      </c>
      <c r="HPM93" t="s">
        <v>438</v>
      </c>
      <c r="HPN93" t="s">
        <v>440</v>
      </c>
      <c r="HPO93" t="s">
        <v>428</v>
      </c>
      <c r="HPQ93" t="s">
        <v>114</v>
      </c>
      <c r="HPR93" t="s">
        <v>113</v>
      </c>
      <c r="HPS93" t="s">
        <v>398</v>
      </c>
      <c r="HPT93">
        <v>1</v>
      </c>
      <c r="HPU93" t="s">
        <v>438</v>
      </c>
      <c r="HPV93" t="s">
        <v>440</v>
      </c>
      <c r="HPW93" t="s">
        <v>428</v>
      </c>
      <c r="HPY93" t="s">
        <v>114</v>
      </c>
      <c r="HPZ93" t="s">
        <v>113</v>
      </c>
      <c r="HQA93" t="s">
        <v>398</v>
      </c>
      <c r="HQB93">
        <v>1</v>
      </c>
      <c r="HQC93" t="s">
        <v>438</v>
      </c>
      <c r="HQD93" t="s">
        <v>440</v>
      </c>
      <c r="HQE93" t="s">
        <v>428</v>
      </c>
      <c r="HQG93" t="s">
        <v>114</v>
      </c>
      <c r="HQH93" t="s">
        <v>113</v>
      </c>
      <c r="HQI93" t="s">
        <v>398</v>
      </c>
      <c r="HQJ93">
        <v>1</v>
      </c>
      <c r="HQK93" t="s">
        <v>438</v>
      </c>
      <c r="HQL93" t="s">
        <v>440</v>
      </c>
      <c r="HQM93" t="s">
        <v>428</v>
      </c>
      <c r="HQO93" t="s">
        <v>114</v>
      </c>
      <c r="HQP93" t="s">
        <v>113</v>
      </c>
      <c r="HQQ93" t="s">
        <v>398</v>
      </c>
      <c r="HQR93">
        <v>1</v>
      </c>
      <c r="HQS93" t="s">
        <v>438</v>
      </c>
      <c r="HQT93" t="s">
        <v>440</v>
      </c>
      <c r="HQU93" t="s">
        <v>428</v>
      </c>
      <c r="HQW93" t="s">
        <v>114</v>
      </c>
      <c r="HQX93" t="s">
        <v>113</v>
      </c>
      <c r="HQY93" t="s">
        <v>398</v>
      </c>
      <c r="HQZ93">
        <v>1</v>
      </c>
      <c r="HRA93" t="s">
        <v>438</v>
      </c>
      <c r="HRB93" t="s">
        <v>440</v>
      </c>
      <c r="HRC93" t="s">
        <v>428</v>
      </c>
      <c r="HRE93" t="s">
        <v>114</v>
      </c>
      <c r="HRF93" t="s">
        <v>113</v>
      </c>
      <c r="HRG93" t="s">
        <v>398</v>
      </c>
      <c r="HRH93">
        <v>1</v>
      </c>
      <c r="HRI93" t="s">
        <v>438</v>
      </c>
      <c r="HRJ93" t="s">
        <v>440</v>
      </c>
      <c r="HRK93" t="s">
        <v>428</v>
      </c>
      <c r="HRM93" t="s">
        <v>114</v>
      </c>
      <c r="HRN93" t="s">
        <v>113</v>
      </c>
      <c r="HRO93" t="s">
        <v>398</v>
      </c>
      <c r="HRP93">
        <v>1</v>
      </c>
      <c r="HRQ93" t="s">
        <v>438</v>
      </c>
      <c r="HRR93" t="s">
        <v>440</v>
      </c>
      <c r="HRS93" t="s">
        <v>428</v>
      </c>
      <c r="HRU93" t="s">
        <v>114</v>
      </c>
      <c r="HRV93" t="s">
        <v>113</v>
      </c>
      <c r="HRW93" t="s">
        <v>398</v>
      </c>
      <c r="HRX93">
        <v>1</v>
      </c>
      <c r="HRY93" t="s">
        <v>438</v>
      </c>
      <c r="HRZ93" t="s">
        <v>440</v>
      </c>
      <c r="HSA93" t="s">
        <v>428</v>
      </c>
      <c r="HSC93" t="s">
        <v>114</v>
      </c>
      <c r="HSD93" t="s">
        <v>113</v>
      </c>
      <c r="HSE93" t="s">
        <v>398</v>
      </c>
      <c r="HSF93">
        <v>1</v>
      </c>
      <c r="HSG93" t="s">
        <v>438</v>
      </c>
      <c r="HSH93" t="s">
        <v>440</v>
      </c>
      <c r="HSI93" t="s">
        <v>428</v>
      </c>
      <c r="HSK93" t="s">
        <v>114</v>
      </c>
      <c r="HSL93" t="s">
        <v>113</v>
      </c>
      <c r="HSM93" t="s">
        <v>398</v>
      </c>
      <c r="HSN93">
        <v>1</v>
      </c>
      <c r="HSO93" t="s">
        <v>438</v>
      </c>
      <c r="HSP93" t="s">
        <v>440</v>
      </c>
      <c r="HSQ93" t="s">
        <v>428</v>
      </c>
      <c r="HSS93" t="s">
        <v>114</v>
      </c>
      <c r="HST93" t="s">
        <v>113</v>
      </c>
      <c r="HSU93" t="s">
        <v>398</v>
      </c>
      <c r="HSV93">
        <v>1</v>
      </c>
      <c r="HSW93" t="s">
        <v>438</v>
      </c>
      <c r="HSX93" t="s">
        <v>440</v>
      </c>
      <c r="HSY93" t="s">
        <v>428</v>
      </c>
      <c r="HTA93" t="s">
        <v>114</v>
      </c>
      <c r="HTB93" t="s">
        <v>113</v>
      </c>
      <c r="HTC93" t="s">
        <v>398</v>
      </c>
      <c r="HTD93">
        <v>1</v>
      </c>
      <c r="HTE93" t="s">
        <v>438</v>
      </c>
      <c r="HTF93" t="s">
        <v>440</v>
      </c>
      <c r="HTG93" t="s">
        <v>428</v>
      </c>
      <c r="HTI93" t="s">
        <v>114</v>
      </c>
      <c r="HTJ93" t="s">
        <v>113</v>
      </c>
      <c r="HTK93" t="s">
        <v>398</v>
      </c>
      <c r="HTL93">
        <v>1</v>
      </c>
      <c r="HTM93" t="s">
        <v>438</v>
      </c>
      <c r="HTN93" t="s">
        <v>440</v>
      </c>
      <c r="HTO93" t="s">
        <v>428</v>
      </c>
      <c r="HTQ93" t="s">
        <v>114</v>
      </c>
      <c r="HTR93" t="s">
        <v>113</v>
      </c>
      <c r="HTS93" t="s">
        <v>398</v>
      </c>
      <c r="HTT93">
        <v>1</v>
      </c>
      <c r="HTU93" t="s">
        <v>438</v>
      </c>
      <c r="HTV93" t="s">
        <v>440</v>
      </c>
      <c r="HTW93" t="s">
        <v>428</v>
      </c>
      <c r="HTY93" t="s">
        <v>114</v>
      </c>
      <c r="HTZ93" t="s">
        <v>113</v>
      </c>
      <c r="HUA93" t="s">
        <v>398</v>
      </c>
      <c r="HUB93">
        <v>1</v>
      </c>
      <c r="HUC93" t="s">
        <v>438</v>
      </c>
      <c r="HUD93" t="s">
        <v>440</v>
      </c>
      <c r="HUE93" t="s">
        <v>428</v>
      </c>
      <c r="HUG93" t="s">
        <v>114</v>
      </c>
      <c r="HUH93" t="s">
        <v>113</v>
      </c>
      <c r="HUI93" t="s">
        <v>398</v>
      </c>
      <c r="HUJ93">
        <v>1</v>
      </c>
      <c r="HUK93" t="s">
        <v>438</v>
      </c>
      <c r="HUL93" t="s">
        <v>440</v>
      </c>
      <c r="HUM93" t="s">
        <v>428</v>
      </c>
      <c r="HUO93" t="s">
        <v>114</v>
      </c>
      <c r="HUP93" t="s">
        <v>113</v>
      </c>
      <c r="HUQ93" t="s">
        <v>398</v>
      </c>
      <c r="HUR93">
        <v>1</v>
      </c>
      <c r="HUS93" t="s">
        <v>438</v>
      </c>
      <c r="HUT93" t="s">
        <v>440</v>
      </c>
      <c r="HUU93" t="s">
        <v>428</v>
      </c>
      <c r="HUW93" t="s">
        <v>114</v>
      </c>
      <c r="HUX93" t="s">
        <v>113</v>
      </c>
      <c r="HUY93" t="s">
        <v>398</v>
      </c>
      <c r="HUZ93">
        <v>1</v>
      </c>
      <c r="HVA93" t="s">
        <v>438</v>
      </c>
      <c r="HVB93" t="s">
        <v>440</v>
      </c>
      <c r="HVC93" t="s">
        <v>428</v>
      </c>
      <c r="HVE93" t="s">
        <v>114</v>
      </c>
      <c r="HVF93" t="s">
        <v>113</v>
      </c>
      <c r="HVG93" t="s">
        <v>398</v>
      </c>
      <c r="HVH93">
        <v>1</v>
      </c>
      <c r="HVI93" t="s">
        <v>438</v>
      </c>
      <c r="HVJ93" t="s">
        <v>440</v>
      </c>
      <c r="HVK93" t="s">
        <v>428</v>
      </c>
      <c r="HVM93" t="s">
        <v>114</v>
      </c>
      <c r="HVN93" t="s">
        <v>113</v>
      </c>
      <c r="HVO93" t="s">
        <v>398</v>
      </c>
      <c r="HVP93">
        <v>1</v>
      </c>
      <c r="HVQ93" t="s">
        <v>438</v>
      </c>
      <c r="HVR93" t="s">
        <v>440</v>
      </c>
      <c r="HVS93" t="s">
        <v>428</v>
      </c>
      <c r="HVU93" t="s">
        <v>114</v>
      </c>
      <c r="HVV93" t="s">
        <v>113</v>
      </c>
      <c r="HVW93" t="s">
        <v>398</v>
      </c>
      <c r="HVX93">
        <v>1</v>
      </c>
      <c r="HVY93" t="s">
        <v>438</v>
      </c>
      <c r="HVZ93" t="s">
        <v>440</v>
      </c>
      <c r="HWA93" t="s">
        <v>428</v>
      </c>
      <c r="HWC93" t="s">
        <v>114</v>
      </c>
      <c r="HWD93" t="s">
        <v>113</v>
      </c>
      <c r="HWE93" t="s">
        <v>398</v>
      </c>
      <c r="HWF93">
        <v>1</v>
      </c>
      <c r="HWG93" t="s">
        <v>438</v>
      </c>
      <c r="HWH93" t="s">
        <v>440</v>
      </c>
      <c r="HWI93" t="s">
        <v>428</v>
      </c>
      <c r="HWK93" t="s">
        <v>114</v>
      </c>
      <c r="HWL93" t="s">
        <v>113</v>
      </c>
      <c r="HWM93" t="s">
        <v>398</v>
      </c>
      <c r="HWN93">
        <v>1</v>
      </c>
      <c r="HWO93" t="s">
        <v>438</v>
      </c>
      <c r="HWP93" t="s">
        <v>440</v>
      </c>
      <c r="HWQ93" t="s">
        <v>428</v>
      </c>
      <c r="HWS93" t="s">
        <v>114</v>
      </c>
      <c r="HWT93" t="s">
        <v>113</v>
      </c>
      <c r="HWU93" t="s">
        <v>398</v>
      </c>
      <c r="HWV93">
        <v>1</v>
      </c>
      <c r="HWW93" t="s">
        <v>438</v>
      </c>
      <c r="HWX93" t="s">
        <v>440</v>
      </c>
      <c r="HWY93" t="s">
        <v>428</v>
      </c>
      <c r="HXA93" t="s">
        <v>114</v>
      </c>
      <c r="HXB93" t="s">
        <v>113</v>
      </c>
      <c r="HXC93" t="s">
        <v>398</v>
      </c>
      <c r="HXD93">
        <v>1</v>
      </c>
      <c r="HXE93" t="s">
        <v>438</v>
      </c>
      <c r="HXF93" t="s">
        <v>440</v>
      </c>
      <c r="HXG93" t="s">
        <v>428</v>
      </c>
      <c r="HXI93" t="s">
        <v>114</v>
      </c>
      <c r="HXJ93" t="s">
        <v>113</v>
      </c>
      <c r="HXK93" t="s">
        <v>398</v>
      </c>
      <c r="HXL93">
        <v>1</v>
      </c>
      <c r="HXM93" t="s">
        <v>438</v>
      </c>
      <c r="HXN93" t="s">
        <v>440</v>
      </c>
      <c r="HXO93" t="s">
        <v>428</v>
      </c>
      <c r="HXQ93" t="s">
        <v>114</v>
      </c>
      <c r="HXR93" t="s">
        <v>113</v>
      </c>
      <c r="HXS93" t="s">
        <v>398</v>
      </c>
      <c r="HXT93">
        <v>1</v>
      </c>
      <c r="HXU93" t="s">
        <v>438</v>
      </c>
      <c r="HXV93" t="s">
        <v>440</v>
      </c>
      <c r="HXW93" t="s">
        <v>428</v>
      </c>
      <c r="HXY93" t="s">
        <v>114</v>
      </c>
      <c r="HXZ93" t="s">
        <v>113</v>
      </c>
      <c r="HYA93" t="s">
        <v>398</v>
      </c>
      <c r="HYB93">
        <v>1</v>
      </c>
      <c r="HYC93" t="s">
        <v>438</v>
      </c>
      <c r="HYD93" t="s">
        <v>440</v>
      </c>
      <c r="HYE93" t="s">
        <v>428</v>
      </c>
      <c r="HYG93" t="s">
        <v>114</v>
      </c>
      <c r="HYH93" t="s">
        <v>113</v>
      </c>
      <c r="HYI93" t="s">
        <v>398</v>
      </c>
      <c r="HYJ93">
        <v>1</v>
      </c>
      <c r="HYK93" t="s">
        <v>438</v>
      </c>
      <c r="HYL93" t="s">
        <v>440</v>
      </c>
      <c r="HYM93" t="s">
        <v>428</v>
      </c>
      <c r="HYO93" t="s">
        <v>114</v>
      </c>
      <c r="HYP93" t="s">
        <v>113</v>
      </c>
      <c r="HYQ93" t="s">
        <v>398</v>
      </c>
      <c r="HYR93">
        <v>1</v>
      </c>
      <c r="HYS93" t="s">
        <v>438</v>
      </c>
      <c r="HYT93" t="s">
        <v>440</v>
      </c>
      <c r="HYU93" t="s">
        <v>428</v>
      </c>
      <c r="HYW93" t="s">
        <v>114</v>
      </c>
      <c r="HYX93" t="s">
        <v>113</v>
      </c>
      <c r="HYY93" t="s">
        <v>398</v>
      </c>
      <c r="HYZ93">
        <v>1</v>
      </c>
      <c r="HZA93" t="s">
        <v>438</v>
      </c>
      <c r="HZB93" t="s">
        <v>440</v>
      </c>
      <c r="HZC93" t="s">
        <v>428</v>
      </c>
      <c r="HZE93" t="s">
        <v>114</v>
      </c>
      <c r="HZF93" t="s">
        <v>113</v>
      </c>
      <c r="HZG93" t="s">
        <v>398</v>
      </c>
      <c r="HZH93">
        <v>1</v>
      </c>
      <c r="HZI93" t="s">
        <v>438</v>
      </c>
      <c r="HZJ93" t="s">
        <v>440</v>
      </c>
      <c r="HZK93" t="s">
        <v>428</v>
      </c>
      <c r="HZM93" t="s">
        <v>114</v>
      </c>
      <c r="HZN93" t="s">
        <v>113</v>
      </c>
      <c r="HZO93" t="s">
        <v>398</v>
      </c>
      <c r="HZP93">
        <v>1</v>
      </c>
      <c r="HZQ93" t="s">
        <v>438</v>
      </c>
      <c r="HZR93" t="s">
        <v>440</v>
      </c>
      <c r="HZS93" t="s">
        <v>428</v>
      </c>
      <c r="HZU93" t="s">
        <v>114</v>
      </c>
      <c r="HZV93" t="s">
        <v>113</v>
      </c>
      <c r="HZW93" t="s">
        <v>398</v>
      </c>
      <c r="HZX93">
        <v>1</v>
      </c>
      <c r="HZY93" t="s">
        <v>438</v>
      </c>
      <c r="HZZ93" t="s">
        <v>440</v>
      </c>
      <c r="IAA93" t="s">
        <v>428</v>
      </c>
      <c r="IAC93" t="s">
        <v>114</v>
      </c>
      <c r="IAD93" t="s">
        <v>113</v>
      </c>
      <c r="IAE93" t="s">
        <v>398</v>
      </c>
      <c r="IAF93">
        <v>1</v>
      </c>
      <c r="IAG93" t="s">
        <v>438</v>
      </c>
      <c r="IAH93" t="s">
        <v>440</v>
      </c>
      <c r="IAI93" t="s">
        <v>428</v>
      </c>
      <c r="IAK93" t="s">
        <v>114</v>
      </c>
      <c r="IAL93" t="s">
        <v>113</v>
      </c>
      <c r="IAM93" t="s">
        <v>398</v>
      </c>
      <c r="IAN93">
        <v>1</v>
      </c>
      <c r="IAO93" t="s">
        <v>438</v>
      </c>
      <c r="IAP93" t="s">
        <v>440</v>
      </c>
      <c r="IAQ93" t="s">
        <v>428</v>
      </c>
      <c r="IAS93" t="s">
        <v>114</v>
      </c>
      <c r="IAT93" t="s">
        <v>113</v>
      </c>
      <c r="IAU93" t="s">
        <v>398</v>
      </c>
      <c r="IAV93">
        <v>1</v>
      </c>
      <c r="IAW93" t="s">
        <v>438</v>
      </c>
      <c r="IAX93" t="s">
        <v>440</v>
      </c>
      <c r="IAY93" t="s">
        <v>428</v>
      </c>
      <c r="IBA93" t="s">
        <v>114</v>
      </c>
      <c r="IBB93" t="s">
        <v>113</v>
      </c>
      <c r="IBC93" t="s">
        <v>398</v>
      </c>
      <c r="IBD93">
        <v>1</v>
      </c>
      <c r="IBE93" t="s">
        <v>438</v>
      </c>
      <c r="IBF93" t="s">
        <v>440</v>
      </c>
      <c r="IBG93" t="s">
        <v>428</v>
      </c>
      <c r="IBI93" t="s">
        <v>114</v>
      </c>
      <c r="IBJ93" t="s">
        <v>113</v>
      </c>
      <c r="IBK93" t="s">
        <v>398</v>
      </c>
      <c r="IBL93">
        <v>1</v>
      </c>
      <c r="IBM93" t="s">
        <v>438</v>
      </c>
      <c r="IBN93" t="s">
        <v>440</v>
      </c>
      <c r="IBO93" t="s">
        <v>428</v>
      </c>
      <c r="IBQ93" t="s">
        <v>114</v>
      </c>
      <c r="IBR93" t="s">
        <v>113</v>
      </c>
      <c r="IBS93" t="s">
        <v>398</v>
      </c>
      <c r="IBT93">
        <v>1</v>
      </c>
      <c r="IBU93" t="s">
        <v>438</v>
      </c>
      <c r="IBV93" t="s">
        <v>440</v>
      </c>
      <c r="IBW93" t="s">
        <v>428</v>
      </c>
      <c r="IBY93" t="s">
        <v>114</v>
      </c>
      <c r="IBZ93" t="s">
        <v>113</v>
      </c>
      <c r="ICA93" t="s">
        <v>398</v>
      </c>
      <c r="ICB93">
        <v>1</v>
      </c>
      <c r="ICC93" t="s">
        <v>438</v>
      </c>
      <c r="ICD93" t="s">
        <v>440</v>
      </c>
      <c r="ICE93" t="s">
        <v>428</v>
      </c>
      <c r="ICG93" t="s">
        <v>114</v>
      </c>
      <c r="ICH93" t="s">
        <v>113</v>
      </c>
      <c r="ICI93" t="s">
        <v>398</v>
      </c>
      <c r="ICJ93">
        <v>1</v>
      </c>
      <c r="ICK93" t="s">
        <v>438</v>
      </c>
      <c r="ICL93" t="s">
        <v>440</v>
      </c>
      <c r="ICM93" t="s">
        <v>428</v>
      </c>
      <c r="ICO93" t="s">
        <v>114</v>
      </c>
      <c r="ICP93" t="s">
        <v>113</v>
      </c>
      <c r="ICQ93" t="s">
        <v>398</v>
      </c>
      <c r="ICR93">
        <v>1</v>
      </c>
      <c r="ICS93" t="s">
        <v>438</v>
      </c>
      <c r="ICT93" t="s">
        <v>440</v>
      </c>
      <c r="ICU93" t="s">
        <v>428</v>
      </c>
      <c r="ICW93" t="s">
        <v>114</v>
      </c>
      <c r="ICX93" t="s">
        <v>113</v>
      </c>
      <c r="ICY93" t="s">
        <v>398</v>
      </c>
      <c r="ICZ93">
        <v>1</v>
      </c>
      <c r="IDA93" t="s">
        <v>438</v>
      </c>
      <c r="IDB93" t="s">
        <v>440</v>
      </c>
      <c r="IDC93" t="s">
        <v>428</v>
      </c>
      <c r="IDE93" t="s">
        <v>114</v>
      </c>
      <c r="IDF93" t="s">
        <v>113</v>
      </c>
      <c r="IDG93" t="s">
        <v>398</v>
      </c>
      <c r="IDH93">
        <v>1</v>
      </c>
      <c r="IDI93" t="s">
        <v>438</v>
      </c>
      <c r="IDJ93" t="s">
        <v>440</v>
      </c>
      <c r="IDK93" t="s">
        <v>428</v>
      </c>
      <c r="IDM93" t="s">
        <v>114</v>
      </c>
      <c r="IDN93" t="s">
        <v>113</v>
      </c>
      <c r="IDO93" t="s">
        <v>398</v>
      </c>
      <c r="IDP93">
        <v>1</v>
      </c>
      <c r="IDQ93" t="s">
        <v>438</v>
      </c>
      <c r="IDR93" t="s">
        <v>440</v>
      </c>
      <c r="IDS93" t="s">
        <v>428</v>
      </c>
      <c r="IDU93" t="s">
        <v>114</v>
      </c>
      <c r="IDV93" t="s">
        <v>113</v>
      </c>
      <c r="IDW93" t="s">
        <v>398</v>
      </c>
      <c r="IDX93">
        <v>1</v>
      </c>
      <c r="IDY93" t="s">
        <v>438</v>
      </c>
      <c r="IDZ93" t="s">
        <v>440</v>
      </c>
      <c r="IEA93" t="s">
        <v>428</v>
      </c>
      <c r="IEC93" t="s">
        <v>114</v>
      </c>
      <c r="IED93" t="s">
        <v>113</v>
      </c>
      <c r="IEE93" t="s">
        <v>398</v>
      </c>
      <c r="IEF93">
        <v>1</v>
      </c>
      <c r="IEG93" t="s">
        <v>438</v>
      </c>
      <c r="IEH93" t="s">
        <v>440</v>
      </c>
      <c r="IEI93" t="s">
        <v>428</v>
      </c>
      <c r="IEK93" t="s">
        <v>114</v>
      </c>
      <c r="IEL93" t="s">
        <v>113</v>
      </c>
      <c r="IEM93" t="s">
        <v>398</v>
      </c>
      <c r="IEN93">
        <v>1</v>
      </c>
      <c r="IEO93" t="s">
        <v>438</v>
      </c>
      <c r="IEP93" t="s">
        <v>440</v>
      </c>
      <c r="IEQ93" t="s">
        <v>428</v>
      </c>
      <c r="IES93" t="s">
        <v>114</v>
      </c>
      <c r="IET93" t="s">
        <v>113</v>
      </c>
      <c r="IEU93" t="s">
        <v>398</v>
      </c>
      <c r="IEV93">
        <v>1</v>
      </c>
      <c r="IEW93" t="s">
        <v>438</v>
      </c>
      <c r="IEX93" t="s">
        <v>440</v>
      </c>
      <c r="IEY93" t="s">
        <v>428</v>
      </c>
      <c r="IFA93" t="s">
        <v>114</v>
      </c>
      <c r="IFB93" t="s">
        <v>113</v>
      </c>
      <c r="IFC93" t="s">
        <v>398</v>
      </c>
      <c r="IFD93">
        <v>1</v>
      </c>
      <c r="IFE93" t="s">
        <v>438</v>
      </c>
      <c r="IFF93" t="s">
        <v>440</v>
      </c>
      <c r="IFG93" t="s">
        <v>428</v>
      </c>
      <c r="IFI93" t="s">
        <v>114</v>
      </c>
      <c r="IFJ93" t="s">
        <v>113</v>
      </c>
      <c r="IFK93" t="s">
        <v>398</v>
      </c>
      <c r="IFL93">
        <v>1</v>
      </c>
      <c r="IFM93" t="s">
        <v>438</v>
      </c>
      <c r="IFN93" t="s">
        <v>440</v>
      </c>
      <c r="IFO93" t="s">
        <v>428</v>
      </c>
      <c r="IFQ93" t="s">
        <v>114</v>
      </c>
      <c r="IFR93" t="s">
        <v>113</v>
      </c>
      <c r="IFS93" t="s">
        <v>398</v>
      </c>
      <c r="IFT93">
        <v>1</v>
      </c>
      <c r="IFU93" t="s">
        <v>438</v>
      </c>
      <c r="IFV93" t="s">
        <v>440</v>
      </c>
      <c r="IFW93" t="s">
        <v>428</v>
      </c>
      <c r="IFY93" t="s">
        <v>114</v>
      </c>
      <c r="IFZ93" t="s">
        <v>113</v>
      </c>
      <c r="IGA93" t="s">
        <v>398</v>
      </c>
      <c r="IGB93">
        <v>1</v>
      </c>
      <c r="IGC93" t="s">
        <v>438</v>
      </c>
      <c r="IGD93" t="s">
        <v>440</v>
      </c>
      <c r="IGE93" t="s">
        <v>428</v>
      </c>
      <c r="IGG93" t="s">
        <v>114</v>
      </c>
      <c r="IGH93" t="s">
        <v>113</v>
      </c>
      <c r="IGI93" t="s">
        <v>398</v>
      </c>
      <c r="IGJ93">
        <v>1</v>
      </c>
      <c r="IGK93" t="s">
        <v>438</v>
      </c>
      <c r="IGL93" t="s">
        <v>440</v>
      </c>
      <c r="IGM93" t="s">
        <v>428</v>
      </c>
      <c r="IGO93" t="s">
        <v>114</v>
      </c>
      <c r="IGP93" t="s">
        <v>113</v>
      </c>
      <c r="IGQ93" t="s">
        <v>398</v>
      </c>
      <c r="IGR93">
        <v>1</v>
      </c>
      <c r="IGS93" t="s">
        <v>438</v>
      </c>
      <c r="IGT93" t="s">
        <v>440</v>
      </c>
      <c r="IGU93" t="s">
        <v>428</v>
      </c>
      <c r="IGW93" t="s">
        <v>114</v>
      </c>
      <c r="IGX93" t="s">
        <v>113</v>
      </c>
      <c r="IGY93" t="s">
        <v>398</v>
      </c>
      <c r="IGZ93">
        <v>1</v>
      </c>
      <c r="IHA93" t="s">
        <v>438</v>
      </c>
      <c r="IHB93" t="s">
        <v>440</v>
      </c>
      <c r="IHC93" t="s">
        <v>428</v>
      </c>
      <c r="IHE93" t="s">
        <v>114</v>
      </c>
      <c r="IHF93" t="s">
        <v>113</v>
      </c>
      <c r="IHG93" t="s">
        <v>398</v>
      </c>
      <c r="IHH93">
        <v>1</v>
      </c>
      <c r="IHI93" t="s">
        <v>438</v>
      </c>
      <c r="IHJ93" t="s">
        <v>440</v>
      </c>
      <c r="IHK93" t="s">
        <v>428</v>
      </c>
      <c r="IHM93" t="s">
        <v>114</v>
      </c>
      <c r="IHN93" t="s">
        <v>113</v>
      </c>
      <c r="IHO93" t="s">
        <v>398</v>
      </c>
      <c r="IHP93">
        <v>1</v>
      </c>
      <c r="IHQ93" t="s">
        <v>438</v>
      </c>
      <c r="IHR93" t="s">
        <v>440</v>
      </c>
      <c r="IHS93" t="s">
        <v>428</v>
      </c>
      <c r="IHU93" t="s">
        <v>114</v>
      </c>
      <c r="IHV93" t="s">
        <v>113</v>
      </c>
      <c r="IHW93" t="s">
        <v>398</v>
      </c>
      <c r="IHX93">
        <v>1</v>
      </c>
      <c r="IHY93" t="s">
        <v>438</v>
      </c>
      <c r="IHZ93" t="s">
        <v>440</v>
      </c>
      <c r="IIA93" t="s">
        <v>428</v>
      </c>
      <c r="IIC93" t="s">
        <v>114</v>
      </c>
      <c r="IID93" t="s">
        <v>113</v>
      </c>
      <c r="IIE93" t="s">
        <v>398</v>
      </c>
      <c r="IIF93">
        <v>1</v>
      </c>
      <c r="IIG93" t="s">
        <v>438</v>
      </c>
      <c r="IIH93" t="s">
        <v>440</v>
      </c>
      <c r="III93" t="s">
        <v>428</v>
      </c>
      <c r="IIK93" t="s">
        <v>114</v>
      </c>
      <c r="IIL93" t="s">
        <v>113</v>
      </c>
      <c r="IIM93" t="s">
        <v>398</v>
      </c>
      <c r="IIN93">
        <v>1</v>
      </c>
      <c r="IIO93" t="s">
        <v>438</v>
      </c>
      <c r="IIP93" t="s">
        <v>440</v>
      </c>
      <c r="IIQ93" t="s">
        <v>428</v>
      </c>
      <c r="IIS93" t="s">
        <v>114</v>
      </c>
      <c r="IIT93" t="s">
        <v>113</v>
      </c>
      <c r="IIU93" t="s">
        <v>398</v>
      </c>
      <c r="IIV93">
        <v>1</v>
      </c>
      <c r="IIW93" t="s">
        <v>438</v>
      </c>
      <c r="IIX93" t="s">
        <v>440</v>
      </c>
      <c r="IIY93" t="s">
        <v>428</v>
      </c>
      <c r="IJA93" t="s">
        <v>114</v>
      </c>
      <c r="IJB93" t="s">
        <v>113</v>
      </c>
      <c r="IJC93" t="s">
        <v>398</v>
      </c>
      <c r="IJD93">
        <v>1</v>
      </c>
      <c r="IJE93" t="s">
        <v>438</v>
      </c>
      <c r="IJF93" t="s">
        <v>440</v>
      </c>
      <c r="IJG93" t="s">
        <v>428</v>
      </c>
      <c r="IJI93" t="s">
        <v>114</v>
      </c>
      <c r="IJJ93" t="s">
        <v>113</v>
      </c>
      <c r="IJK93" t="s">
        <v>398</v>
      </c>
      <c r="IJL93">
        <v>1</v>
      </c>
      <c r="IJM93" t="s">
        <v>438</v>
      </c>
      <c r="IJN93" t="s">
        <v>440</v>
      </c>
      <c r="IJO93" t="s">
        <v>428</v>
      </c>
      <c r="IJQ93" t="s">
        <v>114</v>
      </c>
      <c r="IJR93" t="s">
        <v>113</v>
      </c>
      <c r="IJS93" t="s">
        <v>398</v>
      </c>
      <c r="IJT93">
        <v>1</v>
      </c>
      <c r="IJU93" t="s">
        <v>438</v>
      </c>
      <c r="IJV93" t="s">
        <v>440</v>
      </c>
      <c r="IJW93" t="s">
        <v>428</v>
      </c>
      <c r="IJY93" t="s">
        <v>114</v>
      </c>
      <c r="IJZ93" t="s">
        <v>113</v>
      </c>
      <c r="IKA93" t="s">
        <v>398</v>
      </c>
      <c r="IKB93">
        <v>1</v>
      </c>
      <c r="IKC93" t="s">
        <v>438</v>
      </c>
      <c r="IKD93" t="s">
        <v>440</v>
      </c>
      <c r="IKE93" t="s">
        <v>428</v>
      </c>
      <c r="IKG93" t="s">
        <v>114</v>
      </c>
      <c r="IKH93" t="s">
        <v>113</v>
      </c>
      <c r="IKI93" t="s">
        <v>398</v>
      </c>
      <c r="IKJ93">
        <v>1</v>
      </c>
      <c r="IKK93" t="s">
        <v>438</v>
      </c>
      <c r="IKL93" t="s">
        <v>440</v>
      </c>
      <c r="IKM93" t="s">
        <v>428</v>
      </c>
      <c r="IKO93" t="s">
        <v>114</v>
      </c>
      <c r="IKP93" t="s">
        <v>113</v>
      </c>
      <c r="IKQ93" t="s">
        <v>398</v>
      </c>
      <c r="IKR93">
        <v>1</v>
      </c>
      <c r="IKS93" t="s">
        <v>438</v>
      </c>
      <c r="IKT93" t="s">
        <v>440</v>
      </c>
      <c r="IKU93" t="s">
        <v>428</v>
      </c>
      <c r="IKW93" t="s">
        <v>114</v>
      </c>
      <c r="IKX93" t="s">
        <v>113</v>
      </c>
      <c r="IKY93" t="s">
        <v>398</v>
      </c>
      <c r="IKZ93">
        <v>1</v>
      </c>
      <c r="ILA93" t="s">
        <v>438</v>
      </c>
      <c r="ILB93" t="s">
        <v>440</v>
      </c>
      <c r="ILC93" t="s">
        <v>428</v>
      </c>
      <c r="ILE93" t="s">
        <v>114</v>
      </c>
      <c r="ILF93" t="s">
        <v>113</v>
      </c>
      <c r="ILG93" t="s">
        <v>398</v>
      </c>
      <c r="ILH93">
        <v>1</v>
      </c>
      <c r="ILI93" t="s">
        <v>438</v>
      </c>
      <c r="ILJ93" t="s">
        <v>440</v>
      </c>
      <c r="ILK93" t="s">
        <v>428</v>
      </c>
      <c r="ILM93" t="s">
        <v>114</v>
      </c>
      <c r="ILN93" t="s">
        <v>113</v>
      </c>
      <c r="ILO93" t="s">
        <v>398</v>
      </c>
      <c r="ILP93">
        <v>1</v>
      </c>
      <c r="ILQ93" t="s">
        <v>438</v>
      </c>
      <c r="ILR93" t="s">
        <v>440</v>
      </c>
      <c r="ILS93" t="s">
        <v>428</v>
      </c>
      <c r="ILU93" t="s">
        <v>114</v>
      </c>
      <c r="ILV93" t="s">
        <v>113</v>
      </c>
      <c r="ILW93" t="s">
        <v>398</v>
      </c>
      <c r="ILX93">
        <v>1</v>
      </c>
      <c r="ILY93" t="s">
        <v>438</v>
      </c>
      <c r="ILZ93" t="s">
        <v>440</v>
      </c>
      <c r="IMA93" t="s">
        <v>428</v>
      </c>
      <c r="IMC93" t="s">
        <v>114</v>
      </c>
      <c r="IMD93" t="s">
        <v>113</v>
      </c>
      <c r="IME93" t="s">
        <v>398</v>
      </c>
      <c r="IMF93">
        <v>1</v>
      </c>
      <c r="IMG93" t="s">
        <v>438</v>
      </c>
      <c r="IMH93" t="s">
        <v>440</v>
      </c>
      <c r="IMI93" t="s">
        <v>428</v>
      </c>
      <c r="IMK93" t="s">
        <v>114</v>
      </c>
      <c r="IML93" t="s">
        <v>113</v>
      </c>
      <c r="IMM93" t="s">
        <v>398</v>
      </c>
      <c r="IMN93">
        <v>1</v>
      </c>
      <c r="IMO93" t="s">
        <v>438</v>
      </c>
      <c r="IMP93" t="s">
        <v>440</v>
      </c>
      <c r="IMQ93" t="s">
        <v>428</v>
      </c>
      <c r="IMS93" t="s">
        <v>114</v>
      </c>
      <c r="IMT93" t="s">
        <v>113</v>
      </c>
      <c r="IMU93" t="s">
        <v>398</v>
      </c>
      <c r="IMV93">
        <v>1</v>
      </c>
      <c r="IMW93" t="s">
        <v>438</v>
      </c>
      <c r="IMX93" t="s">
        <v>440</v>
      </c>
      <c r="IMY93" t="s">
        <v>428</v>
      </c>
      <c r="INA93" t="s">
        <v>114</v>
      </c>
      <c r="INB93" t="s">
        <v>113</v>
      </c>
      <c r="INC93" t="s">
        <v>398</v>
      </c>
      <c r="IND93">
        <v>1</v>
      </c>
      <c r="INE93" t="s">
        <v>438</v>
      </c>
      <c r="INF93" t="s">
        <v>440</v>
      </c>
      <c r="ING93" t="s">
        <v>428</v>
      </c>
      <c r="INI93" t="s">
        <v>114</v>
      </c>
      <c r="INJ93" t="s">
        <v>113</v>
      </c>
      <c r="INK93" t="s">
        <v>398</v>
      </c>
      <c r="INL93">
        <v>1</v>
      </c>
      <c r="INM93" t="s">
        <v>438</v>
      </c>
      <c r="INN93" t="s">
        <v>440</v>
      </c>
      <c r="INO93" t="s">
        <v>428</v>
      </c>
      <c r="INQ93" t="s">
        <v>114</v>
      </c>
      <c r="INR93" t="s">
        <v>113</v>
      </c>
      <c r="INS93" t="s">
        <v>398</v>
      </c>
      <c r="INT93">
        <v>1</v>
      </c>
      <c r="INU93" t="s">
        <v>438</v>
      </c>
      <c r="INV93" t="s">
        <v>440</v>
      </c>
      <c r="INW93" t="s">
        <v>428</v>
      </c>
      <c r="INY93" t="s">
        <v>114</v>
      </c>
      <c r="INZ93" t="s">
        <v>113</v>
      </c>
      <c r="IOA93" t="s">
        <v>398</v>
      </c>
      <c r="IOB93">
        <v>1</v>
      </c>
      <c r="IOC93" t="s">
        <v>438</v>
      </c>
      <c r="IOD93" t="s">
        <v>440</v>
      </c>
      <c r="IOE93" t="s">
        <v>428</v>
      </c>
      <c r="IOG93" t="s">
        <v>114</v>
      </c>
      <c r="IOH93" t="s">
        <v>113</v>
      </c>
      <c r="IOI93" t="s">
        <v>398</v>
      </c>
      <c r="IOJ93">
        <v>1</v>
      </c>
      <c r="IOK93" t="s">
        <v>438</v>
      </c>
      <c r="IOL93" t="s">
        <v>440</v>
      </c>
      <c r="IOM93" t="s">
        <v>428</v>
      </c>
      <c r="IOO93" t="s">
        <v>114</v>
      </c>
      <c r="IOP93" t="s">
        <v>113</v>
      </c>
      <c r="IOQ93" t="s">
        <v>398</v>
      </c>
      <c r="IOR93">
        <v>1</v>
      </c>
      <c r="IOS93" t="s">
        <v>438</v>
      </c>
      <c r="IOT93" t="s">
        <v>440</v>
      </c>
      <c r="IOU93" t="s">
        <v>428</v>
      </c>
      <c r="IOW93" t="s">
        <v>114</v>
      </c>
      <c r="IOX93" t="s">
        <v>113</v>
      </c>
      <c r="IOY93" t="s">
        <v>398</v>
      </c>
      <c r="IOZ93">
        <v>1</v>
      </c>
      <c r="IPA93" t="s">
        <v>438</v>
      </c>
      <c r="IPB93" t="s">
        <v>440</v>
      </c>
      <c r="IPC93" t="s">
        <v>428</v>
      </c>
      <c r="IPE93" t="s">
        <v>114</v>
      </c>
      <c r="IPF93" t="s">
        <v>113</v>
      </c>
      <c r="IPG93" t="s">
        <v>398</v>
      </c>
      <c r="IPH93">
        <v>1</v>
      </c>
      <c r="IPI93" t="s">
        <v>438</v>
      </c>
      <c r="IPJ93" t="s">
        <v>440</v>
      </c>
      <c r="IPK93" t="s">
        <v>428</v>
      </c>
      <c r="IPM93" t="s">
        <v>114</v>
      </c>
      <c r="IPN93" t="s">
        <v>113</v>
      </c>
      <c r="IPO93" t="s">
        <v>398</v>
      </c>
      <c r="IPP93">
        <v>1</v>
      </c>
      <c r="IPQ93" t="s">
        <v>438</v>
      </c>
      <c r="IPR93" t="s">
        <v>440</v>
      </c>
      <c r="IPS93" t="s">
        <v>428</v>
      </c>
      <c r="IPU93" t="s">
        <v>114</v>
      </c>
      <c r="IPV93" t="s">
        <v>113</v>
      </c>
      <c r="IPW93" t="s">
        <v>398</v>
      </c>
      <c r="IPX93">
        <v>1</v>
      </c>
      <c r="IPY93" t="s">
        <v>438</v>
      </c>
      <c r="IPZ93" t="s">
        <v>440</v>
      </c>
      <c r="IQA93" t="s">
        <v>428</v>
      </c>
      <c r="IQC93" t="s">
        <v>114</v>
      </c>
      <c r="IQD93" t="s">
        <v>113</v>
      </c>
      <c r="IQE93" t="s">
        <v>398</v>
      </c>
      <c r="IQF93">
        <v>1</v>
      </c>
      <c r="IQG93" t="s">
        <v>438</v>
      </c>
      <c r="IQH93" t="s">
        <v>440</v>
      </c>
      <c r="IQI93" t="s">
        <v>428</v>
      </c>
      <c r="IQK93" t="s">
        <v>114</v>
      </c>
      <c r="IQL93" t="s">
        <v>113</v>
      </c>
      <c r="IQM93" t="s">
        <v>398</v>
      </c>
      <c r="IQN93">
        <v>1</v>
      </c>
      <c r="IQO93" t="s">
        <v>438</v>
      </c>
      <c r="IQP93" t="s">
        <v>440</v>
      </c>
      <c r="IQQ93" t="s">
        <v>428</v>
      </c>
      <c r="IQS93" t="s">
        <v>114</v>
      </c>
      <c r="IQT93" t="s">
        <v>113</v>
      </c>
      <c r="IQU93" t="s">
        <v>398</v>
      </c>
      <c r="IQV93">
        <v>1</v>
      </c>
      <c r="IQW93" t="s">
        <v>438</v>
      </c>
      <c r="IQX93" t="s">
        <v>440</v>
      </c>
      <c r="IQY93" t="s">
        <v>428</v>
      </c>
      <c r="IRA93" t="s">
        <v>114</v>
      </c>
      <c r="IRB93" t="s">
        <v>113</v>
      </c>
      <c r="IRC93" t="s">
        <v>398</v>
      </c>
      <c r="IRD93">
        <v>1</v>
      </c>
      <c r="IRE93" t="s">
        <v>438</v>
      </c>
      <c r="IRF93" t="s">
        <v>440</v>
      </c>
      <c r="IRG93" t="s">
        <v>428</v>
      </c>
      <c r="IRI93" t="s">
        <v>114</v>
      </c>
      <c r="IRJ93" t="s">
        <v>113</v>
      </c>
      <c r="IRK93" t="s">
        <v>398</v>
      </c>
      <c r="IRL93">
        <v>1</v>
      </c>
      <c r="IRM93" t="s">
        <v>438</v>
      </c>
      <c r="IRN93" t="s">
        <v>440</v>
      </c>
      <c r="IRO93" t="s">
        <v>428</v>
      </c>
      <c r="IRQ93" t="s">
        <v>114</v>
      </c>
      <c r="IRR93" t="s">
        <v>113</v>
      </c>
      <c r="IRS93" t="s">
        <v>398</v>
      </c>
      <c r="IRT93">
        <v>1</v>
      </c>
      <c r="IRU93" t="s">
        <v>438</v>
      </c>
      <c r="IRV93" t="s">
        <v>440</v>
      </c>
      <c r="IRW93" t="s">
        <v>428</v>
      </c>
      <c r="IRY93" t="s">
        <v>114</v>
      </c>
      <c r="IRZ93" t="s">
        <v>113</v>
      </c>
      <c r="ISA93" t="s">
        <v>398</v>
      </c>
      <c r="ISB93">
        <v>1</v>
      </c>
      <c r="ISC93" t="s">
        <v>438</v>
      </c>
      <c r="ISD93" t="s">
        <v>440</v>
      </c>
      <c r="ISE93" t="s">
        <v>428</v>
      </c>
      <c r="ISG93" t="s">
        <v>114</v>
      </c>
      <c r="ISH93" t="s">
        <v>113</v>
      </c>
      <c r="ISI93" t="s">
        <v>398</v>
      </c>
      <c r="ISJ93">
        <v>1</v>
      </c>
      <c r="ISK93" t="s">
        <v>438</v>
      </c>
      <c r="ISL93" t="s">
        <v>440</v>
      </c>
      <c r="ISM93" t="s">
        <v>428</v>
      </c>
      <c r="ISO93" t="s">
        <v>114</v>
      </c>
      <c r="ISP93" t="s">
        <v>113</v>
      </c>
      <c r="ISQ93" t="s">
        <v>398</v>
      </c>
      <c r="ISR93">
        <v>1</v>
      </c>
      <c r="ISS93" t="s">
        <v>438</v>
      </c>
      <c r="IST93" t="s">
        <v>440</v>
      </c>
      <c r="ISU93" t="s">
        <v>428</v>
      </c>
      <c r="ISW93" t="s">
        <v>114</v>
      </c>
      <c r="ISX93" t="s">
        <v>113</v>
      </c>
      <c r="ISY93" t="s">
        <v>398</v>
      </c>
      <c r="ISZ93">
        <v>1</v>
      </c>
      <c r="ITA93" t="s">
        <v>438</v>
      </c>
      <c r="ITB93" t="s">
        <v>440</v>
      </c>
      <c r="ITC93" t="s">
        <v>428</v>
      </c>
      <c r="ITE93" t="s">
        <v>114</v>
      </c>
      <c r="ITF93" t="s">
        <v>113</v>
      </c>
      <c r="ITG93" t="s">
        <v>398</v>
      </c>
      <c r="ITH93">
        <v>1</v>
      </c>
      <c r="ITI93" t="s">
        <v>438</v>
      </c>
      <c r="ITJ93" t="s">
        <v>440</v>
      </c>
      <c r="ITK93" t="s">
        <v>428</v>
      </c>
      <c r="ITM93" t="s">
        <v>114</v>
      </c>
      <c r="ITN93" t="s">
        <v>113</v>
      </c>
      <c r="ITO93" t="s">
        <v>398</v>
      </c>
      <c r="ITP93">
        <v>1</v>
      </c>
      <c r="ITQ93" t="s">
        <v>438</v>
      </c>
      <c r="ITR93" t="s">
        <v>440</v>
      </c>
      <c r="ITS93" t="s">
        <v>428</v>
      </c>
      <c r="ITU93" t="s">
        <v>114</v>
      </c>
      <c r="ITV93" t="s">
        <v>113</v>
      </c>
      <c r="ITW93" t="s">
        <v>398</v>
      </c>
      <c r="ITX93">
        <v>1</v>
      </c>
      <c r="ITY93" t="s">
        <v>438</v>
      </c>
      <c r="ITZ93" t="s">
        <v>440</v>
      </c>
      <c r="IUA93" t="s">
        <v>428</v>
      </c>
      <c r="IUC93" t="s">
        <v>114</v>
      </c>
      <c r="IUD93" t="s">
        <v>113</v>
      </c>
      <c r="IUE93" t="s">
        <v>398</v>
      </c>
      <c r="IUF93">
        <v>1</v>
      </c>
      <c r="IUG93" t="s">
        <v>438</v>
      </c>
      <c r="IUH93" t="s">
        <v>440</v>
      </c>
      <c r="IUI93" t="s">
        <v>428</v>
      </c>
      <c r="IUK93" t="s">
        <v>114</v>
      </c>
      <c r="IUL93" t="s">
        <v>113</v>
      </c>
      <c r="IUM93" t="s">
        <v>398</v>
      </c>
      <c r="IUN93">
        <v>1</v>
      </c>
      <c r="IUO93" t="s">
        <v>438</v>
      </c>
      <c r="IUP93" t="s">
        <v>440</v>
      </c>
      <c r="IUQ93" t="s">
        <v>428</v>
      </c>
      <c r="IUS93" t="s">
        <v>114</v>
      </c>
      <c r="IUT93" t="s">
        <v>113</v>
      </c>
      <c r="IUU93" t="s">
        <v>398</v>
      </c>
      <c r="IUV93">
        <v>1</v>
      </c>
      <c r="IUW93" t="s">
        <v>438</v>
      </c>
      <c r="IUX93" t="s">
        <v>440</v>
      </c>
      <c r="IUY93" t="s">
        <v>428</v>
      </c>
      <c r="IVA93" t="s">
        <v>114</v>
      </c>
      <c r="IVB93" t="s">
        <v>113</v>
      </c>
      <c r="IVC93" t="s">
        <v>398</v>
      </c>
      <c r="IVD93">
        <v>1</v>
      </c>
      <c r="IVE93" t="s">
        <v>438</v>
      </c>
      <c r="IVF93" t="s">
        <v>440</v>
      </c>
      <c r="IVG93" t="s">
        <v>428</v>
      </c>
      <c r="IVI93" t="s">
        <v>114</v>
      </c>
      <c r="IVJ93" t="s">
        <v>113</v>
      </c>
      <c r="IVK93" t="s">
        <v>398</v>
      </c>
      <c r="IVL93">
        <v>1</v>
      </c>
      <c r="IVM93" t="s">
        <v>438</v>
      </c>
      <c r="IVN93" t="s">
        <v>440</v>
      </c>
      <c r="IVO93" t="s">
        <v>428</v>
      </c>
      <c r="IVQ93" t="s">
        <v>114</v>
      </c>
      <c r="IVR93" t="s">
        <v>113</v>
      </c>
      <c r="IVS93" t="s">
        <v>398</v>
      </c>
      <c r="IVT93">
        <v>1</v>
      </c>
      <c r="IVU93" t="s">
        <v>438</v>
      </c>
      <c r="IVV93" t="s">
        <v>440</v>
      </c>
      <c r="IVW93" t="s">
        <v>428</v>
      </c>
      <c r="IVY93" t="s">
        <v>114</v>
      </c>
      <c r="IVZ93" t="s">
        <v>113</v>
      </c>
      <c r="IWA93" t="s">
        <v>398</v>
      </c>
      <c r="IWB93">
        <v>1</v>
      </c>
      <c r="IWC93" t="s">
        <v>438</v>
      </c>
      <c r="IWD93" t="s">
        <v>440</v>
      </c>
      <c r="IWE93" t="s">
        <v>428</v>
      </c>
      <c r="IWG93" t="s">
        <v>114</v>
      </c>
      <c r="IWH93" t="s">
        <v>113</v>
      </c>
      <c r="IWI93" t="s">
        <v>398</v>
      </c>
      <c r="IWJ93">
        <v>1</v>
      </c>
      <c r="IWK93" t="s">
        <v>438</v>
      </c>
      <c r="IWL93" t="s">
        <v>440</v>
      </c>
      <c r="IWM93" t="s">
        <v>428</v>
      </c>
      <c r="IWO93" t="s">
        <v>114</v>
      </c>
      <c r="IWP93" t="s">
        <v>113</v>
      </c>
      <c r="IWQ93" t="s">
        <v>398</v>
      </c>
      <c r="IWR93">
        <v>1</v>
      </c>
      <c r="IWS93" t="s">
        <v>438</v>
      </c>
      <c r="IWT93" t="s">
        <v>440</v>
      </c>
      <c r="IWU93" t="s">
        <v>428</v>
      </c>
      <c r="IWW93" t="s">
        <v>114</v>
      </c>
      <c r="IWX93" t="s">
        <v>113</v>
      </c>
      <c r="IWY93" t="s">
        <v>398</v>
      </c>
      <c r="IWZ93">
        <v>1</v>
      </c>
      <c r="IXA93" t="s">
        <v>438</v>
      </c>
      <c r="IXB93" t="s">
        <v>440</v>
      </c>
      <c r="IXC93" t="s">
        <v>428</v>
      </c>
      <c r="IXE93" t="s">
        <v>114</v>
      </c>
      <c r="IXF93" t="s">
        <v>113</v>
      </c>
      <c r="IXG93" t="s">
        <v>398</v>
      </c>
      <c r="IXH93">
        <v>1</v>
      </c>
      <c r="IXI93" t="s">
        <v>438</v>
      </c>
      <c r="IXJ93" t="s">
        <v>440</v>
      </c>
      <c r="IXK93" t="s">
        <v>428</v>
      </c>
      <c r="IXM93" t="s">
        <v>114</v>
      </c>
      <c r="IXN93" t="s">
        <v>113</v>
      </c>
      <c r="IXO93" t="s">
        <v>398</v>
      </c>
      <c r="IXP93">
        <v>1</v>
      </c>
      <c r="IXQ93" t="s">
        <v>438</v>
      </c>
      <c r="IXR93" t="s">
        <v>440</v>
      </c>
      <c r="IXS93" t="s">
        <v>428</v>
      </c>
      <c r="IXU93" t="s">
        <v>114</v>
      </c>
      <c r="IXV93" t="s">
        <v>113</v>
      </c>
      <c r="IXW93" t="s">
        <v>398</v>
      </c>
      <c r="IXX93">
        <v>1</v>
      </c>
      <c r="IXY93" t="s">
        <v>438</v>
      </c>
      <c r="IXZ93" t="s">
        <v>440</v>
      </c>
      <c r="IYA93" t="s">
        <v>428</v>
      </c>
      <c r="IYC93" t="s">
        <v>114</v>
      </c>
      <c r="IYD93" t="s">
        <v>113</v>
      </c>
      <c r="IYE93" t="s">
        <v>398</v>
      </c>
      <c r="IYF93">
        <v>1</v>
      </c>
      <c r="IYG93" t="s">
        <v>438</v>
      </c>
      <c r="IYH93" t="s">
        <v>440</v>
      </c>
      <c r="IYI93" t="s">
        <v>428</v>
      </c>
      <c r="IYK93" t="s">
        <v>114</v>
      </c>
      <c r="IYL93" t="s">
        <v>113</v>
      </c>
      <c r="IYM93" t="s">
        <v>398</v>
      </c>
      <c r="IYN93">
        <v>1</v>
      </c>
      <c r="IYO93" t="s">
        <v>438</v>
      </c>
      <c r="IYP93" t="s">
        <v>440</v>
      </c>
      <c r="IYQ93" t="s">
        <v>428</v>
      </c>
      <c r="IYS93" t="s">
        <v>114</v>
      </c>
      <c r="IYT93" t="s">
        <v>113</v>
      </c>
      <c r="IYU93" t="s">
        <v>398</v>
      </c>
      <c r="IYV93">
        <v>1</v>
      </c>
      <c r="IYW93" t="s">
        <v>438</v>
      </c>
      <c r="IYX93" t="s">
        <v>440</v>
      </c>
      <c r="IYY93" t="s">
        <v>428</v>
      </c>
      <c r="IZA93" t="s">
        <v>114</v>
      </c>
      <c r="IZB93" t="s">
        <v>113</v>
      </c>
      <c r="IZC93" t="s">
        <v>398</v>
      </c>
      <c r="IZD93">
        <v>1</v>
      </c>
      <c r="IZE93" t="s">
        <v>438</v>
      </c>
      <c r="IZF93" t="s">
        <v>440</v>
      </c>
      <c r="IZG93" t="s">
        <v>428</v>
      </c>
      <c r="IZI93" t="s">
        <v>114</v>
      </c>
      <c r="IZJ93" t="s">
        <v>113</v>
      </c>
      <c r="IZK93" t="s">
        <v>398</v>
      </c>
      <c r="IZL93">
        <v>1</v>
      </c>
      <c r="IZM93" t="s">
        <v>438</v>
      </c>
      <c r="IZN93" t="s">
        <v>440</v>
      </c>
      <c r="IZO93" t="s">
        <v>428</v>
      </c>
      <c r="IZQ93" t="s">
        <v>114</v>
      </c>
      <c r="IZR93" t="s">
        <v>113</v>
      </c>
      <c r="IZS93" t="s">
        <v>398</v>
      </c>
      <c r="IZT93">
        <v>1</v>
      </c>
      <c r="IZU93" t="s">
        <v>438</v>
      </c>
      <c r="IZV93" t="s">
        <v>440</v>
      </c>
      <c r="IZW93" t="s">
        <v>428</v>
      </c>
      <c r="IZY93" t="s">
        <v>114</v>
      </c>
      <c r="IZZ93" t="s">
        <v>113</v>
      </c>
      <c r="JAA93" t="s">
        <v>398</v>
      </c>
      <c r="JAB93">
        <v>1</v>
      </c>
      <c r="JAC93" t="s">
        <v>438</v>
      </c>
      <c r="JAD93" t="s">
        <v>440</v>
      </c>
      <c r="JAE93" t="s">
        <v>428</v>
      </c>
      <c r="JAG93" t="s">
        <v>114</v>
      </c>
      <c r="JAH93" t="s">
        <v>113</v>
      </c>
      <c r="JAI93" t="s">
        <v>398</v>
      </c>
      <c r="JAJ93">
        <v>1</v>
      </c>
      <c r="JAK93" t="s">
        <v>438</v>
      </c>
      <c r="JAL93" t="s">
        <v>440</v>
      </c>
      <c r="JAM93" t="s">
        <v>428</v>
      </c>
      <c r="JAO93" t="s">
        <v>114</v>
      </c>
      <c r="JAP93" t="s">
        <v>113</v>
      </c>
      <c r="JAQ93" t="s">
        <v>398</v>
      </c>
      <c r="JAR93">
        <v>1</v>
      </c>
      <c r="JAS93" t="s">
        <v>438</v>
      </c>
      <c r="JAT93" t="s">
        <v>440</v>
      </c>
      <c r="JAU93" t="s">
        <v>428</v>
      </c>
      <c r="JAW93" t="s">
        <v>114</v>
      </c>
      <c r="JAX93" t="s">
        <v>113</v>
      </c>
      <c r="JAY93" t="s">
        <v>398</v>
      </c>
      <c r="JAZ93">
        <v>1</v>
      </c>
      <c r="JBA93" t="s">
        <v>438</v>
      </c>
      <c r="JBB93" t="s">
        <v>440</v>
      </c>
      <c r="JBC93" t="s">
        <v>428</v>
      </c>
      <c r="JBE93" t="s">
        <v>114</v>
      </c>
      <c r="JBF93" t="s">
        <v>113</v>
      </c>
      <c r="JBG93" t="s">
        <v>398</v>
      </c>
      <c r="JBH93">
        <v>1</v>
      </c>
      <c r="JBI93" t="s">
        <v>438</v>
      </c>
      <c r="JBJ93" t="s">
        <v>440</v>
      </c>
      <c r="JBK93" t="s">
        <v>428</v>
      </c>
      <c r="JBM93" t="s">
        <v>114</v>
      </c>
      <c r="JBN93" t="s">
        <v>113</v>
      </c>
      <c r="JBO93" t="s">
        <v>398</v>
      </c>
      <c r="JBP93">
        <v>1</v>
      </c>
      <c r="JBQ93" t="s">
        <v>438</v>
      </c>
      <c r="JBR93" t="s">
        <v>440</v>
      </c>
      <c r="JBS93" t="s">
        <v>428</v>
      </c>
      <c r="JBU93" t="s">
        <v>114</v>
      </c>
      <c r="JBV93" t="s">
        <v>113</v>
      </c>
      <c r="JBW93" t="s">
        <v>398</v>
      </c>
      <c r="JBX93">
        <v>1</v>
      </c>
      <c r="JBY93" t="s">
        <v>438</v>
      </c>
      <c r="JBZ93" t="s">
        <v>440</v>
      </c>
      <c r="JCA93" t="s">
        <v>428</v>
      </c>
      <c r="JCC93" t="s">
        <v>114</v>
      </c>
      <c r="JCD93" t="s">
        <v>113</v>
      </c>
      <c r="JCE93" t="s">
        <v>398</v>
      </c>
      <c r="JCF93">
        <v>1</v>
      </c>
      <c r="JCG93" t="s">
        <v>438</v>
      </c>
      <c r="JCH93" t="s">
        <v>440</v>
      </c>
      <c r="JCI93" t="s">
        <v>428</v>
      </c>
      <c r="JCK93" t="s">
        <v>114</v>
      </c>
      <c r="JCL93" t="s">
        <v>113</v>
      </c>
      <c r="JCM93" t="s">
        <v>398</v>
      </c>
      <c r="JCN93">
        <v>1</v>
      </c>
      <c r="JCO93" t="s">
        <v>438</v>
      </c>
      <c r="JCP93" t="s">
        <v>440</v>
      </c>
      <c r="JCQ93" t="s">
        <v>428</v>
      </c>
      <c r="JCS93" t="s">
        <v>114</v>
      </c>
      <c r="JCT93" t="s">
        <v>113</v>
      </c>
      <c r="JCU93" t="s">
        <v>398</v>
      </c>
      <c r="JCV93">
        <v>1</v>
      </c>
      <c r="JCW93" t="s">
        <v>438</v>
      </c>
      <c r="JCX93" t="s">
        <v>440</v>
      </c>
      <c r="JCY93" t="s">
        <v>428</v>
      </c>
      <c r="JDA93" t="s">
        <v>114</v>
      </c>
      <c r="JDB93" t="s">
        <v>113</v>
      </c>
      <c r="JDC93" t="s">
        <v>398</v>
      </c>
      <c r="JDD93">
        <v>1</v>
      </c>
      <c r="JDE93" t="s">
        <v>438</v>
      </c>
      <c r="JDF93" t="s">
        <v>440</v>
      </c>
      <c r="JDG93" t="s">
        <v>428</v>
      </c>
      <c r="JDI93" t="s">
        <v>114</v>
      </c>
      <c r="JDJ93" t="s">
        <v>113</v>
      </c>
      <c r="JDK93" t="s">
        <v>398</v>
      </c>
      <c r="JDL93">
        <v>1</v>
      </c>
      <c r="JDM93" t="s">
        <v>438</v>
      </c>
      <c r="JDN93" t="s">
        <v>440</v>
      </c>
      <c r="JDO93" t="s">
        <v>428</v>
      </c>
      <c r="JDQ93" t="s">
        <v>114</v>
      </c>
      <c r="JDR93" t="s">
        <v>113</v>
      </c>
      <c r="JDS93" t="s">
        <v>398</v>
      </c>
      <c r="JDT93">
        <v>1</v>
      </c>
      <c r="JDU93" t="s">
        <v>438</v>
      </c>
      <c r="JDV93" t="s">
        <v>440</v>
      </c>
      <c r="JDW93" t="s">
        <v>428</v>
      </c>
      <c r="JDY93" t="s">
        <v>114</v>
      </c>
      <c r="JDZ93" t="s">
        <v>113</v>
      </c>
      <c r="JEA93" t="s">
        <v>398</v>
      </c>
      <c r="JEB93">
        <v>1</v>
      </c>
      <c r="JEC93" t="s">
        <v>438</v>
      </c>
      <c r="JED93" t="s">
        <v>440</v>
      </c>
      <c r="JEE93" t="s">
        <v>428</v>
      </c>
      <c r="JEG93" t="s">
        <v>114</v>
      </c>
      <c r="JEH93" t="s">
        <v>113</v>
      </c>
      <c r="JEI93" t="s">
        <v>398</v>
      </c>
      <c r="JEJ93">
        <v>1</v>
      </c>
      <c r="JEK93" t="s">
        <v>438</v>
      </c>
      <c r="JEL93" t="s">
        <v>440</v>
      </c>
      <c r="JEM93" t="s">
        <v>428</v>
      </c>
      <c r="JEO93" t="s">
        <v>114</v>
      </c>
      <c r="JEP93" t="s">
        <v>113</v>
      </c>
      <c r="JEQ93" t="s">
        <v>398</v>
      </c>
      <c r="JER93">
        <v>1</v>
      </c>
      <c r="JES93" t="s">
        <v>438</v>
      </c>
      <c r="JET93" t="s">
        <v>440</v>
      </c>
      <c r="JEU93" t="s">
        <v>428</v>
      </c>
      <c r="JEW93" t="s">
        <v>114</v>
      </c>
      <c r="JEX93" t="s">
        <v>113</v>
      </c>
      <c r="JEY93" t="s">
        <v>398</v>
      </c>
      <c r="JEZ93">
        <v>1</v>
      </c>
      <c r="JFA93" t="s">
        <v>438</v>
      </c>
      <c r="JFB93" t="s">
        <v>440</v>
      </c>
      <c r="JFC93" t="s">
        <v>428</v>
      </c>
      <c r="JFE93" t="s">
        <v>114</v>
      </c>
      <c r="JFF93" t="s">
        <v>113</v>
      </c>
      <c r="JFG93" t="s">
        <v>398</v>
      </c>
      <c r="JFH93">
        <v>1</v>
      </c>
      <c r="JFI93" t="s">
        <v>438</v>
      </c>
      <c r="JFJ93" t="s">
        <v>440</v>
      </c>
      <c r="JFK93" t="s">
        <v>428</v>
      </c>
      <c r="JFM93" t="s">
        <v>114</v>
      </c>
      <c r="JFN93" t="s">
        <v>113</v>
      </c>
      <c r="JFO93" t="s">
        <v>398</v>
      </c>
      <c r="JFP93">
        <v>1</v>
      </c>
      <c r="JFQ93" t="s">
        <v>438</v>
      </c>
      <c r="JFR93" t="s">
        <v>440</v>
      </c>
      <c r="JFS93" t="s">
        <v>428</v>
      </c>
      <c r="JFU93" t="s">
        <v>114</v>
      </c>
      <c r="JFV93" t="s">
        <v>113</v>
      </c>
      <c r="JFW93" t="s">
        <v>398</v>
      </c>
      <c r="JFX93">
        <v>1</v>
      </c>
      <c r="JFY93" t="s">
        <v>438</v>
      </c>
      <c r="JFZ93" t="s">
        <v>440</v>
      </c>
      <c r="JGA93" t="s">
        <v>428</v>
      </c>
      <c r="JGC93" t="s">
        <v>114</v>
      </c>
      <c r="JGD93" t="s">
        <v>113</v>
      </c>
      <c r="JGE93" t="s">
        <v>398</v>
      </c>
      <c r="JGF93">
        <v>1</v>
      </c>
      <c r="JGG93" t="s">
        <v>438</v>
      </c>
      <c r="JGH93" t="s">
        <v>440</v>
      </c>
      <c r="JGI93" t="s">
        <v>428</v>
      </c>
      <c r="JGK93" t="s">
        <v>114</v>
      </c>
      <c r="JGL93" t="s">
        <v>113</v>
      </c>
      <c r="JGM93" t="s">
        <v>398</v>
      </c>
      <c r="JGN93">
        <v>1</v>
      </c>
      <c r="JGO93" t="s">
        <v>438</v>
      </c>
      <c r="JGP93" t="s">
        <v>440</v>
      </c>
      <c r="JGQ93" t="s">
        <v>428</v>
      </c>
      <c r="JGS93" t="s">
        <v>114</v>
      </c>
      <c r="JGT93" t="s">
        <v>113</v>
      </c>
      <c r="JGU93" t="s">
        <v>398</v>
      </c>
      <c r="JGV93">
        <v>1</v>
      </c>
      <c r="JGW93" t="s">
        <v>438</v>
      </c>
      <c r="JGX93" t="s">
        <v>440</v>
      </c>
      <c r="JGY93" t="s">
        <v>428</v>
      </c>
      <c r="JHA93" t="s">
        <v>114</v>
      </c>
      <c r="JHB93" t="s">
        <v>113</v>
      </c>
      <c r="JHC93" t="s">
        <v>398</v>
      </c>
      <c r="JHD93">
        <v>1</v>
      </c>
      <c r="JHE93" t="s">
        <v>438</v>
      </c>
      <c r="JHF93" t="s">
        <v>440</v>
      </c>
      <c r="JHG93" t="s">
        <v>428</v>
      </c>
      <c r="JHI93" t="s">
        <v>114</v>
      </c>
      <c r="JHJ93" t="s">
        <v>113</v>
      </c>
      <c r="JHK93" t="s">
        <v>398</v>
      </c>
      <c r="JHL93">
        <v>1</v>
      </c>
      <c r="JHM93" t="s">
        <v>438</v>
      </c>
      <c r="JHN93" t="s">
        <v>440</v>
      </c>
      <c r="JHO93" t="s">
        <v>428</v>
      </c>
      <c r="JHQ93" t="s">
        <v>114</v>
      </c>
      <c r="JHR93" t="s">
        <v>113</v>
      </c>
      <c r="JHS93" t="s">
        <v>398</v>
      </c>
      <c r="JHT93">
        <v>1</v>
      </c>
      <c r="JHU93" t="s">
        <v>438</v>
      </c>
      <c r="JHV93" t="s">
        <v>440</v>
      </c>
      <c r="JHW93" t="s">
        <v>428</v>
      </c>
      <c r="JHY93" t="s">
        <v>114</v>
      </c>
      <c r="JHZ93" t="s">
        <v>113</v>
      </c>
      <c r="JIA93" t="s">
        <v>398</v>
      </c>
      <c r="JIB93">
        <v>1</v>
      </c>
      <c r="JIC93" t="s">
        <v>438</v>
      </c>
      <c r="JID93" t="s">
        <v>440</v>
      </c>
      <c r="JIE93" t="s">
        <v>428</v>
      </c>
      <c r="JIG93" t="s">
        <v>114</v>
      </c>
      <c r="JIH93" t="s">
        <v>113</v>
      </c>
      <c r="JII93" t="s">
        <v>398</v>
      </c>
      <c r="JIJ93">
        <v>1</v>
      </c>
      <c r="JIK93" t="s">
        <v>438</v>
      </c>
      <c r="JIL93" t="s">
        <v>440</v>
      </c>
      <c r="JIM93" t="s">
        <v>428</v>
      </c>
      <c r="JIO93" t="s">
        <v>114</v>
      </c>
      <c r="JIP93" t="s">
        <v>113</v>
      </c>
      <c r="JIQ93" t="s">
        <v>398</v>
      </c>
      <c r="JIR93">
        <v>1</v>
      </c>
      <c r="JIS93" t="s">
        <v>438</v>
      </c>
      <c r="JIT93" t="s">
        <v>440</v>
      </c>
      <c r="JIU93" t="s">
        <v>428</v>
      </c>
      <c r="JIW93" t="s">
        <v>114</v>
      </c>
      <c r="JIX93" t="s">
        <v>113</v>
      </c>
      <c r="JIY93" t="s">
        <v>398</v>
      </c>
      <c r="JIZ93">
        <v>1</v>
      </c>
      <c r="JJA93" t="s">
        <v>438</v>
      </c>
      <c r="JJB93" t="s">
        <v>440</v>
      </c>
      <c r="JJC93" t="s">
        <v>428</v>
      </c>
      <c r="JJE93" t="s">
        <v>114</v>
      </c>
      <c r="JJF93" t="s">
        <v>113</v>
      </c>
      <c r="JJG93" t="s">
        <v>398</v>
      </c>
      <c r="JJH93">
        <v>1</v>
      </c>
      <c r="JJI93" t="s">
        <v>438</v>
      </c>
      <c r="JJJ93" t="s">
        <v>440</v>
      </c>
      <c r="JJK93" t="s">
        <v>428</v>
      </c>
      <c r="JJM93" t="s">
        <v>114</v>
      </c>
      <c r="JJN93" t="s">
        <v>113</v>
      </c>
      <c r="JJO93" t="s">
        <v>398</v>
      </c>
      <c r="JJP93">
        <v>1</v>
      </c>
      <c r="JJQ93" t="s">
        <v>438</v>
      </c>
      <c r="JJR93" t="s">
        <v>440</v>
      </c>
      <c r="JJS93" t="s">
        <v>428</v>
      </c>
      <c r="JJU93" t="s">
        <v>114</v>
      </c>
      <c r="JJV93" t="s">
        <v>113</v>
      </c>
      <c r="JJW93" t="s">
        <v>398</v>
      </c>
      <c r="JJX93">
        <v>1</v>
      </c>
      <c r="JJY93" t="s">
        <v>438</v>
      </c>
      <c r="JJZ93" t="s">
        <v>440</v>
      </c>
      <c r="JKA93" t="s">
        <v>428</v>
      </c>
      <c r="JKC93" t="s">
        <v>114</v>
      </c>
      <c r="JKD93" t="s">
        <v>113</v>
      </c>
      <c r="JKE93" t="s">
        <v>398</v>
      </c>
      <c r="JKF93">
        <v>1</v>
      </c>
      <c r="JKG93" t="s">
        <v>438</v>
      </c>
      <c r="JKH93" t="s">
        <v>440</v>
      </c>
      <c r="JKI93" t="s">
        <v>428</v>
      </c>
      <c r="JKK93" t="s">
        <v>114</v>
      </c>
      <c r="JKL93" t="s">
        <v>113</v>
      </c>
      <c r="JKM93" t="s">
        <v>398</v>
      </c>
      <c r="JKN93">
        <v>1</v>
      </c>
      <c r="JKO93" t="s">
        <v>438</v>
      </c>
      <c r="JKP93" t="s">
        <v>440</v>
      </c>
      <c r="JKQ93" t="s">
        <v>428</v>
      </c>
      <c r="JKS93" t="s">
        <v>114</v>
      </c>
      <c r="JKT93" t="s">
        <v>113</v>
      </c>
      <c r="JKU93" t="s">
        <v>398</v>
      </c>
      <c r="JKV93">
        <v>1</v>
      </c>
      <c r="JKW93" t="s">
        <v>438</v>
      </c>
      <c r="JKX93" t="s">
        <v>440</v>
      </c>
      <c r="JKY93" t="s">
        <v>428</v>
      </c>
      <c r="JLA93" t="s">
        <v>114</v>
      </c>
      <c r="JLB93" t="s">
        <v>113</v>
      </c>
      <c r="JLC93" t="s">
        <v>398</v>
      </c>
      <c r="JLD93">
        <v>1</v>
      </c>
      <c r="JLE93" t="s">
        <v>438</v>
      </c>
      <c r="JLF93" t="s">
        <v>440</v>
      </c>
      <c r="JLG93" t="s">
        <v>428</v>
      </c>
      <c r="JLI93" t="s">
        <v>114</v>
      </c>
      <c r="JLJ93" t="s">
        <v>113</v>
      </c>
      <c r="JLK93" t="s">
        <v>398</v>
      </c>
      <c r="JLL93">
        <v>1</v>
      </c>
      <c r="JLM93" t="s">
        <v>438</v>
      </c>
      <c r="JLN93" t="s">
        <v>440</v>
      </c>
      <c r="JLO93" t="s">
        <v>428</v>
      </c>
      <c r="JLQ93" t="s">
        <v>114</v>
      </c>
      <c r="JLR93" t="s">
        <v>113</v>
      </c>
      <c r="JLS93" t="s">
        <v>398</v>
      </c>
      <c r="JLT93">
        <v>1</v>
      </c>
      <c r="JLU93" t="s">
        <v>438</v>
      </c>
      <c r="JLV93" t="s">
        <v>440</v>
      </c>
      <c r="JLW93" t="s">
        <v>428</v>
      </c>
      <c r="JLY93" t="s">
        <v>114</v>
      </c>
      <c r="JLZ93" t="s">
        <v>113</v>
      </c>
      <c r="JMA93" t="s">
        <v>398</v>
      </c>
      <c r="JMB93">
        <v>1</v>
      </c>
      <c r="JMC93" t="s">
        <v>438</v>
      </c>
      <c r="JMD93" t="s">
        <v>440</v>
      </c>
      <c r="JME93" t="s">
        <v>428</v>
      </c>
      <c r="JMG93" t="s">
        <v>114</v>
      </c>
      <c r="JMH93" t="s">
        <v>113</v>
      </c>
      <c r="JMI93" t="s">
        <v>398</v>
      </c>
      <c r="JMJ93">
        <v>1</v>
      </c>
      <c r="JMK93" t="s">
        <v>438</v>
      </c>
      <c r="JML93" t="s">
        <v>440</v>
      </c>
      <c r="JMM93" t="s">
        <v>428</v>
      </c>
      <c r="JMO93" t="s">
        <v>114</v>
      </c>
      <c r="JMP93" t="s">
        <v>113</v>
      </c>
      <c r="JMQ93" t="s">
        <v>398</v>
      </c>
      <c r="JMR93">
        <v>1</v>
      </c>
      <c r="JMS93" t="s">
        <v>438</v>
      </c>
      <c r="JMT93" t="s">
        <v>440</v>
      </c>
      <c r="JMU93" t="s">
        <v>428</v>
      </c>
      <c r="JMW93" t="s">
        <v>114</v>
      </c>
      <c r="JMX93" t="s">
        <v>113</v>
      </c>
      <c r="JMY93" t="s">
        <v>398</v>
      </c>
      <c r="JMZ93">
        <v>1</v>
      </c>
      <c r="JNA93" t="s">
        <v>438</v>
      </c>
      <c r="JNB93" t="s">
        <v>440</v>
      </c>
      <c r="JNC93" t="s">
        <v>428</v>
      </c>
      <c r="JNE93" t="s">
        <v>114</v>
      </c>
      <c r="JNF93" t="s">
        <v>113</v>
      </c>
      <c r="JNG93" t="s">
        <v>398</v>
      </c>
      <c r="JNH93">
        <v>1</v>
      </c>
      <c r="JNI93" t="s">
        <v>438</v>
      </c>
      <c r="JNJ93" t="s">
        <v>440</v>
      </c>
      <c r="JNK93" t="s">
        <v>428</v>
      </c>
      <c r="JNM93" t="s">
        <v>114</v>
      </c>
      <c r="JNN93" t="s">
        <v>113</v>
      </c>
      <c r="JNO93" t="s">
        <v>398</v>
      </c>
      <c r="JNP93">
        <v>1</v>
      </c>
      <c r="JNQ93" t="s">
        <v>438</v>
      </c>
      <c r="JNR93" t="s">
        <v>440</v>
      </c>
      <c r="JNS93" t="s">
        <v>428</v>
      </c>
      <c r="JNU93" t="s">
        <v>114</v>
      </c>
      <c r="JNV93" t="s">
        <v>113</v>
      </c>
      <c r="JNW93" t="s">
        <v>398</v>
      </c>
      <c r="JNX93">
        <v>1</v>
      </c>
      <c r="JNY93" t="s">
        <v>438</v>
      </c>
      <c r="JNZ93" t="s">
        <v>440</v>
      </c>
      <c r="JOA93" t="s">
        <v>428</v>
      </c>
      <c r="JOC93" t="s">
        <v>114</v>
      </c>
      <c r="JOD93" t="s">
        <v>113</v>
      </c>
      <c r="JOE93" t="s">
        <v>398</v>
      </c>
      <c r="JOF93">
        <v>1</v>
      </c>
      <c r="JOG93" t="s">
        <v>438</v>
      </c>
      <c r="JOH93" t="s">
        <v>440</v>
      </c>
      <c r="JOI93" t="s">
        <v>428</v>
      </c>
      <c r="JOK93" t="s">
        <v>114</v>
      </c>
      <c r="JOL93" t="s">
        <v>113</v>
      </c>
      <c r="JOM93" t="s">
        <v>398</v>
      </c>
      <c r="JON93">
        <v>1</v>
      </c>
      <c r="JOO93" t="s">
        <v>438</v>
      </c>
      <c r="JOP93" t="s">
        <v>440</v>
      </c>
      <c r="JOQ93" t="s">
        <v>428</v>
      </c>
      <c r="JOS93" t="s">
        <v>114</v>
      </c>
      <c r="JOT93" t="s">
        <v>113</v>
      </c>
      <c r="JOU93" t="s">
        <v>398</v>
      </c>
      <c r="JOV93">
        <v>1</v>
      </c>
      <c r="JOW93" t="s">
        <v>438</v>
      </c>
      <c r="JOX93" t="s">
        <v>440</v>
      </c>
      <c r="JOY93" t="s">
        <v>428</v>
      </c>
      <c r="JPA93" t="s">
        <v>114</v>
      </c>
      <c r="JPB93" t="s">
        <v>113</v>
      </c>
      <c r="JPC93" t="s">
        <v>398</v>
      </c>
      <c r="JPD93">
        <v>1</v>
      </c>
      <c r="JPE93" t="s">
        <v>438</v>
      </c>
      <c r="JPF93" t="s">
        <v>440</v>
      </c>
      <c r="JPG93" t="s">
        <v>428</v>
      </c>
      <c r="JPI93" t="s">
        <v>114</v>
      </c>
      <c r="JPJ93" t="s">
        <v>113</v>
      </c>
      <c r="JPK93" t="s">
        <v>398</v>
      </c>
      <c r="JPL93">
        <v>1</v>
      </c>
      <c r="JPM93" t="s">
        <v>438</v>
      </c>
      <c r="JPN93" t="s">
        <v>440</v>
      </c>
      <c r="JPO93" t="s">
        <v>428</v>
      </c>
      <c r="JPQ93" t="s">
        <v>114</v>
      </c>
      <c r="JPR93" t="s">
        <v>113</v>
      </c>
      <c r="JPS93" t="s">
        <v>398</v>
      </c>
      <c r="JPT93">
        <v>1</v>
      </c>
      <c r="JPU93" t="s">
        <v>438</v>
      </c>
      <c r="JPV93" t="s">
        <v>440</v>
      </c>
      <c r="JPW93" t="s">
        <v>428</v>
      </c>
      <c r="JPY93" t="s">
        <v>114</v>
      </c>
      <c r="JPZ93" t="s">
        <v>113</v>
      </c>
      <c r="JQA93" t="s">
        <v>398</v>
      </c>
      <c r="JQB93">
        <v>1</v>
      </c>
      <c r="JQC93" t="s">
        <v>438</v>
      </c>
      <c r="JQD93" t="s">
        <v>440</v>
      </c>
      <c r="JQE93" t="s">
        <v>428</v>
      </c>
      <c r="JQG93" t="s">
        <v>114</v>
      </c>
      <c r="JQH93" t="s">
        <v>113</v>
      </c>
      <c r="JQI93" t="s">
        <v>398</v>
      </c>
      <c r="JQJ93">
        <v>1</v>
      </c>
      <c r="JQK93" t="s">
        <v>438</v>
      </c>
      <c r="JQL93" t="s">
        <v>440</v>
      </c>
      <c r="JQM93" t="s">
        <v>428</v>
      </c>
      <c r="JQO93" t="s">
        <v>114</v>
      </c>
      <c r="JQP93" t="s">
        <v>113</v>
      </c>
      <c r="JQQ93" t="s">
        <v>398</v>
      </c>
      <c r="JQR93">
        <v>1</v>
      </c>
      <c r="JQS93" t="s">
        <v>438</v>
      </c>
      <c r="JQT93" t="s">
        <v>440</v>
      </c>
      <c r="JQU93" t="s">
        <v>428</v>
      </c>
      <c r="JQW93" t="s">
        <v>114</v>
      </c>
      <c r="JQX93" t="s">
        <v>113</v>
      </c>
      <c r="JQY93" t="s">
        <v>398</v>
      </c>
      <c r="JQZ93">
        <v>1</v>
      </c>
      <c r="JRA93" t="s">
        <v>438</v>
      </c>
      <c r="JRB93" t="s">
        <v>440</v>
      </c>
      <c r="JRC93" t="s">
        <v>428</v>
      </c>
      <c r="JRE93" t="s">
        <v>114</v>
      </c>
      <c r="JRF93" t="s">
        <v>113</v>
      </c>
      <c r="JRG93" t="s">
        <v>398</v>
      </c>
      <c r="JRH93">
        <v>1</v>
      </c>
      <c r="JRI93" t="s">
        <v>438</v>
      </c>
      <c r="JRJ93" t="s">
        <v>440</v>
      </c>
      <c r="JRK93" t="s">
        <v>428</v>
      </c>
      <c r="JRM93" t="s">
        <v>114</v>
      </c>
      <c r="JRN93" t="s">
        <v>113</v>
      </c>
      <c r="JRO93" t="s">
        <v>398</v>
      </c>
      <c r="JRP93">
        <v>1</v>
      </c>
      <c r="JRQ93" t="s">
        <v>438</v>
      </c>
      <c r="JRR93" t="s">
        <v>440</v>
      </c>
      <c r="JRS93" t="s">
        <v>428</v>
      </c>
      <c r="JRU93" t="s">
        <v>114</v>
      </c>
      <c r="JRV93" t="s">
        <v>113</v>
      </c>
      <c r="JRW93" t="s">
        <v>398</v>
      </c>
      <c r="JRX93">
        <v>1</v>
      </c>
      <c r="JRY93" t="s">
        <v>438</v>
      </c>
      <c r="JRZ93" t="s">
        <v>440</v>
      </c>
      <c r="JSA93" t="s">
        <v>428</v>
      </c>
      <c r="JSC93" t="s">
        <v>114</v>
      </c>
      <c r="JSD93" t="s">
        <v>113</v>
      </c>
      <c r="JSE93" t="s">
        <v>398</v>
      </c>
      <c r="JSF93">
        <v>1</v>
      </c>
      <c r="JSG93" t="s">
        <v>438</v>
      </c>
      <c r="JSH93" t="s">
        <v>440</v>
      </c>
      <c r="JSI93" t="s">
        <v>428</v>
      </c>
      <c r="JSK93" t="s">
        <v>114</v>
      </c>
      <c r="JSL93" t="s">
        <v>113</v>
      </c>
      <c r="JSM93" t="s">
        <v>398</v>
      </c>
      <c r="JSN93">
        <v>1</v>
      </c>
      <c r="JSO93" t="s">
        <v>438</v>
      </c>
      <c r="JSP93" t="s">
        <v>440</v>
      </c>
      <c r="JSQ93" t="s">
        <v>428</v>
      </c>
      <c r="JSS93" t="s">
        <v>114</v>
      </c>
      <c r="JST93" t="s">
        <v>113</v>
      </c>
      <c r="JSU93" t="s">
        <v>398</v>
      </c>
      <c r="JSV93">
        <v>1</v>
      </c>
      <c r="JSW93" t="s">
        <v>438</v>
      </c>
      <c r="JSX93" t="s">
        <v>440</v>
      </c>
      <c r="JSY93" t="s">
        <v>428</v>
      </c>
      <c r="JTA93" t="s">
        <v>114</v>
      </c>
      <c r="JTB93" t="s">
        <v>113</v>
      </c>
      <c r="JTC93" t="s">
        <v>398</v>
      </c>
      <c r="JTD93">
        <v>1</v>
      </c>
      <c r="JTE93" t="s">
        <v>438</v>
      </c>
      <c r="JTF93" t="s">
        <v>440</v>
      </c>
      <c r="JTG93" t="s">
        <v>428</v>
      </c>
      <c r="JTI93" t="s">
        <v>114</v>
      </c>
      <c r="JTJ93" t="s">
        <v>113</v>
      </c>
      <c r="JTK93" t="s">
        <v>398</v>
      </c>
      <c r="JTL93">
        <v>1</v>
      </c>
      <c r="JTM93" t="s">
        <v>438</v>
      </c>
      <c r="JTN93" t="s">
        <v>440</v>
      </c>
      <c r="JTO93" t="s">
        <v>428</v>
      </c>
      <c r="JTQ93" t="s">
        <v>114</v>
      </c>
      <c r="JTR93" t="s">
        <v>113</v>
      </c>
      <c r="JTS93" t="s">
        <v>398</v>
      </c>
      <c r="JTT93">
        <v>1</v>
      </c>
      <c r="JTU93" t="s">
        <v>438</v>
      </c>
      <c r="JTV93" t="s">
        <v>440</v>
      </c>
      <c r="JTW93" t="s">
        <v>428</v>
      </c>
      <c r="JTY93" t="s">
        <v>114</v>
      </c>
      <c r="JTZ93" t="s">
        <v>113</v>
      </c>
      <c r="JUA93" t="s">
        <v>398</v>
      </c>
      <c r="JUB93">
        <v>1</v>
      </c>
      <c r="JUC93" t="s">
        <v>438</v>
      </c>
      <c r="JUD93" t="s">
        <v>440</v>
      </c>
      <c r="JUE93" t="s">
        <v>428</v>
      </c>
      <c r="JUG93" t="s">
        <v>114</v>
      </c>
      <c r="JUH93" t="s">
        <v>113</v>
      </c>
      <c r="JUI93" t="s">
        <v>398</v>
      </c>
      <c r="JUJ93">
        <v>1</v>
      </c>
      <c r="JUK93" t="s">
        <v>438</v>
      </c>
      <c r="JUL93" t="s">
        <v>440</v>
      </c>
      <c r="JUM93" t="s">
        <v>428</v>
      </c>
      <c r="JUO93" t="s">
        <v>114</v>
      </c>
      <c r="JUP93" t="s">
        <v>113</v>
      </c>
      <c r="JUQ93" t="s">
        <v>398</v>
      </c>
      <c r="JUR93">
        <v>1</v>
      </c>
      <c r="JUS93" t="s">
        <v>438</v>
      </c>
      <c r="JUT93" t="s">
        <v>440</v>
      </c>
      <c r="JUU93" t="s">
        <v>428</v>
      </c>
      <c r="JUW93" t="s">
        <v>114</v>
      </c>
      <c r="JUX93" t="s">
        <v>113</v>
      </c>
      <c r="JUY93" t="s">
        <v>398</v>
      </c>
      <c r="JUZ93">
        <v>1</v>
      </c>
      <c r="JVA93" t="s">
        <v>438</v>
      </c>
      <c r="JVB93" t="s">
        <v>440</v>
      </c>
      <c r="JVC93" t="s">
        <v>428</v>
      </c>
      <c r="JVE93" t="s">
        <v>114</v>
      </c>
      <c r="JVF93" t="s">
        <v>113</v>
      </c>
      <c r="JVG93" t="s">
        <v>398</v>
      </c>
      <c r="JVH93">
        <v>1</v>
      </c>
      <c r="JVI93" t="s">
        <v>438</v>
      </c>
      <c r="JVJ93" t="s">
        <v>440</v>
      </c>
      <c r="JVK93" t="s">
        <v>428</v>
      </c>
      <c r="JVM93" t="s">
        <v>114</v>
      </c>
      <c r="JVN93" t="s">
        <v>113</v>
      </c>
      <c r="JVO93" t="s">
        <v>398</v>
      </c>
      <c r="JVP93">
        <v>1</v>
      </c>
      <c r="JVQ93" t="s">
        <v>438</v>
      </c>
      <c r="JVR93" t="s">
        <v>440</v>
      </c>
      <c r="JVS93" t="s">
        <v>428</v>
      </c>
      <c r="JVU93" t="s">
        <v>114</v>
      </c>
      <c r="JVV93" t="s">
        <v>113</v>
      </c>
      <c r="JVW93" t="s">
        <v>398</v>
      </c>
      <c r="JVX93">
        <v>1</v>
      </c>
      <c r="JVY93" t="s">
        <v>438</v>
      </c>
      <c r="JVZ93" t="s">
        <v>440</v>
      </c>
      <c r="JWA93" t="s">
        <v>428</v>
      </c>
      <c r="JWC93" t="s">
        <v>114</v>
      </c>
      <c r="JWD93" t="s">
        <v>113</v>
      </c>
      <c r="JWE93" t="s">
        <v>398</v>
      </c>
      <c r="JWF93">
        <v>1</v>
      </c>
      <c r="JWG93" t="s">
        <v>438</v>
      </c>
      <c r="JWH93" t="s">
        <v>440</v>
      </c>
      <c r="JWI93" t="s">
        <v>428</v>
      </c>
      <c r="JWK93" t="s">
        <v>114</v>
      </c>
      <c r="JWL93" t="s">
        <v>113</v>
      </c>
      <c r="JWM93" t="s">
        <v>398</v>
      </c>
      <c r="JWN93">
        <v>1</v>
      </c>
      <c r="JWO93" t="s">
        <v>438</v>
      </c>
      <c r="JWP93" t="s">
        <v>440</v>
      </c>
      <c r="JWQ93" t="s">
        <v>428</v>
      </c>
      <c r="JWS93" t="s">
        <v>114</v>
      </c>
      <c r="JWT93" t="s">
        <v>113</v>
      </c>
      <c r="JWU93" t="s">
        <v>398</v>
      </c>
      <c r="JWV93">
        <v>1</v>
      </c>
      <c r="JWW93" t="s">
        <v>438</v>
      </c>
      <c r="JWX93" t="s">
        <v>440</v>
      </c>
      <c r="JWY93" t="s">
        <v>428</v>
      </c>
      <c r="JXA93" t="s">
        <v>114</v>
      </c>
      <c r="JXB93" t="s">
        <v>113</v>
      </c>
      <c r="JXC93" t="s">
        <v>398</v>
      </c>
      <c r="JXD93">
        <v>1</v>
      </c>
      <c r="JXE93" t="s">
        <v>438</v>
      </c>
      <c r="JXF93" t="s">
        <v>440</v>
      </c>
      <c r="JXG93" t="s">
        <v>428</v>
      </c>
      <c r="JXI93" t="s">
        <v>114</v>
      </c>
      <c r="JXJ93" t="s">
        <v>113</v>
      </c>
      <c r="JXK93" t="s">
        <v>398</v>
      </c>
      <c r="JXL93">
        <v>1</v>
      </c>
      <c r="JXM93" t="s">
        <v>438</v>
      </c>
      <c r="JXN93" t="s">
        <v>440</v>
      </c>
      <c r="JXO93" t="s">
        <v>428</v>
      </c>
      <c r="JXQ93" t="s">
        <v>114</v>
      </c>
      <c r="JXR93" t="s">
        <v>113</v>
      </c>
      <c r="JXS93" t="s">
        <v>398</v>
      </c>
      <c r="JXT93">
        <v>1</v>
      </c>
      <c r="JXU93" t="s">
        <v>438</v>
      </c>
      <c r="JXV93" t="s">
        <v>440</v>
      </c>
      <c r="JXW93" t="s">
        <v>428</v>
      </c>
      <c r="JXY93" t="s">
        <v>114</v>
      </c>
      <c r="JXZ93" t="s">
        <v>113</v>
      </c>
      <c r="JYA93" t="s">
        <v>398</v>
      </c>
      <c r="JYB93">
        <v>1</v>
      </c>
      <c r="JYC93" t="s">
        <v>438</v>
      </c>
      <c r="JYD93" t="s">
        <v>440</v>
      </c>
      <c r="JYE93" t="s">
        <v>428</v>
      </c>
      <c r="JYG93" t="s">
        <v>114</v>
      </c>
      <c r="JYH93" t="s">
        <v>113</v>
      </c>
      <c r="JYI93" t="s">
        <v>398</v>
      </c>
      <c r="JYJ93">
        <v>1</v>
      </c>
      <c r="JYK93" t="s">
        <v>438</v>
      </c>
      <c r="JYL93" t="s">
        <v>440</v>
      </c>
      <c r="JYM93" t="s">
        <v>428</v>
      </c>
      <c r="JYO93" t="s">
        <v>114</v>
      </c>
      <c r="JYP93" t="s">
        <v>113</v>
      </c>
      <c r="JYQ93" t="s">
        <v>398</v>
      </c>
      <c r="JYR93">
        <v>1</v>
      </c>
      <c r="JYS93" t="s">
        <v>438</v>
      </c>
      <c r="JYT93" t="s">
        <v>440</v>
      </c>
      <c r="JYU93" t="s">
        <v>428</v>
      </c>
      <c r="JYW93" t="s">
        <v>114</v>
      </c>
      <c r="JYX93" t="s">
        <v>113</v>
      </c>
      <c r="JYY93" t="s">
        <v>398</v>
      </c>
      <c r="JYZ93">
        <v>1</v>
      </c>
      <c r="JZA93" t="s">
        <v>438</v>
      </c>
      <c r="JZB93" t="s">
        <v>440</v>
      </c>
      <c r="JZC93" t="s">
        <v>428</v>
      </c>
      <c r="JZE93" t="s">
        <v>114</v>
      </c>
      <c r="JZF93" t="s">
        <v>113</v>
      </c>
      <c r="JZG93" t="s">
        <v>398</v>
      </c>
      <c r="JZH93">
        <v>1</v>
      </c>
      <c r="JZI93" t="s">
        <v>438</v>
      </c>
      <c r="JZJ93" t="s">
        <v>440</v>
      </c>
      <c r="JZK93" t="s">
        <v>428</v>
      </c>
      <c r="JZM93" t="s">
        <v>114</v>
      </c>
      <c r="JZN93" t="s">
        <v>113</v>
      </c>
      <c r="JZO93" t="s">
        <v>398</v>
      </c>
      <c r="JZP93">
        <v>1</v>
      </c>
      <c r="JZQ93" t="s">
        <v>438</v>
      </c>
      <c r="JZR93" t="s">
        <v>440</v>
      </c>
      <c r="JZS93" t="s">
        <v>428</v>
      </c>
      <c r="JZU93" t="s">
        <v>114</v>
      </c>
      <c r="JZV93" t="s">
        <v>113</v>
      </c>
      <c r="JZW93" t="s">
        <v>398</v>
      </c>
      <c r="JZX93">
        <v>1</v>
      </c>
      <c r="JZY93" t="s">
        <v>438</v>
      </c>
      <c r="JZZ93" t="s">
        <v>440</v>
      </c>
      <c r="KAA93" t="s">
        <v>428</v>
      </c>
      <c r="KAC93" t="s">
        <v>114</v>
      </c>
      <c r="KAD93" t="s">
        <v>113</v>
      </c>
      <c r="KAE93" t="s">
        <v>398</v>
      </c>
      <c r="KAF93">
        <v>1</v>
      </c>
      <c r="KAG93" t="s">
        <v>438</v>
      </c>
      <c r="KAH93" t="s">
        <v>440</v>
      </c>
      <c r="KAI93" t="s">
        <v>428</v>
      </c>
      <c r="KAK93" t="s">
        <v>114</v>
      </c>
      <c r="KAL93" t="s">
        <v>113</v>
      </c>
      <c r="KAM93" t="s">
        <v>398</v>
      </c>
      <c r="KAN93">
        <v>1</v>
      </c>
      <c r="KAO93" t="s">
        <v>438</v>
      </c>
      <c r="KAP93" t="s">
        <v>440</v>
      </c>
      <c r="KAQ93" t="s">
        <v>428</v>
      </c>
      <c r="KAS93" t="s">
        <v>114</v>
      </c>
      <c r="KAT93" t="s">
        <v>113</v>
      </c>
      <c r="KAU93" t="s">
        <v>398</v>
      </c>
      <c r="KAV93">
        <v>1</v>
      </c>
      <c r="KAW93" t="s">
        <v>438</v>
      </c>
      <c r="KAX93" t="s">
        <v>440</v>
      </c>
      <c r="KAY93" t="s">
        <v>428</v>
      </c>
      <c r="KBA93" t="s">
        <v>114</v>
      </c>
      <c r="KBB93" t="s">
        <v>113</v>
      </c>
      <c r="KBC93" t="s">
        <v>398</v>
      </c>
      <c r="KBD93">
        <v>1</v>
      </c>
      <c r="KBE93" t="s">
        <v>438</v>
      </c>
      <c r="KBF93" t="s">
        <v>440</v>
      </c>
      <c r="KBG93" t="s">
        <v>428</v>
      </c>
      <c r="KBI93" t="s">
        <v>114</v>
      </c>
      <c r="KBJ93" t="s">
        <v>113</v>
      </c>
      <c r="KBK93" t="s">
        <v>398</v>
      </c>
      <c r="KBL93">
        <v>1</v>
      </c>
      <c r="KBM93" t="s">
        <v>438</v>
      </c>
      <c r="KBN93" t="s">
        <v>440</v>
      </c>
      <c r="KBO93" t="s">
        <v>428</v>
      </c>
      <c r="KBQ93" t="s">
        <v>114</v>
      </c>
      <c r="KBR93" t="s">
        <v>113</v>
      </c>
      <c r="KBS93" t="s">
        <v>398</v>
      </c>
      <c r="KBT93">
        <v>1</v>
      </c>
      <c r="KBU93" t="s">
        <v>438</v>
      </c>
      <c r="KBV93" t="s">
        <v>440</v>
      </c>
      <c r="KBW93" t="s">
        <v>428</v>
      </c>
      <c r="KBY93" t="s">
        <v>114</v>
      </c>
      <c r="KBZ93" t="s">
        <v>113</v>
      </c>
      <c r="KCA93" t="s">
        <v>398</v>
      </c>
      <c r="KCB93">
        <v>1</v>
      </c>
      <c r="KCC93" t="s">
        <v>438</v>
      </c>
      <c r="KCD93" t="s">
        <v>440</v>
      </c>
      <c r="KCE93" t="s">
        <v>428</v>
      </c>
      <c r="KCG93" t="s">
        <v>114</v>
      </c>
      <c r="KCH93" t="s">
        <v>113</v>
      </c>
      <c r="KCI93" t="s">
        <v>398</v>
      </c>
      <c r="KCJ93">
        <v>1</v>
      </c>
      <c r="KCK93" t="s">
        <v>438</v>
      </c>
      <c r="KCL93" t="s">
        <v>440</v>
      </c>
      <c r="KCM93" t="s">
        <v>428</v>
      </c>
      <c r="KCO93" t="s">
        <v>114</v>
      </c>
      <c r="KCP93" t="s">
        <v>113</v>
      </c>
      <c r="KCQ93" t="s">
        <v>398</v>
      </c>
      <c r="KCR93">
        <v>1</v>
      </c>
      <c r="KCS93" t="s">
        <v>438</v>
      </c>
      <c r="KCT93" t="s">
        <v>440</v>
      </c>
      <c r="KCU93" t="s">
        <v>428</v>
      </c>
      <c r="KCW93" t="s">
        <v>114</v>
      </c>
      <c r="KCX93" t="s">
        <v>113</v>
      </c>
      <c r="KCY93" t="s">
        <v>398</v>
      </c>
      <c r="KCZ93">
        <v>1</v>
      </c>
      <c r="KDA93" t="s">
        <v>438</v>
      </c>
      <c r="KDB93" t="s">
        <v>440</v>
      </c>
      <c r="KDC93" t="s">
        <v>428</v>
      </c>
      <c r="KDE93" t="s">
        <v>114</v>
      </c>
      <c r="KDF93" t="s">
        <v>113</v>
      </c>
      <c r="KDG93" t="s">
        <v>398</v>
      </c>
      <c r="KDH93">
        <v>1</v>
      </c>
      <c r="KDI93" t="s">
        <v>438</v>
      </c>
      <c r="KDJ93" t="s">
        <v>440</v>
      </c>
      <c r="KDK93" t="s">
        <v>428</v>
      </c>
      <c r="KDM93" t="s">
        <v>114</v>
      </c>
      <c r="KDN93" t="s">
        <v>113</v>
      </c>
      <c r="KDO93" t="s">
        <v>398</v>
      </c>
      <c r="KDP93">
        <v>1</v>
      </c>
      <c r="KDQ93" t="s">
        <v>438</v>
      </c>
      <c r="KDR93" t="s">
        <v>440</v>
      </c>
      <c r="KDS93" t="s">
        <v>428</v>
      </c>
      <c r="KDU93" t="s">
        <v>114</v>
      </c>
      <c r="KDV93" t="s">
        <v>113</v>
      </c>
      <c r="KDW93" t="s">
        <v>398</v>
      </c>
      <c r="KDX93">
        <v>1</v>
      </c>
      <c r="KDY93" t="s">
        <v>438</v>
      </c>
      <c r="KDZ93" t="s">
        <v>440</v>
      </c>
      <c r="KEA93" t="s">
        <v>428</v>
      </c>
      <c r="KEC93" t="s">
        <v>114</v>
      </c>
      <c r="KED93" t="s">
        <v>113</v>
      </c>
      <c r="KEE93" t="s">
        <v>398</v>
      </c>
      <c r="KEF93">
        <v>1</v>
      </c>
      <c r="KEG93" t="s">
        <v>438</v>
      </c>
      <c r="KEH93" t="s">
        <v>440</v>
      </c>
      <c r="KEI93" t="s">
        <v>428</v>
      </c>
      <c r="KEK93" t="s">
        <v>114</v>
      </c>
      <c r="KEL93" t="s">
        <v>113</v>
      </c>
      <c r="KEM93" t="s">
        <v>398</v>
      </c>
      <c r="KEN93">
        <v>1</v>
      </c>
      <c r="KEO93" t="s">
        <v>438</v>
      </c>
      <c r="KEP93" t="s">
        <v>440</v>
      </c>
      <c r="KEQ93" t="s">
        <v>428</v>
      </c>
      <c r="KES93" t="s">
        <v>114</v>
      </c>
      <c r="KET93" t="s">
        <v>113</v>
      </c>
      <c r="KEU93" t="s">
        <v>398</v>
      </c>
      <c r="KEV93">
        <v>1</v>
      </c>
      <c r="KEW93" t="s">
        <v>438</v>
      </c>
      <c r="KEX93" t="s">
        <v>440</v>
      </c>
      <c r="KEY93" t="s">
        <v>428</v>
      </c>
      <c r="KFA93" t="s">
        <v>114</v>
      </c>
      <c r="KFB93" t="s">
        <v>113</v>
      </c>
      <c r="KFC93" t="s">
        <v>398</v>
      </c>
      <c r="KFD93">
        <v>1</v>
      </c>
      <c r="KFE93" t="s">
        <v>438</v>
      </c>
      <c r="KFF93" t="s">
        <v>440</v>
      </c>
      <c r="KFG93" t="s">
        <v>428</v>
      </c>
      <c r="KFI93" t="s">
        <v>114</v>
      </c>
      <c r="KFJ93" t="s">
        <v>113</v>
      </c>
      <c r="KFK93" t="s">
        <v>398</v>
      </c>
      <c r="KFL93">
        <v>1</v>
      </c>
      <c r="KFM93" t="s">
        <v>438</v>
      </c>
      <c r="KFN93" t="s">
        <v>440</v>
      </c>
      <c r="KFO93" t="s">
        <v>428</v>
      </c>
      <c r="KFQ93" t="s">
        <v>114</v>
      </c>
      <c r="KFR93" t="s">
        <v>113</v>
      </c>
      <c r="KFS93" t="s">
        <v>398</v>
      </c>
      <c r="KFT93">
        <v>1</v>
      </c>
      <c r="KFU93" t="s">
        <v>438</v>
      </c>
      <c r="KFV93" t="s">
        <v>440</v>
      </c>
      <c r="KFW93" t="s">
        <v>428</v>
      </c>
      <c r="KFY93" t="s">
        <v>114</v>
      </c>
      <c r="KFZ93" t="s">
        <v>113</v>
      </c>
      <c r="KGA93" t="s">
        <v>398</v>
      </c>
      <c r="KGB93">
        <v>1</v>
      </c>
      <c r="KGC93" t="s">
        <v>438</v>
      </c>
      <c r="KGD93" t="s">
        <v>440</v>
      </c>
      <c r="KGE93" t="s">
        <v>428</v>
      </c>
      <c r="KGG93" t="s">
        <v>114</v>
      </c>
      <c r="KGH93" t="s">
        <v>113</v>
      </c>
      <c r="KGI93" t="s">
        <v>398</v>
      </c>
      <c r="KGJ93">
        <v>1</v>
      </c>
      <c r="KGK93" t="s">
        <v>438</v>
      </c>
      <c r="KGL93" t="s">
        <v>440</v>
      </c>
      <c r="KGM93" t="s">
        <v>428</v>
      </c>
      <c r="KGO93" t="s">
        <v>114</v>
      </c>
      <c r="KGP93" t="s">
        <v>113</v>
      </c>
      <c r="KGQ93" t="s">
        <v>398</v>
      </c>
      <c r="KGR93">
        <v>1</v>
      </c>
      <c r="KGS93" t="s">
        <v>438</v>
      </c>
      <c r="KGT93" t="s">
        <v>440</v>
      </c>
      <c r="KGU93" t="s">
        <v>428</v>
      </c>
      <c r="KGW93" t="s">
        <v>114</v>
      </c>
      <c r="KGX93" t="s">
        <v>113</v>
      </c>
      <c r="KGY93" t="s">
        <v>398</v>
      </c>
      <c r="KGZ93">
        <v>1</v>
      </c>
      <c r="KHA93" t="s">
        <v>438</v>
      </c>
      <c r="KHB93" t="s">
        <v>440</v>
      </c>
      <c r="KHC93" t="s">
        <v>428</v>
      </c>
      <c r="KHE93" t="s">
        <v>114</v>
      </c>
      <c r="KHF93" t="s">
        <v>113</v>
      </c>
      <c r="KHG93" t="s">
        <v>398</v>
      </c>
      <c r="KHH93">
        <v>1</v>
      </c>
      <c r="KHI93" t="s">
        <v>438</v>
      </c>
      <c r="KHJ93" t="s">
        <v>440</v>
      </c>
      <c r="KHK93" t="s">
        <v>428</v>
      </c>
      <c r="KHM93" t="s">
        <v>114</v>
      </c>
      <c r="KHN93" t="s">
        <v>113</v>
      </c>
      <c r="KHO93" t="s">
        <v>398</v>
      </c>
      <c r="KHP93">
        <v>1</v>
      </c>
      <c r="KHQ93" t="s">
        <v>438</v>
      </c>
      <c r="KHR93" t="s">
        <v>440</v>
      </c>
      <c r="KHS93" t="s">
        <v>428</v>
      </c>
      <c r="KHU93" t="s">
        <v>114</v>
      </c>
      <c r="KHV93" t="s">
        <v>113</v>
      </c>
      <c r="KHW93" t="s">
        <v>398</v>
      </c>
      <c r="KHX93">
        <v>1</v>
      </c>
      <c r="KHY93" t="s">
        <v>438</v>
      </c>
      <c r="KHZ93" t="s">
        <v>440</v>
      </c>
      <c r="KIA93" t="s">
        <v>428</v>
      </c>
      <c r="KIC93" t="s">
        <v>114</v>
      </c>
      <c r="KID93" t="s">
        <v>113</v>
      </c>
      <c r="KIE93" t="s">
        <v>398</v>
      </c>
      <c r="KIF93">
        <v>1</v>
      </c>
      <c r="KIG93" t="s">
        <v>438</v>
      </c>
      <c r="KIH93" t="s">
        <v>440</v>
      </c>
      <c r="KII93" t="s">
        <v>428</v>
      </c>
      <c r="KIK93" t="s">
        <v>114</v>
      </c>
      <c r="KIL93" t="s">
        <v>113</v>
      </c>
      <c r="KIM93" t="s">
        <v>398</v>
      </c>
      <c r="KIN93">
        <v>1</v>
      </c>
      <c r="KIO93" t="s">
        <v>438</v>
      </c>
      <c r="KIP93" t="s">
        <v>440</v>
      </c>
      <c r="KIQ93" t="s">
        <v>428</v>
      </c>
      <c r="KIS93" t="s">
        <v>114</v>
      </c>
      <c r="KIT93" t="s">
        <v>113</v>
      </c>
      <c r="KIU93" t="s">
        <v>398</v>
      </c>
      <c r="KIV93">
        <v>1</v>
      </c>
      <c r="KIW93" t="s">
        <v>438</v>
      </c>
      <c r="KIX93" t="s">
        <v>440</v>
      </c>
      <c r="KIY93" t="s">
        <v>428</v>
      </c>
      <c r="KJA93" t="s">
        <v>114</v>
      </c>
      <c r="KJB93" t="s">
        <v>113</v>
      </c>
      <c r="KJC93" t="s">
        <v>398</v>
      </c>
      <c r="KJD93">
        <v>1</v>
      </c>
      <c r="KJE93" t="s">
        <v>438</v>
      </c>
      <c r="KJF93" t="s">
        <v>440</v>
      </c>
      <c r="KJG93" t="s">
        <v>428</v>
      </c>
      <c r="KJI93" t="s">
        <v>114</v>
      </c>
      <c r="KJJ93" t="s">
        <v>113</v>
      </c>
      <c r="KJK93" t="s">
        <v>398</v>
      </c>
      <c r="KJL93">
        <v>1</v>
      </c>
      <c r="KJM93" t="s">
        <v>438</v>
      </c>
      <c r="KJN93" t="s">
        <v>440</v>
      </c>
      <c r="KJO93" t="s">
        <v>428</v>
      </c>
      <c r="KJQ93" t="s">
        <v>114</v>
      </c>
      <c r="KJR93" t="s">
        <v>113</v>
      </c>
      <c r="KJS93" t="s">
        <v>398</v>
      </c>
      <c r="KJT93">
        <v>1</v>
      </c>
      <c r="KJU93" t="s">
        <v>438</v>
      </c>
      <c r="KJV93" t="s">
        <v>440</v>
      </c>
      <c r="KJW93" t="s">
        <v>428</v>
      </c>
      <c r="KJY93" t="s">
        <v>114</v>
      </c>
      <c r="KJZ93" t="s">
        <v>113</v>
      </c>
      <c r="KKA93" t="s">
        <v>398</v>
      </c>
      <c r="KKB93">
        <v>1</v>
      </c>
      <c r="KKC93" t="s">
        <v>438</v>
      </c>
      <c r="KKD93" t="s">
        <v>440</v>
      </c>
      <c r="KKE93" t="s">
        <v>428</v>
      </c>
      <c r="KKG93" t="s">
        <v>114</v>
      </c>
      <c r="KKH93" t="s">
        <v>113</v>
      </c>
      <c r="KKI93" t="s">
        <v>398</v>
      </c>
      <c r="KKJ93">
        <v>1</v>
      </c>
      <c r="KKK93" t="s">
        <v>438</v>
      </c>
      <c r="KKL93" t="s">
        <v>440</v>
      </c>
      <c r="KKM93" t="s">
        <v>428</v>
      </c>
      <c r="KKO93" t="s">
        <v>114</v>
      </c>
      <c r="KKP93" t="s">
        <v>113</v>
      </c>
      <c r="KKQ93" t="s">
        <v>398</v>
      </c>
      <c r="KKR93">
        <v>1</v>
      </c>
      <c r="KKS93" t="s">
        <v>438</v>
      </c>
      <c r="KKT93" t="s">
        <v>440</v>
      </c>
      <c r="KKU93" t="s">
        <v>428</v>
      </c>
      <c r="KKW93" t="s">
        <v>114</v>
      </c>
      <c r="KKX93" t="s">
        <v>113</v>
      </c>
      <c r="KKY93" t="s">
        <v>398</v>
      </c>
      <c r="KKZ93">
        <v>1</v>
      </c>
      <c r="KLA93" t="s">
        <v>438</v>
      </c>
      <c r="KLB93" t="s">
        <v>440</v>
      </c>
      <c r="KLC93" t="s">
        <v>428</v>
      </c>
      <c r="KLE93" t="s">
        <v>114</v>
      </c>
      <c r="KLF93" t="s">
        <v>113</v>
      </c>
      <c r="KLG93" t="s">
        <v>398</v>
      </c>
      <c r="KLH93">
        <v>1</v>
      </c>
      <c r="KLI93" t="s">
        <v>438</v>
      </c>
      <c r="KLJ93" t="s">
        <v>440</v>
      </c>
      <c r="KLK93" t="s">
        <v>428</v>
      </c>
      <c r="KLM93" t="s">
        <v>114</v>
      </c>
      <c r="KLN93" t="s">
        <v>113</v>
      </c>
      <c r="KLO93" t="s">
        <v>398</v>
      </c>
      <c r="KLP93">
        <v>1</v>
      </c>
      <c r="KLQ93" t="s">
        <v>438</v>
      </c>
      <c r="KLR93" t="s">
        <v>440</v>
      </c>
      <c r="KLS93" t="s">
        <v>428</v>
      </c>
      <c r="KLU93" t="s">
        <v>114</v>
      </c>
      <c r="KLV93" t="s">
        <v>113</v>
      </c>
      <c r="KLW93" t="s">
        <v>398</v>
      </c>
      <c r="KLX93">
        <v>1</v>
      </c>
      <c r="KLY93" t="s">
        <v>438</v>
      </c>
      <c r="KLZ93" t="s">
        <v>440</v>
      </c>
      <c r="KMA93" t="s">
        <v>428</v>
      </c>
      <c r="KMC93" t="s">
        <v>114</v>
      </c>
      <c r="KMD93" t="s">
        <v>113</v>
      </c>
      <c r="KME93" t="s">
        <v>398</v>
      </c>
      <c r="KMF93">
        <v>1</v>
      </c>
      <c r="KMG93" t="s">
        <v>438</v>
      </c>
      <c r="KMH93" t="s">
        <v>440</v>
      </c>
      <c r="KMI93" t="s">
        <v>428</v>
      </c>
      <c r="KMK93" t="s">
        <v>114</v>
      </c>
      <c r="KML93" t="s">
        <v>113</v>
      </c>
      <c r="KMM93" t="s">
        <v>398</v>
      </c>
      <c r="KMN93">
        <v>1</v>
      </c>
      <c r="KMO93" t="s">
        <v>438</v>
      </c>
      <c r="KMP93" t="s">
        <v>440</v>
      </c>
      <c r="KMQ93" t="s">
        <v>428</v>
      </c>
      <c r="KMS93" t="s">
        <v>114</v>
      </c>
      <c r="KMT93" t="s">
        <v>113</v>
      </c>
      <c r="KMU93" t="s">
        <v>398</v>
      </c>
      <c r="KMV93">
        <v>1</v>
      </c>
      <c r="KMW93" t="s">
        <v>438</v>
      </c>
      <c r="KMX93" t="s">
        <v>440</v>
      </c>
      <c r="KMY93" t="s">
        <v>428</v>
      </c>
      <c r="KNA93" t="s">
        <v>114</v>
      </c>
      <c r="KNB93" t="s">
        <v>113</v>
      </c>
      <c r="KNC93" t="s">
        <v>398</v>
      </c>
      <c r="KND93">
        <v>1</v>
      </c>
      <c r="KNE93" t="s">
        <v>438</v>
      </c>
      <c r="KNF93" t="s">
        <v>440</v>
      </c>
      <c r="KNG93" t="s">
        <v>428</v>
      </c>
      <c r="KNI93" t="s">
        <v>114</v>
      </c>
      <c r="KNJ93" t="s">
        <v>113</v>
      </c>
      <c r="KNK93" t="s">
        <v>398</v>
      </c>
      <c r="KNL93">
        <v>1</v>
      </c>
      <c r="KNM93" t="s">
        <v>438</v>
      </c>
      <c r="KNN93" t="s">
        <v>440</v>
      </c>
      <c r="KNO93" t="s">
        <v>428</v>
      </c>
      <c r="KNQ93" t="s">
        <v>114</v>
      </c>
      <c r="KNR93" t="s">
        <v>113</v>
      </c>
      <c r="KNS93" t="s">
        <v>398</v>
      </c>
      <c r="KNT93">
        <v>1</v>
      </c>
      <c r="KNU93" t="s">
        <v>438</v>
      </c>
      <c r="KNV93" t="s">
        <v>440</v>
      </c>
      <c r="KNW93" t="s">
        <v>428</v>
      </c>
      <c r="KNY93" t="s">
        <v>114</v>
      </c>
      <c r="KNZ93" t="s">
        <v>113</v>
      </c>
      <c r="KOA93" t="s">
        <v>398</v>
      </c>
      <c r="KOB93">
        <v>1</v>
      </c>
      <c r="KOC93" t="s">
        <v>438</v>
      </c>
      <c r="KOD93" t="s">
        <v>440</v>
      </c>
      <c r="KOE93" t="s">
        <v>428</v>
      </c>
      <c r="KOG93" t="s">
        <v>114</v>
      </c>
      <c r="KOH93" t="s">
        <v>113</v>
      </c>
      <c r="KOI93" t="s">
        <v>398</v>
      </c>
      <c r="KOJ93">
        <v>1</v>
      </c>
      <c r="KOK93" t="s">
        <v>438</v>
      </c>
      <c r="KOL93" t="s">
        <v>440</v>
      </c>
      <c r="KOM93" t="s">
        <v>428</v>
      </c>
      <c r="KOO93" t="s">
        <v>114</v>
      </c>
      <c r="KOP93" t="s">
        <v>113</v>
      </c>
      <c r="KOQ93" t="s">
        <v>398</v>
      </c>
      <c r="KOR93">
        <v>1</v>
      </c>
      <c r="KOS93" t="s">
        <v>438</v>
      </c>
      <c r="KOT93" t="s">
        <v>440</v>
      </c>
      <c r="KOU93" t="s">
        <v>428</v>
      </c>
      <c r="KOW93" t="s">
        <v>114</v>
      </c>
      <c r="KOX93" t="s">
        <v>113</v>
      </c>
      <c r="KOY93" t="s">
        <v>398</v>
      </c>
      <c r="KOZ93">
        <v>1</v>
      </c>
      <c r="KPA93" t="s">
        <v>438</v>
      </c>
      <c r="KPB93" t="s">
        <v>440</v>
      </c>
      <c r="KPC93" t="s">
        <v>428</v>
      </c>
      <c r="KPE93" t="s">
        <v>114</v>
      </c>
      <c r="KPF93" t="s">
        <v>113</v>
      </c>
      <c r="KPG93" t="s">
        <v>398</v>
      </c>
      <c r="KPH93">
        <v>1</v>
      </c>
      <c r="KPI93" t="s">
        <v>438</v>
      </c>
      <c r="KPJ93" t="s">
        <v>440</v>
      </c>
      <c r="KPK93" t="s">
        <v>428</v>
      </c>
      <c r="KPM93" t="s">
        <v>114</v>
      </c>
      <c r="KPN93" t="s">
        <v>113</v>
      </c>
      <c r="KPO93" t="s">
        <v>398</v>
      </c>
      <c r="KPP93">
        <v>1</v>
      </c>
      <c r="KPQ93" t="s">
        <v>438</v>
      </c>
      <c r="KPR93" t="s">
        <v>440</v>
      </c>
      <c r="KPS93" t="s">
        <v>428</v>
      </c>
      <c r="KPU93" t="s">
        <v>114</v>
      </c>
      <c r="KPV93" t="s">
        <v>113</v>
      </c>
      <c r="KPW93" t="s">
        <v>398</v>
      </c>
      <c r="KPX93">
        <v>1</v>
      </c>
      <c r="KPY93" t="s">
        <v>438</v>
      </c>
      <c r="KPZ93" t="s">
        <v>440</v>
      </c>
      <c r="KQA93" t="s">
        <v>428</v>
      </c>
      <c r="KQC93" t="s">
        <v>114</v>
      </c>
      <c r="KQD93" t="s">
        <v>113</v>
      </c>
      <c r="KQE93" t="s">
        <v>398</v>
      </c>
      <c r="KQF93">
        <v>1</v>
      </c>
      <c r="KQG93" t="s">
        <v>438</v>
      </c>
      <c r="KQH93" t="s">
        <v>440</v>
      </c>
      <c r="KQI93" t="s">
        <v>428</v>
      </c>
      <c r="KQK93" t="s">
        <v>114</v>
      </c>
      <c r="KQL93" t="s">
        <v>113</v>
      </c>
      <c r="KQM93" t="s">
        <v>398</v>
      </c>
      <c r="KQN93">
        <v>1</v>
      </c>
      <c r="KQO93" t="s">
        <v>438</v>
      </c>
      <c r="KQP93" t="s">
        <v>440</v>
      </c>
      <c r="KQQ93" t="s">
        <v>428</v>
      </c>
      <c r="KQS93" t="s">
        <v>114</v>
      </c>
      <c r="KQT93" t="s">
        <v>113</v>
      </c>
      <c r="KQU93" t="s">
        <v>398</v>
      </c>
      <c r="KQV93">
        <v>1</v>
      </c>
      <c r="KQW93" t="s">
        <v>438</v>
      </c>
      <c r="KQX93" t="s">
        <v>440</v>
      </c>
      <c r="KQY93" t="s">
        <v>428</v>
      </c>
      <c r="KRA93" t="s">
        <v>114</v>
      </c>
      <c r="KRB93" t="s">
        <v>113</v>
      </c>
      <c r="KRC93" t="s">
        <v>398</v>
      </c>
      <c r="KRD93">
        <v>1</v>
      </c>
      <c r="KRE93" t="s">
        <v>438</v>
      </c>
      <c r="KRF93" t="s">
        <v>440</v>
      </c>
      <c r="KRG93" t="s">
        <v>428</v>
      </c>
      <c r="KRI93" t="s">
        <v>114</v>
      </c>
      <c r="KRJ93" t="s">
        <v>113</v>
      </c>
      <c r="KRK93" t="s">
        <v>398</v>
      </c>
      <c r="KRL93">
        <v>1</v>
      </c>
      <c r="KRM93" t="s">
        <v>438</v>
      </c>
      <c r="KRN93" t="s">
        <v>440</v>
      </c>
      <c r="KRO93" t="s">
        <v>428</v>
      </c>
      <c r="KRQ93" t="s">
        <v>114</v>
      </c>
      <c r="KRR93" t="s">
        <v>113</v>
      </c>
      <c r="KRS93" t="s">
        <v>398</v>
      </c>
      <c r="KRT93">
        <v>1</v>
      </c>
      <c r="KRU93" t="s">
        <v>438</v>
      </c>
      <c r="KRV93" t="s">
        <v>440</v>
      </c>
      <c r="KRW93" t="s">
        <v>428</v>
      </c>
      <c r="KRY93" t="s">
        <v>114</v>
      </c>
      <c r="KRZ93" t="s">
        <v>113</v>
      </c>
      <c r="KSA93" t="s">
        <v>398</v>
      </c>
      <c r="KSB93">
        <v>1</v>
      </c>
      <c r="KSC93" t="s">
        <v>438</v>
      </c>
      <c r="KSD93" t="s">
        <v>440</v>
      </c>
      <c r="KSE93" t="s">
        <v>428</v>
      </c>
      <c r="KSG93" t="s">
        <v>114</v>
      </c>
      <c r="KSH93" t="s">
        <v>113</v>
      </c>
      <c r="KSI93" t="s">
        <v>398</v>
      </c>
      <c r="KSJ93">
        <v>1</v>
      </c>
      <c r="KSK93" t="s">
        <v>438</v>
      </c>
      <c r="KSL93" t="s">
        <v>440</v>
      </c>
      <c r="KSM93" t="s">
        <v>428</v>
      </c>
      <c r="KSO93" t="s">
        <v>114</v>
      </c>
      <c r="KSP93" t="s">
        <v>113</v>
      </c>
      <c r="KSQ93" t="s">
        <v>398</v>
      </c>
      <c r="KSR93">
        <v>1</v>
      </c>
      <c r="KSS93" t="s">
        <v>438</v>
      </c>
      <c r="KST93" t="s">
        <v>440</v>
      </c>
      <c r="KSU93" t="s">
        <v>428</v>
      </c>
      <c r="KSW93" t="s">
        <v>114</v>
      </c>
      <c r="KSX93" t="s">
        <v>113</v>
      </c>
      <c r="KSY93" t="s">
        <v>398</v>
      </c>
      <c r="KSZ93">
        <v>1</v>
      </c>
      <c r="KTA93" t="s">
        <v>438</v>
      </c>
      <c r="KTB93" t="s">
        <v>440</v>
      </c>
      <c r="KTC93" t="s">
        <v>428</v>
      </c>
      <c r="KTE93" t="s">
        <v>114</v>
      </c>
      <c r="KTF93" t="s">
        <v>113</v>
      </c>
      <c r="KTG93" t="s">
        <v>398</v>
      </c>
      <c r="KTH93">
        <v>1</v>
      </c>
      <c r="KTI93" t="s">
        <v>438</v>
      </c>
      <c r="KTJ93" t="s">
        <v>440</v>
      </c>
      <c r="KTK93" t="s">
        <v>428</v>
      </c>
      <c r="KTM93" t="s">
        <v>114</v>
      </c>
      <c r="KTN93" t="s">
        <v>113</v>
      </c>
      <c r="KTO93" t="s">
        <v>398</v>
      </c>
      <c r="KTP93">
        <v>1</v>
      </c>
      <c r="KTQ93" t="s">
        <v>438</v>
      </c>
      <c r="KTR93" t="s">
        <v>440</v>
      </c>
      <c r="KTS93" t="s">
        <v>428</v>
      </c>
      <c r="KTU93" t="s">
        <v>114</v>
      </c>
      <c r="KTV93" t="s">
        <v>113</v>
      </c>
      <c r="KTW93" t="s">
        <v>398</v>
      </c>
      <c r="KTX93">
        <v>1</v>
      </c>
      <c r="KTY93" t="s">
        <v>438</v>
      </c>
      <c r="KTZ93" t="s">
        <v>440</v>
      </c>
      <c r="KUA93" t="s">
        <v>428</v>
      </c>
      <c r="KUC93" t="s">
        <v>114</v>
      </c>
      <c r="KUD93" t="s">
        <v>113</v>
      </c>
      <c r="KUE93" t="s">
        <v>398</v>
      </c>
      <c r="KUF93">
        <v>1</v>
      </c>
      <c r="KUG93" t="s">
        <v>438</v>
      </c>
      <c r="KUH93" t="s">
        <v>440</v>
      </c>
      <c r="KUI93" t="s">
        <v>428</v>
      </c>
      <c r="KUK93" t="s">
        <v>114</v>
      </c>
      <c r="KUL93" t="s">
        <v>113</v>
      </c>
      <c r="KUM93" t="s">
        <v>398</v>
      </c>
      <c r="KUN93">
        <v>1</v>
      </c>
      <c r="KUO93" t="s">
        <v>438</v>
      </c>
      <c r="KUP93" t="s">
        <v>440</v>
      </c>
      <c r="KUQ93" t="s">
        <v>428</v>
      </c>
      <c r="KUS93" t="s">
        <v>114</v>
      </c>
      <c r="KUT93" t="s">
        <v>113</v>
      </c>
      <c r="KUU93" t="s">
        <v>398</v>
      </c>
      <c r="KUV93">
        <v>1</v>
      </c>
      <c r="KUW93" t="s">
        <v>438</v>
      </c>
      <c r="KUX93" t="s">
        <v>440</v>
      </c>
      <c r="KUY93" t="s">
        <v>428</v>
      </c>
      <c r="KVA93" t="s">
        <v>114</v>
      </c>
      <c r="KVB93" t="s">
        <v>113</v>
      </c>
      <c r="KVC93" t="s">
        <v>398</v>
      </c>
      <c r="KVD93">
        <v>1</v>
      </c>
      <c r="KVE93" t="s">
        <v>438</v>
      </c>
      <c r="KVF93" t="s">
        <v>440</v>
      </c>
      <c r="KVG93" t="s">
        <v>428</v>
      </c>
      <c r="KVI93" t="s">
        <v>114</v>
      </c>
      <c r="KVJ93" t="s">
        <v>113</v>
      </c>
      <c r="KVK93" t="s">
        <v>398</v>
      </c>
      <c r="KVL93">
        <v>1</v>
      </c>
      <c r="KVM93" t="s">
        <v>438</v>
      </c>
      <c r="KVN93" t="s">
        <v>440</v>
      </c>
      <c r="KVO93" t="s">
        <v>428</v>
      </c>
      <c r="KVQ93" t="s">
        <v>114</v>
      </c>
      <c r="KVR93" t="s">
        <v>113</v>
      </c>
      <c r="KVS93" t="s">
        <v>398</v>
      </c>
      <c r="KVT93">
        <v>1</v>
      </c>
      <c r="KVU93" t="s">
        <v>438</v>
      </c>
      <c r="KVV93" t="s">
        <v>440</v>
      </c>
      <c r="KVW93" t="s">
        <v>428</v>
      </c>
      <c r="KVY93" t="s">
        <v>114</v>
      </c>
      <c r="KVZ93" t="s">
        <v>113</v>
      </c>
      <c r="KWA93" t="s">
        <v>398</v>
      </c>
      <c r="KWB93">
        <v>1</v>
      </c>
      <c r="KWC93" t="s">
        <v>438</v>
      </c>
      <c r="KWD93" t="s">
        <v>440</v>
      </c>
      <c r="KWE93" t="s">
        <v>428</v>
      </c>
      <c r="KWG93" t="s">
        <v>114</v>
      </c>
      <c r="KWH93" t="s">
        <v>113</v>
      </c>
      <c r="KWI93" t="s">
        <v>398</v>
      </c>
      <c r="KWJ93">
        <v>1</v>
      </c>
      <c r="KWK93" t="s">
        <v>438</v>
      </c>
      <c r="KWL93" t="s">
        <v>440</v>
      </c>
      <c r="KWM93" t="s">
        <v>428</v>
      </c>
      <c r="KWO93" t="s">
        <v>114</v>
      </c>
      <c r="KWP93" t="s">
        <v>113</v>
      </c>
      <c r="KWQ93" t="s">
        <v>398</v>
      </c>
      <c r="KWR93">
        <v>1</v>
      </c>
      <c r="KWS93" t="s">
        <v>438</v>
      </c>
      <c r="KWT93" t="s">
        <v>440</v>
      </c>
      <c r="KWU93" t="s">
        <v>428</v>
      </c>
      <c r="KWW93" t="s">
        <v>114</v>
      </c>
      <c r="KWX93" t="s">
        <v>113</v>
      </c>
      <c r="KWY93" t="s">
        <v>398</v>
      </c>
      <c r="KWZ93">
        <v>1</v>
      </c>
      <c r="KXA93" t="s">
        <v>438</v>
      </c>
      <c r="KXB93" t="s">
        <v>440</v>
      </c>
      <c r="KXC93" t="s">
        <v>428</v>
      </c>
      <c r="KXE93" t="s">
        <v>114</v>
      </c>
      <c r="KXF93" t="s">
        <v>113</v>
      </c>
      <c r="KXG93" t="s">
        <v>398</v>
      </c>
      <c r="KXH93">
        <v>1</v>
      </c>
      <c r="KXI93" t="s">
        <v>438</v>
      </c>
      <c r="KXJ93" t="s">
        <v>440</v>
      </c>
      <c r="KXK93" t="s">
        <v>428</v>
      </c>
      <c r="KXM93" t="s">
        <v>114</v>
      </c>
      <c r="KXN93" t="s">
        <v>113</v>
      </c>
      <c r="KXO93" t="s">
        <v>398</v>
      </c>
      <c r="KXP93">
        <v>1</v>
      </c>
      <c r="KXQ93" t="s">
        <v>438</v>
      </c>
      <c r="KXR93" t="s">
        <v>440</v>
      </c>
      <c r="KXS93" t="s">
        <v>428</v>
      </c>
      <c r="KXU93" t="s">
        <v>114</v>
      </c>
      <c r="KXV93" t="s">
        <v>113</v>
      </c>
      <c r="KXW93" t="s">
        <v>398</v>
      </c>
      <c r="KXX93">
        <v>1</v>
      </c>
      <c r="KXY93" t="s">
        <v>438</v>
      </c>
      <c r="KXZ93" t="s">
        <v>440</v>
      </c>
      <c r="KYA93" t="s">
        <v>428</v>
      </c>
      <c r="KYC93" t="s">
        <v>114</v>
      </c>
      <c r="KYD93" t="s">
        <v>113</v>
      </c>
      <c r="KYE93" t="s">
        <v>398</v>
      </c>
      <c r="KYF93">
        <v>1</v>
      </c>
      <c r="KYG93" t="s">
        <v>438</v>
      </c>
      <c r="KYH93" t="s">
        <v>440</v>
      </c>
      <c r="KYI93" t="s">
        <v>428</v>
      </c>
      <c r="KYK93" t="s">
        <v>114</v>
      </c>
      <c r="KYL93" t="s">
        <v>113</v>
      </c>
      <c r="KYM93" t="s">
        <v>398</v>
      </c>
      <c r="KYN93">
        <v>1</v>
      </c>
      <c r="KYO93" t="s">
        <v>438</v>
      </c>
      <c r="KYP93" t="s">
        <v>440</v>
      </c>
      <c r="KYQ93" t="s">
        <v>428</v>
      </c>
      <c r="KYS93" t="s">
        <v>114</v>
      </c>
      <c r="KYT93" t="s">
        <v>113</v>
      </c>
      <c r="KYU93" t="s">
        <v>398</v>
      </c>
      <c r="KYV93">
        <v>1</v>
      </c>
      <c r="KYW93" t="s">
        <v>438</v>
      </c>
      <c r="KYX93" t="s">
        <v>440</v>
      </c>
      <c r="KYY93" t="s">
        <v>428</v>
      </c>
      <c r="KZA93" t="s">
        <v>114</v>
      </c>
      <c r="KZB93" t="s">
        <v>113</v>
      </c>
      <c r="KZC93" t="s">
        <v>398</v>
      </c>
      <c r="KZD93">
        <v>1</v>
      </c>
      <c r="KZE93" t="s">
        <v>438</v>
      </c>
      <c r="KZF93" t="s">
        <v>440</v>
      </c>
      <c r="KZG93" t="s">
        <v>428</v>
      </c>
      <c r="KZI93" t="s">
        <v>114</v>
      </c>
      <c r="KZJ93" t="s">
        <v>113</v>
      </c>
      <c r="KZK93" t="s">
        <v>398</v>
      </c>
      <c r="KZL93">
        <v>1</v>
      </c>
      <c r="KZM93" t="s">
        <v>438</v>
      </c>
      <c r="KZN93" t="s">
        <v>440</v>
      </c>
      <c r="KZO93" t="s">
        <v>428</v>
      </c>
      <c r="KZQ93" t="s">
        <v>114</v>
      </c>
      <c r="KZR93" t="s">
        <v>113</v>
      </c>
      <c r="KZS93" t="s">
        <v>398</v>
      </c>
      <c r="KZT93">
        <v>1</v>
      </c>
      <c r="KZU93" t="s">
        <v>438</v>
      </c>
      <c r="KZV93" t="s">
        <v>440</v>
      </c>
      <c r="KZW93" t="s">
        <v>428</v>
      </c>
      <c r="KZY93" t="s">
        <v>114</v>
      </c>
      <c r="KZZ93" t="s">
        <v>113</v>
      </c>
      <c r="LAA93" t="s">
        <v>398</v>
      </c>
      <c r="LAB93">
        <v>1</v>
      </c>
      <c r="LAC93" t="s">
        <v>438</v>
      </c>
      <c r="LAD93" t="s">
        <v>440</v>
      </c>
      <c r="LAE93" t="s">
        <v>428</v>
      </c>
      <c r="LAG93" t="s">
        <v>114</v>
      </c>
      <c r="LAH93" t="s">
        <v>113</v>
      </c>
      <c r="LAI93" t="s">
        <v>398</v>
      </c>
      <c r="LAJ93">
        <v>1</v>
      </c>
      <c r="LAK93" t="s">
        <v>438</v>
      </c>
      <c r="LAL93" t="s">
        <v>440</v>
      </c>
      <c r="LAM93" t="s">
        <v>428</v>
      </c>
      <c r="LAO93" t="s">
        <v>114</v>
      </c>
      <c r="LAP93" t="s">
        <v>113</v>
      </c>
      <c r="LAQ93" t="s">
        <v>398</v>
      </c>
      <c r="LAR93">
        <v>1</v>
      </c>
      <c r="LAS93" t="s">
        <v>438</v>
      </c>
      <c r="LAT93" t="s">
        <v>440</v>
      </c>
      <c r="LAU93" t="s">
        <v>428</v>
      </c>
      <c r="LAW93" t="s">
        <v>114</v>
      </c>
      <c r="LAX93" t="s">
        <v>113</v>
      </c>
      <c r="LAY93" t="s">
        <v>398</v>
      </c>
      <c r="LAZ93">
        <v>1</v>
      </c>
      <c r="LBA93" t="s">
        <v>438</v>
      </c>
      <c r="LBB93" t="s">
        <v>440</v>
      </c>
      <c r="LBC93" t="s">
        <v>428</v>
      </c>
      <c r="LBE93" t="s">
        <v>114</v>
      </c>
      <c r="LBF93" t="s">
        <v>113</v>
      </c>
      <c r="LBG93" t="s">
        <v>398</v>
      </c>
      <c r="LBH93">
        <v>1</v>
      </c>
      <c r="LBI93" t="s">
        <v>438</v>
      </c>
      <c r="LBJ93" t="s">
        <v>440</v>
      </c>
      <c r="LBK93" t="s">
        <v>428</v>
      </c>
      <c r="LBM93" t="s">
        <v>114</v>
      </c>
      <c r="LBN93" t="s">
        <v>113</v>
      </c>
      <c r="LBO93" t="s">
        <v>398</v>
      </c>
      <c r="LBP93">
        <v>1</v>
      </c>
      <c r="LBQ93" t="s">
        <v>438</v>
      </c>
      <c r="LBR93" t="s">
        <v>440</v>
      </c>
      <c r="LBS93" t="s">
        <v>428</v>
      </c>
      <c r="LBU93" t="s">
        <v>114</v>
      </c>
      <c r="LBV93" t="s">
        <v>113</v>
      </c>
      <c r="LBW93" t="s">
        <v>398</v>
      </c>
      <c r="LBX93">
        <v>1</v>
      </c>
      <c r="LBY93" t="s">
        <v>438</v>
      </c>
      <c r="LBZ93" t="s">
        <v>440</v>
      </c>
      <c r="LCA93" t="s">
        <v>428</v>
      </c>
      <c r="LCC93" t="s">
        <v>114</v>
      </c>
      <c r="LCD93" t="s">
        <v>113</v>
      </c>
      <c r="LCE93" t="s">
        <v>398</v>
      </c>
      <c r="LCF93">
        <v>1</v>
      </c>
      <c r="LCG93" t="s">
        <v>438</v>
      </c>
      <c r="LCH93" t="s">
        <v>440</v>
      </c>
      <c r="LCI93" t="s">
        <v>428</v>
      </c>
      <c r="LCK93" t="s">
        <v>114</v>
      </c>
      <c r="LCL93" t="s">
        <v>113</v>
      </c>
      <c r="LCM93" t="s">
        <v>398</v>
      </c>
      <c r="LCN93">
        <v>1</v>
      </c>
      <c r="LCO93" t="s">
        <v>438</v>
      </c>
      <c r="LCP93" t="s">
        <v>440</v>
      </c>
      <c r="LCQ93" t="s">
        <v>428</v>
      </c>
      <c r="LCS93" t="s">
        <v>114</v>
      </c>
      <c r="LCT93" t="s">
        <v>113</v>
      </c>
      <c r="LCU93" t="s">
        <v>398</v>
      </c>
      <c r="LCV93">
        <v>1</v>
      </c>
      <c r="LCW93" t="s">
        <v>438</v>
      </c>
      <c r="LCX93" t="s">
        <v>440</v>
      </c>
      <c r="LCY93" t="s">
        <v>428</v>
      </c>
      <c r="LDA93" t="s">
        <v>114</v>
      </c>
      <c r="LDB93" t="s">
        <v>113</v>
      </c>
      <c r="LDC93" t="s">
        <v>398</v>
      </c>
      <c r="LDD93">
        <v>1</v>
      </c>
      <c r="LDE93" t="s">
        <v>438</v>
      </c>
      <c r="LDF93" t="s">
        <v>440</v>
      </c>
      <c r="LDG93" t="s">
        <v>428</v>
      </c>
      <c r="LDI93" t="s">
        <v>114</v>
      </c>
      <c r="LDJ93" t="s">
        <v>113</v>
      </c>
      <c r="LDK93" t="s">
        <v>398</v>
      </c>
      <c r="LDL93">
        <v>1</v>
      </c>
      <c r="LDM93" t="s">
        <v>438</v>
      </c>
      <c r="LDN93" t="s">
        <v>440</v>
      </c>
      <c r="LDO93" t="s">
        <v>428</v>
      </c>
      <c r="LDQ93" t="s">
        <v>114</v>
      </c>
      <c r="LDR93" t="s">
        <v>113</v>
      </c>
      <c r="LDS93" t="s">
        <v>398</v>
      </c>
      <c r="LDT93">
        <v>1</v>
      </c>
      <c r="LDU93" t="s">
        <v>438</v>
      </c>
      <c r="LDV93" t="s">
        <v>440</v>
      </c>
      <c r="LDW93" t="s">
        <v>428</v>
      </c>
      <c r="LDY93" t="s">
        <v>114</v>
      </c>
      <c r="LDZ93" t="s">
        <v>113</v>
      </c>
      <c r="LEA93" t="s">
        <v>398</v>
      </c>
      <c r="LEB93">
        <v>1</v>
      </c>
      <c r="LEC93" t="s">
        <v>438</v>
      </c>
      <c r="LED93" t="s">
        <v>440</v>
      </c>
      <c r="LEE93" t="s">
        <v>428</v>
      </c>
      <c r="LEG93" t="s">
        <v>114</v>
      </c>
      <c r="LEH93" t="s">
        <v>113</v>
      </c>
      <c r="LEI93" t="s">
        <v>398</v>
      </c>
      <c r="LEJ93">
        <v>1</v>
      </c>
      <c r="LEK93" t="s">
        <v>438</v>
      </c>
      <c r="LEL93" t="s">
        <v>440</v>
      </c>
      <c r="LEM93" t="s">
        <v>428</v>
      </c>
      <c r="LEO93" t="s">
        <v>114</v>
      </c>
      <c r="LEP93" t="s">
        <v>113</v>
      </c>
      <c r="LEQ93" t="s">
        <v>398</v>
      </c>
      <c r="LER93">
        <v>1</v>
      </c>
      <c r="LES93" t="s">
        <v>438</v>
      </c>
      <c r="LET93" t="s">
        <v>440</v>
      </c>
      <c r="LEU93" t="s">
        <v>428</v>
      </c>
      <c r="LEW93" t="s">
        <v>114</v>
      </c>
      <c r="LEX93" t="s">
        <v>113</v>
      </c>
      <c r="LEY93" t="s">
        <v>398</v>
      </c>
      <c r="LEZ93">
        <v>1</v>
      </c>
      <c r="LFA93" t="s">
        <v>438</v>
      </c>
      <c r="LFB93" t="s">
        <v>440</v>
      </c>
      <c r="LFC93" t="s">
        <v>428</v>
      </c>
      <c r="LFE93" t="s">
        <v>114</v>
      </c>
      <c r="LFF93" t="s">
        <v>113</v>
      </c>
      <c r="LFG93" t="s">
        <v>398</v>
      </c>
      <c r="LFH93">
        <v>1</v>
      </c>
      <c r="LFI93" t="s">
        <v>438</v>
      </c>
      <c r="LFJ93" t="s">
        <v>440</v>
      </c>
      <c r="LFK93" t="s">
        <v>428</v>
      </c>
      <c r="LFM93" t="s">
        <v>114</v>
      </c>
      <c r="LFN93" t="s">
        <v>113</v>
      </c>
      <c r="LFO93" t="s">
        <v>398</v>
      </c>
      <c r="LFP93">
        <v>1</v>
      </c>
      <c r="LFQ93" t="s">
        <v>438</v>
      </c>
      <c r="LFR93" t="s">
        <v>440</v>
      </c>
      <c r="LFS93" t="s">
        <v>428</v>
      </c>
      <c r="LFU93" t="s">
        <v>114</v>
      </c>
      <c r="LFV93" t="s">
        <v>113</v>
      </c>
      <c r="LFW93" t="s">
        <v>398</v>
      </c>
      <c r="LFX93">
        <v>1</v>
      </c>
      <c r="LFY93" t="s">
        <v>438</v>
      </c>
      <c r="LFZ93" t="s">
        <v>440</v>
      </c>
      <c r="LGA93" t="s">
        <v>428</v>
      </c>
      <c r="LGC93" t="s">
        <v>114</v>
      </c>
      <c r="LGD93" t="s">
        <v>113</v>
      </c>
      <c r="LGE93" t="s">
        <v>398</v>
      </c>
      <c r="LGF93">
        <v>1</v>
      </c>
      <c r="LGG93" t="s">
        <v>438</v>
      </c>
      <c r="LGH93" t="s">
        <v>440</v>
      </c>
      <c r="LGI93" t="s">
        <v>428</v>
      </c>
      <c r="LGK93" t="s">
        <v>114</v>
      </c>
      <c r="LGL93" t="s">
        <v>113</v>
      </c>
      <c r="LGM93" t="s">
        <v>398</v>
      </c>
      <c r="LGN93">
        <v>1</v>
      </c>
      <c r="LGO93" t="s">
        <v>438</v>
      </c>
      <c r="LGP93" t="s">
        <v>440</v>
      </c>
      <c r="LGQ93" t="s">
        <v>428</v>
      </c>
      <c r="LGS93" t="s">
        <v>114</v>
      </c>
      <c r="LGT93" t="s">
        <v>113</v>
      </c>
      <c r="LGU93" t="s">
        <v>398</v>
      </c>
      <c r="LGV93">
        <v>1</v>
      </c>
      <c r="LGW93" t="s">
        <v>438</v>
      </c>
      <c r="LGX93" t="s">
        <v>440</v>
      </c>
      <c r="LGY93" t="s">
        <v>428</v>
      </c>
      <c r="LHA93" t="s">
        <v>114</v>
      </c>
      <c r="LHB93" t="s">
        <v>113</v>
      </c>
      <c r="LHC93" t="s">
        <v>398</v>
      </c>
      <c r="LHD93">
        <v>1</v>
      </c>
      <c r="LHE93" t="s">
        <v>438</v>
      </c>
      <c r="LHF93" t="s">
        <v>440</v>
      </c>
      <c r="LHG93" t="s">
        <v>428</v>
      </c>
      <c r="LHI93" t="s">
        <v>114</v>
      </c>
      <c r="LHJ93" t="s">
        <v>113</v>
      </c>
      <c r="LHK93" t="s">
        <v>398</v>
      </c>
      <c r="LHL93">
        <v>1</v>
      </c>
      <c r="LHM93" t="s">
        <v>438</v>
      </c>
      <c r="LHN93" t="s">
        <v>440</v>
      </c>
      <c r="LHO93" t="s">
        <v>428</v>
      </c>
      <c r="LHQ93" t="s">
        <v>114</v>
      </c>
      <c r="LHR93" t="s">
        <v>113</v>
      </c>
      <c r="LHS93" t="s">
        <v>398</v>
      </c>
      <c r="LHT93">
        <v>1</v>
      </c>
      <c r="LHU93" t="s">
        <v>438</v>
      </c>
      <c r="LHV93" t="s">
        <v>440</v>
      </c>
      <c r="LHW93" t="s">
        <v>428</v>
      </c>
      <c r="LHY93" t="s">
        <v>114</v>
      </c>
      <c r="LHZ93" t="s">
        <v>113</v>
      </c>
      <c r="LIA93" t="s">
        <v>398</v>
      </c>
      <c r="LIB93">
        <v>1</v>
      </c>
      <c r="LIC93" t="s">
        <v>438</v>
      </c>
      <c r="LID93" t="s">
        <v>440</v>
      </c>
      <c r="LIE93" t="s">
        <v>428</v>
      </c>
      <c r="LIG93" t="s">
        <v>114</v>
      </c>
      <c r="LIH93" t="s">
        <v>113</v>
      </c>
      <c r="LII93" t="s">
        <v>398</v>
      </c>
      <c r="LIJ93">
        <v>1</v>
      </c>
      <c r="LIK93" t="s">
        <v>438</v>
      </c>
      <c r="LIL93" t="s">
        <v>440</v>
      </c>
      <c r="LIM93" t="s">
        <v>428</v>
      </c>
      <c r="LIO93" t="s">
        <v>114</v>
      </c>
      <c r="LIP93" t="s">
        <v>113</v>
      </c>
      <c r="LIQ93" t="s">
        <v>398</v>
      </c>
      <c r="LIR93">
        <v>1</v>
      </c>
      <c r="LIS93" t="s">
        <v>438</v>
      </c>
      <c r="LIT93" t="s">
        <v>440</v>
      </c>
      <c r="LIU93" t="s">
        <v>428</v>
      </c>
      <c r="LIW93" t="s">
        <v>114</v>
      </c>
      <c r="LIX93" t="s">
        <v>113</v>
      </c>
      <c r="LIY93" t="s">
        <v>398</v>
      </c>
      <c r="LIZ93">
        <v>1</v>
      </c>
      <c r="LJA93" t="s">
        <v>438</v>
      </c>
      <c r="LJB93" t="s">
        <v>440</v>
      </c>
      <c r="LJC93" t="s">
        <v>428</v>
      </c>
      <c r="LJE93" t="s">
        <v>114</v>
      </c>
      <c r="LJF93" t="s">
        <v>113</v>
      </c>
      <c r="LJG93" t="s">
        <v>398</v>
      </c>
      <c r="LJH93">
        <v>1</v>
      </c>
      <c r="LJI93" t="s">
        <v>438</v>
      </c>
      <c r="LJJ93" t="s">
        <v>440</v>
      </c>
      <c r="LJK93" t="s">
        <v>428</v>
      </c>
      <c r="LJM93" t="s">
        <v>114</v>
      </c>
      <c r="LJN93" t="s">
        <v>113</v>
      </c>
      <c r="LJO93" t="s">
        <v>398</v>
      </c>
      <c r="LJP93">
        <v>1</v>
      </c>
      <c r="LJQ93" t="s">
        <v>438</v>
      </c>
      <c r="LJR93" t="s">
        <v>440</v>
      </c>
      <c r="LJS93" t="s">
        <v>428</v>
      </c>
      <c r="LJU93" t="s">
        <v>114</v>
      </c>
      <c r="LJV93" t="s">
        <v>113</v>
      </c>
      <c r="LJW93" t="s">
        <v>398</v>
      </c>
      <c r="LJX93">
        <v>1</v>
      </c>
      <c r="LJY93" t="s">
        <v>438</v>
      </c>
      <c r="LJZ93" t="s">
        <v>440</v>
      </c>
      <c r="LKA93" t="s">
        <v>428</v>
      </c>
      <c r="LKC93" t="s">
        <v>114</v>
      </c>
      <c r="LKD93" t="s">
        <v>113</v>
      </c>
      <c r="LKE93" t="s">
        <v>398</v>
      </c>
      <c r="LKF93">
        <v>1</v>
      </c>
      <c r="LKG93" t="s">
        <v>438</v>
      </c>
      <c r="LKH93" t="s">
        <v>440</v>
      </c>
      <c r="LKI93" t="s">
        <v>428</v>
      </c>
      <c r="LKK93" t="s">
        <v>114</v>
      </c>
      <c r="LKL93" t="s">
        <v>113</v>
      </c>
      <c r="LKM93" t="s">
        <v>398</v>
      </c>
      <c r="LKN93">
        <v>1</v>
      </c>
      <c r="LKO93" t="s">
        <v>438</v>
      </c>
      <c r="LKP93" t="s">
        <v>440</v>
      </c>
      <c r="LKQ93" t="s">
        <v>428</v>
      </c>
      <c r="LKS93" t="s">
        <v>114</v>
      </c>
      <c r="LKT93" t="s">
        <v>113</v>
      </c>
      <c r="LKU93" t="s">
        <v>398</v>
      </c>
      <c r="LKV93">
        <v>1</v>
      </c>
      <c r="LKW93" t="s">
        <v>438</v>
      </c>
      <c r="LKX93" t="s">
        <v>440</v>
      </c>
      <c r="LKY93" t="s">
        <v>428</v>
      </c>
      <c r="LLA93" t="s">
        <v>114</v>
      </c>
      <c r="LLB93" t="s">
        <v>113</v>
      </c>
      <c r="LLC93" t="s">
        <v>398</v>
      </c>
      <c r="LLD93">
        <v>1</v>
      </c>
      <c r="LLE93" t="s">
        <v>438</v>
      </c>
      <c r="LLF93" t="s">
        <v>440</v>
      </c>
      <c r="LLG93" t="s">
        <v>428</v>
      </c>
      <c r="LLI93" t="s">
        <v>114</v>
      </c>
      <c r="LLJ93" t="s">
        <v>113</v>
      </c>
      <c r="LLK93" t="s">
        <v>398</v>
      </c>
      <c r="LLL93">
        <v>1</v>
      </c>
      <c r="LLM93" t="s">
        <v>438</v>
      </c>
      <c r="LLN93" t="s">
        <v>440</v>
      </c>
      <c r="LLO93" t="s">
        <v>428</v>
      </c>
      <c r="LLQ93" t="s">
        <v>114</v>
      </c>
      <c r="LLR93" t="s">
        <v>113</v>
      </c>
      <c r="LLS93" t="s">
        <v>398</v>
      </c>
      <c r="LLT93">
        <v>1</v>
      </c>
      <c r="LLU93" t="s">
        <v>438</v>
      </c>
      <c r="LLV93" t="s">
        <v>440</v>
      </c>
      <c r="LLW93" t="s">
        <v>428</v>
      </c>
      <c r="LLY93" t="s">
        <v>114</v>
      </c>
      <c r="LLZ93" t="s">
        <v>113</v>
      </c>
      <c r="LMA93" t="s">
        <v>398</v>
      </c>
      <c r="LMB93">
        <v>1</v>
      </c>
      <c r="LMC93" t="s">
        <v>438</v>
      </c>
      <c r="LMD93" t="s">
        <v>440</v>
      </c>
      <c r="LME93" t="s">
        <v>428</v>
      </c>
      <c r="LMG93" t="s">
        <v>114</v>
      </c>
      <c r="LMH93" t="s">
        <v>113</v>
      </c>
      <c r="LMI93" t="s">
        <v>398</v>
      </c>
      <c r="LMJ93">
        <v>1</v>
      </c>
      <c r="LMK93" t="s">
        <v>438</v>
      </c>
      <c r="LML93" t="s">
        <v>440</v>
      </c>
      <c r="LMM93" t="s">
        <v>428</v>
      </c>
      <c r="LMO93" t="s">
        <v>114</v>
      </c>
      <c r="LMP93" t="s">
        <v>113</v>
      </c>
      <c r="LMQ93" t="s">
        <v>398</v>
      </c>
      <c r="LMR93">
        <v>1</v>
      </c>
      <c r="LMS93" t="s">
        <v>438</v>
      </c>
      <c r="LMT93" t="s">
        <v>440</v>
      </c>
      <c r="LMU93" t="s">
        <v>428</v>
      </c>
      <c r="LMW93" t="s">
        <v>114</v>
      </c>
      <c r="LMX93" t="s">
        <v>113</v>
      </c>
      <c r="LMY93" t="s">
        <v>398</v>
      </c>
      <c r="LMZ93">
        <v>1</v>
      </c>
      <c r="LNA93" t="s">
        <v>438</v>
      </c>
      <c r="LNB93" t="s">
        <v>440</v>
      </c>
      <c r="LNC93" t="s">
        <v>428</v>
      </c>
      <c r="LNE93" t="s">
        <v>114</v>
      </c>
      <c r="LNF93" t="s">
        <v>113</v>
      </c>
      <c r="LNG93" t="s">
        <v>398</v>
      </c>
      <c r="LNH93">
        <v>1</v>
      </c>
      <c r="LNI93" t="s">
        <v>438</v>
      </c>
      <c r="LNJ93" t="s">
        <v>440</v>
      </c>
      <c r="LNK93" t="s">
        <v>428</v>
      </c>
      <c r="LNM93" t="s">
        <v>114</v>
      </c>
      <c r="LNN93" t="s">
        <v>113</v>
      </c>
      <c r="LNO93" t="s">
        <v>398</v>
      </c>
      <c r="LNP93">
        <v>1</v>
      </c>
      <c r="LNQ93" t="s">
        <v>438</v>
      </c>
      <c r="LNR93" t="s">
        <v>440</v>
      </c>
      <c r="LNS93" t="s">
        <v>428</v>
      </c>
      <c r="LNU93" t="s">
        <v>114</v>
      </c>
      <c r="LNV93" t="s">
        <v>113</v>
      </c>
      <c r="LNW93" t="s">
        <v>398</v>
      </c>
      <c r="LNX93">
        <v>1</v>
      </c>
      <c r="LNY93" t="s">
        <v>438</v>
      </c>
      <c r="LNZ93" t="s">
        <v>440</v>
      </c>
      <c r="LOA93" t="s">
        <v>428</v>
      </c>
      <c r="LOC93" t="s">
        <v>114</v>
      </c>
      <c r="LOD93" t="s">
        <v>113</v>
      </c>
      <c r="LOE93" t="s">
        <v>398</v>
      </c>
      <c r="LOF93">
        <v>1</v>
      </c>
      <c r="LOG93" t="s">
        <v>438</v>
      </c>
      <c r="LOH93" t="s">
        <v>440</v>
      </c>
      <c r="LOI93" t="s">
        <v>428</v>
      </c>
      <c r="LOK93" t="s">
        <v>114</v>
      </c>
      <c r="LOL93" t="s">
        <v>113</v>
      </c>
      <c r="LOM93" t="s">
        <v>398</v>
      </c>
      <c r="LON93">
        <v>1</v>
      </c>
      <c r="LOO93" t="s">
        <v>438</v>
      </c>
      <c r="LOP93" t="s">
        <v>440</v>
      </c>
      <c r="LOQ93" t="s">
        <v>428</v>
      </c>
      <c r="LOS93" t="s">
        <v>114</v>
      </c>
      <c r="LOT93" t="s">
        <v>113</v>
      </c>
      <c r="LOU93" t="s">
        <v>398</v>
      </c>
      <c r="LOV93">
        <v>1</v>
      </c>
      <c r="LOW93" t="s">
        <v>438</v>
      </c>
      <c r="LOX93" t="s">
        <v>440</v>
      </c>
      <c r="LOY93" t="s">
        <v>428</v>
      </c>
      <c r="LPA93" t="s">
        <v>114</v>
      </c>
      <c r="LPB93" t="s">
        <v>113</v>
      </c>
      <c r="LPC93" t="s">
        <v>398</v>
      </c>
      <c r="LPD93">
        <v>1</v>
      </c>
      <c r="LPE93" t="s">
        <v>438</v>
      </c>
      <c r="LPF93" t="s">
        <v>440</v>
      </c>
      <c r="LPG93" t="s">
        <v>428</v>
      </c>
      <c r="LPI93" t="s">
        <v>114</v>
      </c>
      <c r="LPJ93" t="s">
        <v>113</v>
      </c>
      <c r="LPK93" t="s">
        <v>398</v>
      </c>
      <c r="LPL93">
        <v>1</v>
      </c>
      <c r="LPM93" t="s">
        <v>438</v>
      </c>
      <c r="LPN93" t="s">
        <v>440</v>
      </c>
      <c r="LPO93" t="s">
        <v>428</v>
      </c>
      <c r="LPQ93" t="s">
        <v>114</v>
      </c>
      <c r="LPR93" t="s">
        <v>113</v>
      </c>
      <c r="LPS93" t="s">
        <v>398</v>
      </c>
      <c r="LPT93">
        <v>1</v>
      </c>
      <c r="LPU93" t="s">
        <v>438</v>
      </c>
      <c r="LPV93" t="s">
        <v>440</v>
      </c>
      <c r="LPW93" t="s">
        <v>428</v>
      </c>
      <c r="LPY93" t="s">
        <v>114</v>
      </c>
      <c r="LPZ93" t="s">
        <v>113</v>
      </c>
      <c r="LQA93" t="s">
        <v>398</v>
      </c>
      <c r="LQB93">
        <v>1</v>
      </c>
      <c r="LQC93" t="s">
        <v>438</v>
      </c>
      <c r="LQD93" t="s">
        <v>440</v>
      </c>
      <c r="LQE93" t="s">
        <v>428</v>
      </c>
      <c r="LQG93" t="s">
        <v>114</v>
      </c>
      <c r="LQH93" t="s">
        <v>113</v>
      </c>
      <c r="LQI93" t="s">
        <v>398</v>
      </c>
      <c r="LQJ93">
        <v>1</v>
      </c>
      <c r="LQK93" t="s">
        <v>438</v>
      </c>
      <c r="LQL93" t="s">
        <v>440</v>
      </c>
      <c r="LQM93" t="s">
        <v>428</v>
      </c>
      <c r="LQO93" t="s">
        <v>114</v>
      </c>
      <c r="LQP93" t="s">
        <v>113</v>
      </c>
      <c r="LQQ93" t="s">
        <v>398</v>
      </c>
      <c r="LQR93">
        <v>1</v>
      </c>
      <c r="LQS93" t="s">
        <v>438</v>
      </c>
      <c r="LQT93" t="s">
        <v>440</v>
      </c>
      <c r="LQU93" t="s">
        <v>428</v>
      </c>
      <c r="LQW93" t="s">
        <v>114</v>
      </c>
      <c r="LQX93" t="s">
        <v>113</v>
      </c>
      <c r="LQY93" t="s">
        <v>398</v>
      </c>
      <c r="LQZ93">
        <v>1</v>
      </c>
      <c r="LRA93" t="s">
        <v>438</v>
      </c>
      <c r="LRB93" t="s">
        <v>440</v>
      </c>
      <c r="LRC93" t="s">
        <v>428</v>
      </c>
      <c r="LRE93" t="s">
        <v>114</v>
      </c>
      <c r="LRF93" t="s">
        <v>113</v>
      </c>
      <c r="LRG93" t="s">
        <v>398</v>
      </c>
      <c r="LRH93">
        <v>1</v>
      </c>
      <c r="LRI93" t="s">
        <v>438</v>
      </c>
      <c r="LRJ93" t="s">
        <v>440</v>
      </c>
      <c r="LRK93" t="s">
        <v>428</v>
      </c>
      <c r="LRM93" t="s">
        <v>114</v>
      </c>
      <c r="LRN93" t="s">
        <v>113</v>
      </c>
      <c r="LRO93" t="s">
        <v>398</v>
      </c>
      <c r="LRP93">
        <v>1</v>
      </c>
      <c r="LRQ93" t="s">
        <v>438</v>
      </c>
      <c r="LRR93" t="s">
        <v>440</v>
      </c>
      <c r="LRS93" t="s">
        <v>428</v>
      </c>
      <c r="LRU93" t="s">
        <v>114</v>
      </c>
      <c r="LRV93" t="s">
        <v>113</v>
      </c>
      <c r="LRW93" t="s">
        <v>398</v>
      </c>
      <c r="LRX93">
        <v>1</v>
      </c>
      <c r="LRY93" t="s">
        <v>438</v>
      </c>
      <c r="LRZ93" t="s">
        <v>440</v>
      </c>
      <c r="LSA93" t="s">
        <v>428</v>
      </c>
      <c r="LSC93" t="s">
        <v>114</v>
      </c>
      <c r="LSD93" t="s">
        <v>113</v>
      </c>
      <c r="LSE93" t="s">
        <v>398</v>
      </c>
      <c r="LSF93">
        <v>1</v>
      </c>
      <c r="LSG93" t="s">
        <v>438</v>
      </c>
      <c r="LSH93" t="s">
        <v>440</v>
      </c>
      <c r="LSI93" t="s">
        <v>428</v>
      </c>
      <c r="LSK93" t="s">
        <v>114</v>
      </c>
      <c r="LSL93" t="s">
        <v>113</v>
      </c>
      <c r="LSM93" t="s">
        <v>398</v>
      </c>
      <c r="LSN93">
        <v>1</v>
      </c>
      <c r="LSO93" t="s">
        <v>438</v>
      </c>
      <c r="LSP93" t="s">
        <v>440</v>
      </c>
      <c r="LSQ93" t="s">
        <v>428</v>
      </c>
      <c r="LSS93" t="s">
        <v>114</v>
      </c>
      <c r="LST93" t="s">
        <v>113</v>
      </c>
      <c r="LSU93" t="s">
        <v>398</v>
      </c>
      <c r="LSV93">
        <v>1</v>
      </c>
      <c r="LSW93" t="s">
        <v>438</v>
      </c>
      <c r="LSX93" t="s">
        <v>440</v>
      </c>
      <c r="LSY93" t="s">
        <v>428</v>
      </c>
      <c r="LTA93" t="s">
        <v>114</v>
      </c>
      <c r="LTB93" t="s">
        <v>113</v>
      </c>
      <c r="LTC93" t="s">
        <v>398</v>
      </c>
      <c r="LTD93">
        <v>1</v>
      </c>
      <c r="LTE93" t="s">
        <v>438</v>
      </c>
      <c r="LTF93" t="s">
        <v>440</v>
      </c>
      <c r="LTG93" t="s">
        <v>428</v>
      </c>
      <c r="LTI93" t="s">
        <v>114</v>
      </c>
      <c r="LTJ93" t="s">
        <v>113</v>
      </c>
      <c r="LTK93" t="s">
        <v>398</v>
      </c>
      <c r="LTL93">
        <v>1</v>
      </c>
      <c r="LTM93" t="s">
        <v>438</v>
      </c>
      <c r="LTN93" t="s">
        <v>440</v>
      </c>
      <c r="LTO93" t="s">
        <v>428</v>
      </c>
      <c r="LTQ93" t="s">
        <v>114</v>
      </c>
      <c r="LTR93" t="s">
        <v>113</v>
      </c>
      <c r="LTS93" t="s">
        <v>398</v>
      </c>
      <c r="LTT93">
        <v>1</v>
      </c>
      <c r="LTU93" t="s">
        <v>438</v>
      </c>
      <c r="LTV93" t="s">
        <v>440</v>
      </c>
      <c r="LTW93" t="s">
        <v>428</v>
      </c>
      <c r="LTY93" t="s">
        <v>114</v>
      </c>
      <c r="LTZ93" t="s">
        <v>113</v>
      </c>
      <c r="LUA93" t="s">
        <v>398</v>
      </c>
      <c r="LUB93">
        <v>1</v>
      </c>
      <c r="LUC93" t="s">
        <v>438</v>
      </c>
      <c r="LUD93" t="s">
        <v>440</v>
      </c>
      <c r="LUE93" t="s">
        <v>428</v>
      </c>
      <c r="LUG93" t="s">
        <v>114</v>
      </c>
      <c r="LUH93" t="s">
        <v>113</v>
      </c>
      <c r="LUI93" t="s">
        <v>398</v>
      </c>
      <c r="LUJ93">
        <v>1</v>
      </c>
      <c r="LUK93" t="s">
        <v>438</v>
      </c>
      <c r="LUL93" t="s">
        <v>440</v>
      </c>
      <c r="LUM93" t="s">
        <v>428</v>
      </c>
      <c r="LUO93" t="s">
        <v>114</v>
      </c>
      <c r="LUP93" t="s">
        <v>113</v>
      </c>
      <c r="LUQ93" t="s">
        <v>398</v>
      </c>
      <c r="LUR93">
        <v>1</v>
      </c>
      <c r="LUS93" t="s">
        <v>438</v>
      </c>
      <c r="LUT93" t="s">
        <v>440</v>
      </c>
      <c r="LUU93" t="s">
        <v>428</v>
      </c>
      <c r="LUW93" t="s">
        <v>114</v>
      </c>
      <c r="LUX93" t="s">
        <v>113</v>
      </c>
      <c r="LUY93" t="s">
        <v>398</v>
      </c>
      <c r="LUZ93">
        <v>1</v>
      </c>
      <c r="LVA93" t="s">
        <v>438</v>
      </c>
      <c r="LVB93" t="s">
        <v>440</v>
      </c>
      <c r="LVC93" t="s">
        <v>428</v>
      </c>
      <c r="LVE93" t="s">
        <v>114</v>
      </c>
      <c r="LVF93" t="s">
        <v>113</v>
      </c>
      <c r="LVG93" t="s">
        <v>398</v>
      </c>
      <c r="LVH93">
        <v>1</v>
      </c>
      <c r="LVI93" t="s">
        <v>438</v>
      </c>
      <c r="LVJ93" t="s">
        <v>440</v>
      </c>
      <c r="LVK93" t="s">
        <v>428</v>
      </c>
      <c r="LVM93" t="s">
        <v>114</v>
      </c>
      <c r="LVN93" t="s">
        <v>113</v>
      </c>
      <c r="LVO93" t="s">
        <v>398</v>
      </c>
      <c r="LVP93">
        <v>1</v>
      </c>
      <c r="LVQ93" t="s">
        <v>438</v>
      </c>
      <c r="LVR93" t="s">
        <v>440</v>
      </c>
      <c r="LVS93" t="s">
        <v>428</v>
      </c>
      <c r="LVU93" t="s">
        <v>114</v>
      </c>
      <c r="LVV93" t="s">
        <v>113</v>
      </c>
      <c r="LVW93" t="s">
        <v>398</v>
      </c>
      <c r="LVX93">
        <v>1</v>
      </c>
      <c r="LVY93" t="s">
        <v>438</v>
      </c>
      <c r="LVZ93" t="s">
        <v>440</v>
      </c>
      <c r="LWA93" t="s">
        <v>428</v>
      </c>
      <c r="LWC93" t="s">
        <v>114</v>
      </c>
      <c r="LWD93" t="s">
        <v>113</v>
      </c>
      <c r="LWE93" t="s">
        <v>398</v>
      </c>
      <c r="LWF93">
        <v>1</v>
      </c>
      <c r="LWG93" t="s">
        <v>438</v>
      </c>
      <c r="LWH93" t="s">
        <v>440</v>
      </c>
      <c r="LWI93" t="s">
        <v>428</v>
      </c>
      <c r="LWK93" t="s">
        <v>114</v>
      </c>
      <c r="LWL93" t="s">
        <v>113</v>
      </c>
      <c r="LWM93" t="s">
        <v>398</v>
      </c>
      <c r="LWN93">
        <v>1</v>
      </c>
      <c r="LWO93" t="s">
        <v>438</v>
      </c>
      <c r="LWP93" t="s">
        <v>440</v>
      </c>
      <c r="LWQ93" t="s">
        <v>428</v>
      </c>
      <c r="LWS93" t="s">
        <v>114</v>
      </c>
      <c r="LWT93" t="s">
        <v>113</v>
      </c>
      <c r="LWU93" t="s">
        <v>398</v>
      </c>
      <c r="LWV93">
        <v>1</v>
      </c>
      <c r="LWW93" t="s">
        <v>438</v>
      </c>
      <c r="LWX93" t="s">
        <v>440</v>
      </c>
      <c r="LWY93" t="s">
        <v>428</v>
      </c>
      <c r="LXA93" t="s">
        <v>114</v>
      </c>
      <c r="LXB93" t="s">
        <v>113</v>
      </c>
      <c r="LXC93" t="s">
        <v>398</v>
      </c>
      <c r="LXD93">
        <v>1</v>
      </c>
      <c r="LXE93" t="s">
        <v>438</v>
      </c>
      <c r="LXF93" t="s">
        <v>440</v>
      </c>
      <c r="LXG93" t="s">
        <v>428</v>
      </c>
      <c r="LXI93" t="s">
        <v>114</v>
      </c>
      <c r="LXJ93" t="s">
        <v>113</v>
      </c>
      <c r="LXK93" t="s">
        <v>398</v>
      </c>
      <c r="LXL93">
        <v>1</v>
      </c>
      <c r="LXM93" t="s">
        <v>438</v>
      </c>
      <c r="LXN93" t="s">
        <v>440</v>
      </c>
      <c r="LXO93" t="s">
        <v>428</v>
      </c>
      <c r="LXQ93" t="s">
        <v>114</v>
      </c>
      <c r="LXR93" t="s">
        <v>113</v>
      </c>
      <c r="LXS93" t="s">
        <v>398</v>
      </c>
      <c r="LXT93">
        <v>1</v>
      </c>
      <c r="LXU93" t="s">
        <v>438</v>
      </c>
      <c r="LXV93" t="s">
        <v>440</v>
      </c>
      <c r="LXW93" t="s">
        <v>428</v>
      </c>
      <c r="LXY93" t="s">
        <v>114</v>
      </c>
      <c r="LXZ93" t="s">
        <v>113</v>
      </c>
      <c r="LYA93" t="s">
        <v>398</v>
      </c>
      <c r="LYB93">
        <v>1</v>
      </c>
      <c r="LYC93" t="s">
        <v>438</v>
      </c>
      <c r="LYD93" t="s">
        <v>440</v>
      </c>
      <c r="LYE93" t="s">
        <v>428</v>
      </c>
      <c r="LYG93" t="s">
        <v>114</v>
      </c>
      <c r="LYH93" t="s">
        <v>113</v>
      </c>
      <c r="LYI93" t="s">
        <v>398</v>
      </c>
      <c r="LYJ93">
        <v>1</v>
      </c>
      <c r="LYK93" t="s">
        <v>438</v>
      </c>
      <c r="LYL93" t="s">
        <v>440</v>
      </c>
      <c r="LYM93" t="s">
        <v>428</v>
      </c>
      <c r="LYO93" t="s">
        <v>114</v>
      </c>
      <c r="LYP93" t="s">
        <v>113</v>
      </c>
      <c r="LYQ93" t="s">
        <v>398</v>
      </c>
      <c r="LYR93">
        <v>1</v>
      </c>
      <c r="LYS93" t="s">
        <v>438</v>
      </c>
      <c r="LYT93" t="s">
        <v>440</v>
      </c>
      <c r="LYU93" t="s">
        <v>428</v>
      </c>
      <c r="LYW93" t="s">
        <v>114</v>
      </c>
      <c r="LYX93" t="s">
        <v>113</v>
      </c>
      <c r="LYY93" t="s">
        <v>398</v>
      </c>
      <c r="LYZ93">
        <v>1</v>
      </c>
      <c r="LZA93" t="s">
        <v>438</v>
      </c>
      <c r="LZB93" t="s">
        <v>440</v>
      </c>
      <c r="LZC93" t="s">
        <v>428</v>
      </c>
      <c r="LZE93" t="s">
        <v>114</v>
      </c>
      <c r="LZF93" t="s">
        <v>113</v>
      </c>
      <c r="LZG93" t="s">
        <v>398</v>
      </c>
      <c r="LZH93">
        <v>1</v>
      </c>
      <c r="LZI93" t="s">
        <v>438</v>
      </c>
      <c r="LZJ93" t="s">
        <v>440</v>
      </c>
      <c r="LZK93" t="s">
        <v>428</v>
      </c>
      <c r="LZM93" t="s">
        <v>114</v>
      </c>
      <c r="LZN93" t="s">
        <v>113</v>
      </c>
      <c r="LZO93" t="s">
        <v>398</v>
      </c>
      <c r="LZP93">
        <v>1</v>
      </c>
      <c r="LZQ93" t="s">
        <v>438</v>
      </c>
      <c r="LZR93" t="s">
        <v>440</v>
      </c>
      <c r="LZS93" t="s">
        <v>428</v>
      </c>
      <c r="LZU93" t="s">
        <v>114</v>
      </c>
      <c r="LZV93" t="s">
        <v>113</v>
      </c>
      <c r="LZW93" t="s">
        <v>398</v>
      </c>
      <c r="LZX93">
        <v>1</v>
      </c>
      <c r="LZY93" t="s">
        <v>438</v>
      </c>
      <c r="LZZ93" t="s">
        <v>440</v>
      </c>
      <c r="MAA93" t="s">
        <v>428</v>
      </c>
      <c r="MAC93" t="s">
        <v>114</v>
      </c>
      <c r="MAD93" t="s">
        <v>113</v>
      </c>
      <c r="MAE93" t="s">
        <v>398</v>
      </c>
      <c r="MAF93">
        <v>1</v>
      </c>
      <c r="MAG93" t="s">
        <v>438</v>
      </c>
      <c r="MAH93" t="s">
        <v>440</v>
      </c>
      <c r="MAI93" t="s">
        <v>428</v>
      </c>
      <c r="MAK93" t="s">
        <v>114</v>
      </c>
      <c r="MAL93" t="s">
        <v>113</v>
      </c>
      <c r="MAM93" t="s">
        <v>398</v>
      </c>
      <c r="MAN93">
        <v>1</v>
      </c>
      <c r="MAO93" t="s">
        <v>438</v>
      </c>
      <c r="MAP93" t="s">
        <v>440</v>
      </c>
      <c r="MAQ93" t="s">
        <v>428</v>
      </c>
      <c r="MAS93" t="s">
        <v>114</v>
      </c>
      <c r="MAT93" t="s">
        <v>113</v>
      </c>
      <c r="MAU93" t="s">
        <v>398</v>
      </c>
      <c r="MAV93">
        <v>1</v>
      </c>
      <c r="MAW93" t="s">
        <v>438</v>
      </c>
      <c r="MAX93" t="s">
        <v>440</v>
      </c>
      <c r="MAY93" t="s">
        <v>428</v>
      </c>
      <c r="MBA93" t="s">
        <v>114</v>
      </c>
      <c r="MBB93" t="s">
        <v>113</v>
      </c>
      <c r="MBC93" t="s">
        <v>398</v>
      </c>
      <c r="MBD93">
        <v>1</v>
      </c>
      <c r="MBE93" t="s">
        <v>438</v>
      </c>
      <c r="MBF93" t="s">
        <v>440</v>
      </c>
      <c r="MBG93" t="s">
        <v>428</v>
      </c>
      <c r="MBI93" t="s">
        <v>114</v>
      </c>
      <c r="MBJ93" t="s">
        <v>113</v>
      </c>
      <c r="MBK93" t="s">
        <v>398</v>
      </c>
      <c r="MBL93">
        <v>1</v>
      </c>
      <c r="MBM93" t="s">
        <v>438</v>
      </c>
      <c r="MBN93" t="s">
        <v>440</v>
      </c>
      <c r="MBO93" t="s">
        <v>428</v>
      </c>
      <c r="MBQ93" t="s">
        <v>114</v>
      </c>
      <c r="MBR93" t="s">
        <v>113</v>
      </c>
      <c r="MBS93" t="s">
        <v>398</v>
      </c>
      <c r="MBT93">
        <v>1</v>
      </c>
      <c r="MBU93" t="s">
        <v>438</v>
      </c>
      <c r="MBV93" t="s">
        <v>440</v>
      </c>
      <c r="MBW93" t="s">
        <v>428</v>
      </c>
      <c r="MBY93" t="s">
        <v>114</v>
      </c>
      <c r="MBZ93" t="s">
        <v>113</v>
      </c>
      <c r="MCA93" t="s">
        <v>398</v>
      </c>
      <c r="MCB93">
        <v>1</v>
      </c>
      <c r="MCC93" t="s">
        <v>438</v>
      </c>
      <c r="MCD93" t="s">
        <v>440</v>
      </c>
      <c r="MCE93" t="s">
        <v>428</v>
      </c>
      <c r="MCG93" t="s">
        <v>114</v>
      </c>
      <c r="MCH93" t="s">
        <v>113</v>
      </c>
      <c r="MCI93" t="s">
        <v>398</v>
      </c>
      <c r="MCJ93">
        <v>1</v>
      </c>
      <c r="MCK93" t="s">
        <v>438</v>
      </c>
      <c r="MCL93" t="s">
        <v>440</v>
      </c>
      <c r="MCM93" t="s">
        <v>428</v>
      </c>
      <c r="MCO93" t="s">
        <v>114</v>
      </c>
      <c r="MCP93" t="s">
        <v>113</v>
      </c>
      <c r="MCQ93" t="s">
        <v>398</v>
      </c>
      <c r="MCR93">
        <v>1</v>
      </c>
      <c r="MCS93" t="s">
        <v>438</v>
      </c>
      <c r="MCT93" t="s">
        <v>440</v>
      </c>
      <c r="MCU93" t="s">
        <v>428</v>
      </c>
      <c r="MCW93" t="s">
        <v>114</v>
      </c>
      <c r="MCX93" t="s">
        <v>113</v>
      </c>
      <c r="MCY93" t="s">
        <v>398</v>
      </c>
      <c r="MCZ93">
        <v>1</v>
      </c>
      <c r="MDA93" t="s">
        <v>438</v>
      </c>
      <c r="MDB93" t="s">
        <v>440</v>
      </c>
      <c r="MDC93" t="s">
        <v>428</v>
      </c>
      <c r="MDE93" t="s">
        <v>114</v>
      </c>
      <c r="MDF93" t="s">
        <v>113</v>
      </c>
      <c r="MDG93" t="s">
        <v>398</v>
      </c>
      <c r="MDH93">
        <v>1</v>
      </c>
      <c r="MDI93" t="s">
        <v>438</v>
      </c>
      <c r="MDJ93" t="s">
        <v>440</v>
      </c>
      <c r="MDK93" t="s">
        <v>428</v>
      </c>
      <c r="MDM93" t="s">
        <v>114</v>
      </c>
      <c r="MDN93" t="s">
        <v>113</v>
      </c>
      <c r="MDO93" t="s">
        <v>398</v>
      </c>
      <c r="MDP93">
        <v>1</v>
      </c>
      <c r="MDQ93" t="s">
        <v>438</v>
      </c>
      <c r="MDR93" t="s">
        <v>440</v>
      </c>
      <c r="MDS93" t="s">
        <v>428</v>
      </c>
      <c r="MDU93" t="s">
        <v>114</v>
      </c>
      <c r="MDV93" t="s">
        <v>113</v>
      </c>
      <c r="MDW93" t="s">
        <v>398</v>
      </c>
      <c r="MDX93">
        <v>1</v>
      </c>
      <c r="MDY93" t="s">
        <v>438</v>
      </c>
      <c r="MDZ93" t="s">
        <v>440</v>
      </c>
      <c r="MEA93" t="s">
        <v>428</v>
      </c>
      <c r="MEC93" t="s">
        <v>114</v>
      </c>
      <c r="MED93" t="s">
        <v>113</v>
      </c>
      <c r="MEE93" t="s">
        <v>398</v>
      </c>
      <c r="MEF93">
        <v>1</v>
      </c>
      <c r="MEG93" t="s">
        <v>438</v>
      </c>
      <c r="MEH93" t="s">
        <v>440</v>
      </c>
      <c r="MEI93" t="s">
        <v>428</v>
      </c>
      <c r="MEK93" t="s">
        <v>114</v>
      </c>
      <c r="MEL93" t="s">
        <v>113</v>
      </c>
      <c r="MEM93" t="s">
        <v>398</v>
      </c>
      <c r="MEN93">
        <v>1</v>
      </c>
      <c r="MEO93" t="s">
        <v>438</v>
      </c>
      <c r="MEP93" t="s">
        <v>440</v>
      </c>
      <c r="MEQ93" t="s">
        <v>428</v>
      </c>
      <c r="MES93" t="s">
        <v>114</v>
      </c>
      <c r="MET93" t="s">
        <v>113</v>
      </c>
      <c r="MEU93" t="s">
        <v>398</v>
      </c>
      <c r="MEV93">
        <v>1</v>
      </c>
      <c r="MEW93" t="s">
        <v>438</v>
      </c>
      <c r="MEX93" t="s">
        <v>440</v>
      </c>
      <c r="MEY93" t="s">
        <v>428</v>
      </c>
      <c r="MFA93" t="s">
        <v>114</v>
      </c>
      <c r="MFB93" t="s">
        <v>113</v>
      </c>
      <c r="MFC93" t="s">
        <v>398</v>
      </c>
      <c r="MFD93">
        <v>1</v>
      </c>
      <c r="MFE93" t="s">
        <v>438</v>
      </c>
      <c r="MFF93" t="s">
        <v>440</v>
      </c>
      <c r="MFG93" t="s">
        <v>428</v>
      </c>
      <c r="MFI93" t="s">
        <v>114</v>
      </c>
      <c r="MFJ93" t="s">
        <v>113</v>
      </c>
      <c r="MFK93" t="s">
        <v>398</v>
      </c>
      <c r="MFL93">
        <v>1</v>
      </c>
      <c r="MFM93" t="s">
        <v>438</v>
      </c>
      <c r="MFN93" t="s">
        <v>440</v>
      </c>
      <c r="MFO93" t="s">
        <v>428</v>
      </c>
      <c r="MFQ93" t="s">
        <v>114</v>
      </c>
      <c r="MFR93" t="s">
        <v>113</v>
      </c>
      <c r="MFS93" t="s">
        <v>398</v>
      </c>
      <c r="MFT93">
        <v>1</v>
      </c>
      <c r="MFU93" t="s">
        <v>438</v>
      </c>
      <c r="MFV93" t="s">
        <v>440</v>
      </c>
      <c r="MFW93" t="s">
        <v>428</v>
      </c>
      <c r="MFY93" t="s">
        <v>114</v>
      </c>
      <c r="MFZ93" t="s">
        <v>113</v>
      </c>
      <c r="MGA93" t="s">
        <v>398</v>
      </c>
      <c r="MGB93">
        <v>1</v>
      </c>
      <c r="MGC93" t="s">
        <v>438</v>
      </c>
      <c r="MGD93" t="s">
        <v>440</v>
      </c>
      <c r="MGE93" t="s">
        <v>428</v>
      </c>
      <c r="MGG93" t="s">
        <v>114</v>
      </c>
      <c r="MGH93" t="s">
        <v>113</v>
      </c>
      <c r="MGI93" t="s">
        <v>398</v>
      </c>
      <c r="MGJ93">
        <v>1</v>
      </c>
      <c r="MGK93" t="s">
        <v>438</v>
      </c>
      <c r="MGL93" t="s">
        <v>440</v>
      </c>
      <c r="MGM93" t="s">
        <v>428</v>
      </c>
      <c r="MGO93" t="s">
        <v>114</v>
      </c>
      <c r="MGP93" t="s">
        <v>113</v>
      </c>
      <c r="MGQ93" t="s">
        <v>398</v>
      </c>
      <c r="MGR93">
        <v>1</v>
      </c>
      <c r="MGS93" t="s">
        <v>438</v>
      </c>
      <c r="MGT93" t="s">
        <v>440</v>
      </c>
      <c r="MGU93" t="s">
        <v>428</v>
      </c>
      <c r="MGW93" t="s">
        <v>114</v>
      </c>
      <c r="MGX93" t="s">
        <v>113</v>
      </c>
      <c r="MGY93" t="s">
        <v>398</v>
      </c>
      <c r="MGZ93">
        <v>1</v>
      </c>
      <c r="MHA93" t="s">
        <v>438</v>
      </c>
      <c r="MHB93" t="s">
        <v>440</v>
      </c>
      <c r="MHC93" t="s">
        <v>428</v>
      </c>
      <c r="MHE93" t="s">
        <v>114</v>
      </c>
      <c r="MHF93" t="s">
        <v>113</v>
      </c>
      <c r="MHG93" t="s">
        <v>398</v>
      </c>
      <c r="MHH93">
        <v>1</v>
      </c>
      <c r="MHI93" t="s">
        <v>438</v>
      </c>
      <c r="MHJ93" t="s">
        <v>440</v>
      </c>
      <c r="MHK93" t="s">
        <v>428</v>
      </c>
      <c r="MHM93" t="s">
        <v>114</v>
      </c>
      <c r="MHN93" t="s">
        <v>113</v>
      </c>
      <c r="MHO93" t="s">
        <v>398</v>
      </c>
      <c r="MHP93">
        <v>1</v>
      </c>
      <c r="MHQ93" t="s">
        <v>438</v>
      </c>
      <c r="MHR93" t="s">
        <v>440</v>
      </c>
      <c r="MHS93" t="s">
        <v>428</v>
      </c>
      <c r="MHU93" t="s">
        <v>114</v>
      </c>
      <c r="MHV93" t="s">
        <v>113</v>
      </c>
      <c r="MHW93" t="s">
        <v>398</v>
      </c>
      <c r="MHX93">
        <v>1</v>
      </c>
      <c r="MHY93" t="s">
        <v>438</v>
      </c>
      <c r="MHZ93" t="s">
        <v>440</v>
      </c>
      <c r="MIA93" t="s">
        <v>428</v>
      </c>
      <c r="MIC93" t="s">
        <v>114</v>
      </c>
      <c r="MID93" t="s">
        <v>113</v>
      </c>
      <c r="MIE93" t="s">
        <v>398</v>
      </c>
      <c r="MIF93">
        <v>1</v>
      </c>
      <c r="MIG93" t="s">
        <v>438</v>
      </c>
      <c r="MIH93" t="s">
        <v>440</v>
      </c>
      <c r="MII93" t="s">
        <v>428</v>
      </c>
      <c r="MIK93" t="s">
        <v>114</v>
      </c>
      <c r="MIL93" t="s">
        <v>113</v>
      </c>
      <c r="MIM93" t="s">
        <v>398</v>
      </c>
      <c r="MIN93">
        <v>1</v>
      </c>
      <c r="MIO93" t="s">
        <v>438</v>
      </c>
      <c r="MIP93" t="s">
        <v>440</v>
      </c>
      <c r="MIQ93" t="s">
        <v>428</v>
      </c>
      <c r="MIS93" t="s">
        <v>114</v>
      </c>
      <c r="MIT93" t="s">
        <v>113</v>
      </c>
      <c r="MIU93" t="s">
        <v>398</v>
      </c>
      <c r="MIV93">
        <v>1</v>
      </c>
      <c r="MIW93" t="s">
        <v>438</v>
      </c>
      <c r="MIX93" t="s">
        <v>440</v>
      </c>
      <c r="MIY93" t="s">
        <v>428</v>
      </c>
      <c r="MJA93" t="s">
        <v>114</v>
      </c>
      <c r="MJB93" t="s">
        <v>113</v>
      </c>
      <c r="MJC93" t="s">
        <v>398</v>
      </c>
      <c r="MJD93">
        <v>1</v>
      </c>
      <c r="MJE93" t="s">
        <v>438</v>
      </c>
      <c r="MJF93" t="s">
        <v>440</v>
      </c>
      <c r="MJG93" t="s">
        <v>428</v>
      </c>
      <c r="MJI93" t="s">
        <v>114</v>
      </c>
      <c r="MJJ93" t="s">
        <v>113</v>
      </c>
      <c r="MJK93" t="s">
        <v>398</v>
      </c>
      <c r="MJL93">
        <v>1</v>
      </c>
      <c r="MJM93" t="s">
        <v>438</v>
      </c>
      <c r="MJN93" t="s">
        <v>440</v>
      </c>
      <c r="MJO93" t="s">
        <v>428</v>
      </c>
      <c r="MJQ93" t="s">
        <v>114</v>
      </c>
      <c r="MJR93" t="s">
        <v>113</v>
      </c>
      <c r="MJS93" t="s">
        <v>398</v>
      </c>
      <c r="MJT93">
        <v>1</v>
      </c>
      <c r="MJU93" t="s">
        <v>438</v>
      </c>
      <c r="MJV93" t="s">
        <v>440</v>
      </c>
      <c r="MJW93" t="s">
        <v>428</v>
      </c>
      <c r="MJY93" t="s">
        <v>114</v>
      </c>
      <c r="MJZ93" t="s">
        <v>113</v>
      </c>
      <c r="MKA93" t="s">
        <v>398</v>
      </c>
      <c r="MKB93">
        <v>1</v>
      </c>
      <c r="MKC93" t="s">
        <v>438</v>
      </c>
      <c r="MKD93" t="s">
        <v>440</v>
      </c>
      <c r="MKE93" t="s">
        <v>428</v>
      </c>
      <c r="MKG93" t="s">
        <v>114</v>
      </c>
      <c r="MKH93" t="s">
        <v>113</v>
      </c>
      <c r="MKI93" t="s">
        <v>398</v>
      </c>
      <c r="MKJ93">
        <v>1</v>
      </c>
      <c r="MKK93" t="s">
        <v>438</v>
      </c>
      <c r="MKL93" t="s">
        <v>440</v>
      </c>
      <c r="MKM93" t="s">
        <v>428</v>
      </c>
      <c r="MKO93" t="s">
        <v>114</v>
      </c>
      <c r="MKP93" t="s">
        <v>113</v>
      </c>
      <c r="MKQ93" t="s">
        <v>398</v>
      </c>
      <c r="MKR93">
        <v>1</v>
      </c>
      <c r="MKS93" t="s">
        <v>438</v>
      </c>
      <c r="MKT93" t="s">
        <v>440</v>
      </c>
      <c r="MKU93" t="s">
        <v>428</v>
      </c>
      <c r="MKW93" t="s">
        <v>114</v>
      </c>
      <c r="MKX93" t="s">
        <v>113</v>
      </c>
      <c r="MKY93" t="s">
        <v>398</v>
      </c>
      <c r="MKZ93">
        <v>1</v>
      </c>
      <c r="MLA93" t="s">
        <v>438</v>
      </c>
      <c r="MLB93" t="s">
        <v>440</v>
      </c>
      <c r="MLC93" t="s">
        <v>428</v>
      </c>
      <c r="MLE93" t="s">
        <v>114</v>
      </c>
      <c r="MLF93" t="s">
        <v>113</v>
      </c>
      <c r="MLG93" t="s">
        <v>398</v>
      </c>
      <c r="MLH93">
        <v>1</v>
      </c>
      <c r="MLI93" t="s">
        <v>438</v>
      </c>
      <c r="MLJ93" t="s">
        <v>440</v>
      </c>
      <c r="MLK93" t="s">
        <v>428</v>
      </c>
      <c r="MLM93" t="s">
        <v>114</v>
      </c>
      <c r="MLN93" t="s">
        <v>113</v>
      </c>
      <c r="MLO93" t="s">
        <v>398</v>
      </c>
      <c r="MLP93">
        <v>1</v>
      </c>
      <c r="MLQ93" t="s">
        <v>438</v>
      </c>
      <c r="MLR93" t="s">
        <v>440</v>
      </c>
      <c r="MLS93" t="s">
        <v>428</v>
      </c>
      <c r="MLU93" t="s">
        <v>114</v>
      </c>
      <c r="MLV93" t="s">
        <v>113</v>
      </c>
      <c r="MLW93" t="s">
        <v>398</v>
      </c>
      <c r="MLX93">
        <v>1</v>
      </c>
      <c r="MLY93" t="s">
        <v>438</v>
      </c>
      <c r="MLZ93" t="s">
        <v>440</v>
      </c>
      <c r="MMA93" t="s">
        <v>428</v>
      </c>
      <c r="MMC93" t="s">
        <v>114</v>
      </c>
      <c r="MMD93" t="s">
        <v>113</v>
      </c>
      <c r="MME93" t="s">
        <v>398</v>
      </c>
      <c r="MMF93">
        <v>1</v>
      </c>
      <c r="MMG93" t="s">
        <v>438</v>
      </c>
      <c r="MMH93" t="s">
        <v>440</v>
      </c>
      <c r="MMI93" t="s">
        <v>428</v>
      </c>
      <c r="MMK93" t="s">
        <v>114</v>
      </c>
      <c r="MML93" t="s">
        <v>113</v>
      </c>
      <c r="MMM93" t="s">
        <v>398</v>
      </c>
      <c r="MMN93">
        <v>1</v>
      </c>
      <c r="MMO93" t="s">
        <v>438</v>
      </c>
      <c r="MMP93" t="s">
        <v>440</v>
      </c>
      <c r="MMQ93" t="s">
        <v>428</v>
      </c>
      <c r="MMS93" t="s">
        <v>114</v>
      </c>
      <c r="MMT93" t="s">
        <v>113</v>
      </c>
      <c r="MMU93" t="s">
        <v>398</v>
      </c>
      <c r="MMV93">
        <v>1</v>
      </c>
      <c r="MMW93" t="s">
        <v>438</v>
      </c>
      <c r="MMX93" t="s">
        <v>440</v>
      </c>
      <c r="MMY93" t="s">
        <v>428</v>
      </c>
      <c r="MNA93" t="s">
        <v>114</v>
      </c>
      <c r="MNB93" t="s">
        <v>113</v>
      </c>
      <c r="MNC93" t="s">
        <v>398</v>
      </c>
      <c r="MND93">
        <v>1</v>
      </c>
      <c r="MNE93" t="s">
        <v>438</v>
      </c>
      <c r="MNF93" t="s">
        <v>440</v>
      </c>
      <c r="MNG93" t="s">
        <v>428</v>
      </c>
      <c r="MNI93" t="s">
        <v>114</v>
      </c>
      <c r="MNJ93" t="s">
        <v>113</v>
      </c>
      <c r="MNK93" t="s">
        <v>398</v>
      </c>
      <c r="MNL93">
        <v>1</v>
      </c>
      <c r="MNM93" t="s">
        <v>438</v>
      </c>
      <c r="MNN93" t="s">
        <v>440</v>
      </c>
      <c r="MNO93" t="s">
        <v>428</v>
      </c>
      <c r="MNQ93" t="s">
        <v>114</v>
      </c>
      <c r="MNR93" t="s">
        <v>113</v>
      </c>
      <c r="MNS93" t="s">
        <v>398</v>
      </c>
      <c r="MNT93">
        <v>1</v>
      </c>
      <c r="MNU93" t="s">
        <v>438</v>
      </c>
      <c r="MNV93" t="s">
        <v>440</v>
      </c>
      <c r="MNW93" t="s">
        <v>428</v>
      </c>
      <c r="MNY93" t="s">
        <v>114</v>
      </c>
      <c r="MNZ93" t="s">
        <v>113</v>
      </c>
      <c r="MOA93" t="s">
        <v>398</v>
      </c>
      <c r="MOB93">
        <v>1</v>
      </c>
      <c r="MOC93" t="s">
        <v>438</v>
      </c>
      <c r="MOD93" t="s">
        <v>440</v>
      </c>
      <c r="MOE93" t="s">
        <v>428</v>
      </c>
      <c r="MOG93" t="s">
        <v>114</v>
      </c>
      <c r="MOH93" t="s">
        <v>113</v>
      </c>
      <c r="MOI93" t="s">
        <v>398</v>
      </c>
      <c r="MOJ93">
        <v>1</v>
      </c>
      <c r="MOK93" t="s">
        <v>438</v>
      </c>
      <c r="MOL93" t="s">
        <v>440</v>
      </c>
      <c r="MOM93" t="s">
        <v>428</v>
      </c>
      <c r="MOO93" t="s">
        <v>114</v>
      </c>
      <c r="MOP93" t="s">
        <v>113</v>
      </c>
      <c r="MOQ93" t="s">
        <v>398</v>
      </c>
      <c r="MOR93">
        <v>1</v>
      </c>
      <c r="MOS93" t="s">
        <v>438</v>
      </c>
      <c r="MOT93" t="s">
        <v>440</v>
      </c>
      <c r="MOU93" t="s">
        <v>428</v>
      </c>
      <c r="MOW93" t="s">
        <v>114</v>
      </c>
      <c r="MOX93" t="s">
        <v>113</v>
      </c>
      <c r="MOY93" t="s">
        <v>398</v>
      </c>
      <c r="MOZ93">
        <v>1</v>
      </c>
      <c r="MPA93" t="s">
        <v>438</v>
      </c>
      <c r="MPB93" t="s">
        <v>440</v>
      </c>
      <c r="MPC93" t="s">
        <v>428</v>
      </c>
      <c r="MPE93" t="s">
        <v>114</v>
      </c>
      <c r="MPF93" t="s">
        <v>113</v>
      </c>
      <c r="MPG93" t="s">
        <v>398</v>
      </c>
      <c r="MPH93">
        <v>1</v>
      </c>
      <c r="MPI93" t="s">
        <v>438</v>
      </c>
      <c r="MPJ93" t="s">
        <v>440</v>
      </c>
      <c r="MPK93" t="s">
        <v>428</v>
      </c>
      <c r="MPM93" t="s">
        <v>114</v>
      </c>
      <c r="MPN93" t="s">
        <v>113</v>
      </c>
      <c r="MPO93" t="s">
        <v>398</v>
      </c>
      <c r="MPP93">
        <v>1</v>
      </c>
      <c r="MPQ93" t="s">
        <v>438</v>
      </c>
      <c r="MPR93" t="s">
        <v>440</v>
      </c>
      <c r="MPS93" t="s">
        <v>428</v>
      </c>
      <c r="MPU93" t="s">
        <v>114</v>
      </c>
      <c r="MPV93" t="s">
        <v>113</v>
      </c>
      <c r="MPW93" t="s">
        <v>398</v>
      </c>
      <c r="MPX93">
        <v>1</v>
      </c>
      <c r="MPY93" t="s">
        <v>438</v>
      </c>
      <c r="MPZ93" t="s">
        <v>440</v>
      </c>
      <c r="MQA93" t="s">
        <v>428</v>
      </c>
      <c r="MQC93" t="s">
        <v>114</v>
      </c>
      <c r="MQD93" t="s">
        <v>113</v>
      </c>
      <c r="MQE93" t="s">
        <v>398</v>
      </c>
      <c r="MQF93">
        <v>1</v>
      </c>
      <c r="MQG93" t="s">
        <v>438</v>
      </c>
      <c r="MQH93" t="s">
        <v>440</v>
      </c>
      <c r="MQI93" t="s">
        <v>428</v>
      </c>
      <c r="MQK93" t="s">
        <v>114</v>
      </c>
      <c r="MQL93" t="s">
        <v>113</v>
      </c>
      <c r="MQM93" t="s">
        <v>398</v>
      </c>
      <c r="MQN93">
        <v>1</v>
      </c>
      <c r="MQO93" t="s">
        <v>438</v>
      </c>
      <c r="MQP93" t="s">
        <v>440</v>
      </c>
      <c r="MQQ93" t="s">
        <v>428</v>
      </c>
      <c r="MQS93" t="s">
        <v>114</v>
      </c>
      <c r="MQT93" t="s">
        <v>113</v>
      </c>
      <c r="MQU93" t="s">
        <v>398</v>
      </c>
      <c r="MQV93">
        <v>1</v>
      </c>
      <c r="MQW93" t="s">
        <v>438</v>
      </c>
      <c r="MQX93" t="s">
        <v>440</v>
      </c>
      <c r="MQY93" t="s">
        <v>428</v>
      </c>
      <c r="MRA93" t="s">
        <v>114</v>
      </c>
      <c r="MRB93" t="s">
        <v>113</v>
      </c>
      <c r="MRC93" t="s">
        <v>398</v>
      </c>
      <c r="MRD93">
        <v>1</v>
      </c>
      <c r="MRE93" t="s">
        <v>438</v>
      </c>
      <c r="MRF93" t="s">
        <v>440</v>
      </c>
      <c r="MRG93" t="s">
        <v>428</v>
      </c>
      <c r="MRI93" t="s">
        <v>114</v>
      </c>
      <c r="MRJ93" t="s">
        <v>113</v>
      </c>
      <c r="MRK93" t="s">
        <v>398</v>
      </c>
      <c r="MRL93">
        <v>1</v>
      </c>
      <c r="MRM93" t="s">
        <v>438</v>
      </c>
      <c r="MRN93" t="s">
        <v>440</v>
      </c>
      <c r="MRO93" t="s">
        <v>428</v>
      </c>
      <c r="MRQ93" t="s">
        <v>114</v>
      </c>
      <c r="MRR93" t="s">
        <v>113</v>
      </c>
      <c r="MRS93" t="s">
        <v>398</v>
      </c>
      <c r="MRT93">
        <v>1</v>
      </c>
      <c r="MRU93" t="s">
        <v>438</v>
      </c>
      <c r="MRV93" t="s">
        <v>440</v>
      </c>
      <c r="MRW93" t="s">
        <v>428</v>
      </c>
      <c r="MRY93" t="s">
        <v>114</v>
      </c>
      <c r="MRZ93" t="s">
        <v>113</v>
      </c>
      <c r="MSA93" t="s">
        <v>398</v>
      </c>
      <c r="MSB93">
        <v>1</v>
      </c>
      <c r="MSC93" t="s">
        <v>438</v>
      </c>
      <c r="MSD93" t="s">
        <v>440</v>
      </c>
      <c r="MSE93" t="s">
        <v>428</v>
      </c>
      <c r="MSG93" t="s">
        <v>114</v>
      </c>
      <c r="MSH93" t="s">
        <v>113</v>
      </c>
      <c r="MSI93" t="s">
        <v>398</v>
      </c>
      <c r="MSJ93">
        <v>1</v>
      </c>
      <c r="MSK93" t="s">
        <v>438</v>
      </c>
      <c r="MSL93" t="s">
        <v>440</v>
      </c>
      <c r="MSM93" t="s">
        <v>428</v>
      </c>
      <c r="MSO93" t="s">
        <v>114</v>
      </c>
      <c r="MSP93" t="s">
        <v>113</v>
      </c>
      <c r="MSQ93" t="s">
        <v>398</v>
      </c>
      <c r="MSR93">
        <v>1</v>
      </c>
      <c r="MSS93" t="s">
        <v>438</v>
      </c>
      <c r="MST93" t="s">
        <v>440</v>
      </c>
      <c r="MSU93" t="s">
        <v>428</v>
      </c>
      <c r="MSW93" t="s">
        <v>114</v>
      </c>
      <c r="MSX93" t="s">
        <v>113</v>
      </c>
      <c r="MSY93" t="s">
        <v>398</v>
      </c>
      <c r="MSZ93">
        <v>1</v>
      </c>
      <c r="MTA93" t="s">
        <v>438</v>
      </c>
      <c r="MTB93" t="s">
        <v>440</v>
      </c>
      <c r="MTC93" t="s">
        <v>428</v>
      </c>
      <c r="MTE93" t="s">
        <v>114</v>
      </c>
      <c r="MTF93" t="s">
        <v>113</v>
      </c>
      <c r="MTG93" t="s">
        <v>398</v>
      </c>
      <c r="MTH93">
        <v>1</v>
      </c>
      <c r="MTI93" t="s">
        <v>438</v>
      </c>
      <c r="MTJ93" t="s">
        <v>440</v>
      </c>
      <c r="MTK93" t="s">
        <v>428</v>
      </c>
      <c r="MTM93" t="s">
        <v>114</v>
      </c>
      <c r="MTN93" t="s">
        <v>113</v>
      </c>
      <c r="MTO93" t="s">
        <v>398</v>
      </c>
      <c r="MTP93">
        <v>1</v>
      </c>
      <c r="MTQ93" t="s">
        <v>438</v>
      </c>
      <c r="MTR93" t="s">
        <v>440</v>
      </c>
      <c r="MTS93" t="s">
        <v>428</v>
      </c>
      <c r="MTU93" t="s">
        <v>114</v>
      </c>
      <c r="MTV93" t="s">
        <v>113</v>
      </c>
      <c r="MTW93" t="s">
        <v>398</v>
      </c>
      <c r="MTX93">
        <v>1</v>
      </c>
      <c r="MTY93" t="s">
        <v>438</v>
      </c>
      <c r="MTZ93" t="s">
        <v>440</v>
      </c>
      <c r="MUA93" t="s">
        <v>428</v>
      </c>
      <c r="MUC93" t="s">
        <v>114</v>
      </c>
      <c r="MUD93" t="s">
        <v>113</v>
      </c>
      <c r="MUE93" t="s">
        <v>398</v>
      </c>
      <c r="MUF93">
        <v>1</v>
      </c>
      <c r="MUG93" t="s">
        <v>438</v>
      </c>
      <c r="MUH93" t="s">
        <v>440</v>
      </c>
      <c r="MUI93" t="s">
        <v>428</v>
      </c>
      <c r="MUK93" t="s">
        <v>114</v>
      </c>
      <c r="MUL93" t="s">
        <v>113</v>
      </c>
      <c r="MUM93" t="s">
        <v>398</v>
      </c>
      <c r="MUN93">
        <v>1</v>
      </c>
      <c r="MUO93" t="s">
        <v>438</v>
      </c>
      <c r="MUP93" t="s">
        <v>440</v>
      </c>
      <c r="MUQ93" t="s">
        <v>428</v>
      </c>
      <c r="MUS93" t="s">
        <v>114</v>
      </c>
      <c r="MUT93" t="s">
        <v>113</v>
      </c>
      <c r="MUU93" t="s">
        <v>398</v>
      </c>
      <c r="MUV93">
        <v>1</v>
      </c>
      <c r="MUW93" t="s">
        <v>438</v>
      </c>
      <c r="MUX93" t="s">
        <v>440</v>
      </c>
      <c r="MUY93" t="s">
        <v>428</v>
      </c>
      <c r="MVA93" t="s">
        <v>114</v>
      </c>
      <c r="MVB93" t="s">
        <v>113</v>
      </c>
      <c r="MVC93" t="s">
        <v>398</v>
      </c>
      <c r="MVD93">
        <v>1</v>
      </c>
      <c r="MVE93" t="s">
        <v>438</v>
      </c>
      <c r="MVF93" t="s">
        <v>440</v>
      </c>
      <c r="MVG93" t="s">
        <v>428</v>
      </c>
      <c r="MVI93" t="s">
        <v>114</v>
      </c>
      <c r="MVJ93" t="s">
        <v>113</v>
      </c>
      <c r="MVK93" t="s">
        <v>398</v>
      </c>
      <c r="MVL93">
        <v>1</v>
      </c>
      <c r="MVM93" t="s">
        <v>438</v>
      </c>
      <c r="MVN93" t="s">
        <v>440</v>
      </c>
      <c r="MVO93" t="s">
        <v>428</v>
      </c>
      <c r="MVQ93" t="s">
        <v>114</v>
      </c>
      <c r="MVR93" t="s">
        <v>113</v>
      </c>
      <c r="MVS93" t="s">
        <v>398</v>
      </c>
      <c r="MVT93">
        <v>1</v>
      </c>
      <c r="MVU93" t="s">
        <v>438</v>
      </c>
      <c r="MVV93" t="s">
        <v>440</v>
      </c>
      <c r="MVW93" t="s">
        <v>428</v>
      </c>
      <c r="MVY93" t="s">
        <v>114</v>
      </c>
      <c r="MVZ93" t="s">
        <v>113</v>
      </c>
      <c r="MWA93" t="s">
        <v>398</v>
      </c>
      <c r="MWB93">
        <v>1</v>
      </c>
      <c r="MWC93" t="s">
        <v>438</v>
      </c>
      <c r="MWD93" t="s">
        <v>440</v>
      </c>
      <c r="MWE93" t="s">
        <v>428</v>
      </c>
      <c r="MWG93" t="s">
        <v>114</v>
      </c>
      <c r="MWH93" t="s">
        <v>113</v>
      </c>
      <c r="MWI93" t="s">
        <v>398</v>
      </c>
      <c r="MWJ93">
        <v>1</v>
      </c>
      <c r="MWK93" t="s">
        <v>438</v>
      </c>
      <c r="MWL93" t="s">
        <v>440</v>
      </c>
      <c r="MWM93" t="s">
        <v>428</v>
      </c>
      <c r="MWO93" t="s">
        <v>114</v>
      </c>
      <c r="MWP93" t="s">
        <v>113</v>
      </c>
      <c r="MWQ93" t="s">
        <v>398</v>
      </c>
      <c r="MWR93">
        <v>1</v>
      </c>
      <c r="MWS93" t="s">
        <v>438</v>
      </c>
      <c r="MWT93" t="s">
        <v>440</v>
      </c>
      <c r="MWU93" t="s">
        <v>428</v>
      </c>
      <c r="MWW93" t="s">
        <v>114</v>
      </c>
      <c r="MWX93" t="s">
        <v>113</v>
      </c>
      <c r="MWY93" t="s">
        <v>398</v>
      </c>
      <c r="MWZ93">
        <v>1</v>
      </c>
      <c r="MXA93" t="s">
        <v>438</v>
      </c>
      <c r="MXB93" t="s">
        <v>440</v>
      </c>
      <c r="MXC93" t="s">
        <v>428</v>
      </c>
      <c r="MXE93" t="s">
        <v>114</v>
      </c>
      <c r="MXF93" t="s">
        <v>113</v>
      </c>
      <c r="MXG93" t="s">
        <v>398</v>
      </c>
      <c r="MXH93">
        <v>1</v>
      </c>
      <c r="MXI93" t="s">
        <v>438</v>
      </c>
      <c r="MXJ93" t="s">
        <v>440</v>
      </c>
      <c r="MXK93" t="s">
        <v>428</v>
      </c>
      <c r="MXM93" t="s">
        <v>114</v>
      </c>
      <c r="MXN93" t="s">
        <v>113</v>
      </c>
      <c r="MXO93" t="s">
        <v>398</v>
      </c>
      <c r="MXP93">
        <v>1</v>
      </c>
      <c r="MXQ93" t="s">
        <v>438</v>
      </c>
      <c r="MXR93" t="s">
        <v>440</v>
      </c>
      <c r="MXS93" t="s">
        <v>428</v>
      </c>
      <c r="MXU93" t="s">
        <v>114</v>
      </c>
      <c r="MXV93" t="s">
        <v>113</v>
      </c>
      <c r="MXW93" t="s">
        <v>398</v>
      </c>
      <c r="MXX93">
        <v>1</v>
      </c>
      <c r="MXY93" t="s">
        <v>438</v>
      </c>
      <c r="MXZ93" t="s">
        <v>440</v>
      </c>
      <c r="MYA93" t="s">
        <v>428</v>
      </c>
      <c r="MYC93" t="s">
        <v>114</v>
      </c>
      <c r="MYD93" t="s">
        <v>113</v>
      </c>
      <c r="MYE93" t="s">
        <v>398</v>
      </c>
      <c r="MYF93">
        <v>1</v>
      </c>
      <c r="MYG93" t="s">
        <v>438</v>
      </c>
      <c r="MYH93" t="s">
        <v>440</v>
      </c>
      <c r="MYI93" t="s">
        <v>428</v>
      </c>
      <c r="MYK93" t="s">
        <v>114</v>
      </c>
      <c r="MYL93" t="s">
        <v>113</v>
      </c>
      <c r="MYM93" t="s">
        <v>398</v>
      </c>
      <c r="MYN93">
        <v>1</v>
      </c>
      <c r="MYO93" t="s">
        <v>438</v>
      </c>
      <c r="MYP93" t="s">
        <v>440</v>
      </c>
      <c r="MYQ93" t="s">
        <v>428</v>
      </c>
      <c r="MYS93" t="s">
        <v>114</v>
      </c>
      <c r="MYT93" t="s">
        <v>113</v>
      </c>
      <c r="MYU93" t="s">
        <v>398</v>
      </c>
      <c r="MYV93">
        <v>1</v>
      </c>
      <c r="MYW93" t="s">
        <v>438</v>
      </c>
      <c r="MYX93" t="s">
        <v>440</v>
      </c>
      <c r="MYY93" t="s">
        <v>428</v>
      </c>
      <c r="MZA93" t="s">
        <v>114</v>
      </c>
      <c r="MZB93" t="s">
        <v>113</v>
      </c>
      <c r="MZC93" t="s">
        <v>398</v>
      </c>
      <c r="MZD93">
        <v>1</v>
      </c>
      <c r="MZE93" t="s">
        <v>438</v>
      </c>
      <c r="MZF93" t="s">
        <v>440</v>
      </c>
      <c r="MZG93" t="s">
        <v>428</v>
      </c>
      <c r="MZI93" t="s">
        <v>114</v>
      </c>
      <c r="MZJ93" t="s">
        <v>113</v>
      </c>
      <c r="MZK93" t="s">
        <v>398</v>
      </c>
      <c r="MZL93">
        <v>1</v>
      </c>
      <c r="MZM93" t="s">
        <v>438</v>
      </c>
      <c r="MZN93" t="s">
        <v>440</v>
      </c>
      <c r="MZO93" t="s">
        <v>428</v>
      </c>
      <c r="MZQ93" t="s">
        <v>114</v>
      </c>
      <c r="MZR93" t="s">
        <v>113</v>
      </c>
      <c r="MZS93" t="s">
        <v>398</v>
      </c>
      <c r="MZT93">
        <v>1</v>
      </c>
      <c r="MZU93" t="s">
        <v>438</v>
      </c>
      <c r="MZV93" t="s">
        <v>440</v>
      </c>
      <c r="MZW93" t="s">
        <v>428</v>
      </c>
      <c r="MZY93" t="s">
        <v>114</v>
      </c>
      <c r="MZZ93" t="s">
        <v>113</v>
      </c>
      <c r="NAA93" t="s">
        <v>398</v>
      </c>
      <c r="NAB93">
        <v>1</v>
      </c>
      <c r="NAC93" t="s">
        <v>438</v>
      </c>
      <c r="NAD93" t="s">
        <v>440</v>
      </c>
      <c r="NAE93" t="s">
        <v>428</v>
      </c>
      <c r="NAG93" t="s">
        <v>114</v>
      </c>
      <c r="NAH93" t="s">
        <v>113</v>
      </c>
      <c r="NAI93" t="s">
        <v>398</v>
      </c>
      <c r="NAJ93">
        <v>1</v>
      </c>
      <c r="NAK93" t="s">
        <v>438</v>
      </c>
      <c r="NAL93" t="s">
        <v>440</v>
      </c>
      <c r="NAM93" t="s">
        <v>428</v>
      </c>
      <c r="NAO93" t="s">
        <v>114</v>
      </c>
      <c r="NAP93" t="s">
        <v>113</v>
      </c>
      <c r="NAQ93" t="s">
        <v>398</v>
      </c>
      <c r="NAR93">
        <v>1</v>
      </c>
      <c r="NAS93" t="s">
        <v>438</v>
      </c>
      <c r="NAT93" t="s">
        <v>440</v>
      </c>
      <c r="NAU93" t="s">
        <v>428</v>
      </c>
      <c r="NAW93" t="s">
        <v>114</v>
      </c>
      <c r="NAX93" t="s">
        <v>113</v>
      </c>
      <c r="NAY93" t="s">
        <v>398</v>
      </c>
      <c r="NAZ93">
        <v>1</v>
      </c>
      <c r="NBA93" t="s">
        <v>438</v>
      </c>
      <c r="NBB93" t="s">
        <v>440</v>
      </c>
      <c r="NBC93" t="s">
        <v>428</v>
      </c>
      <c r="NBE93" t="s">
        <v>114</v>
      </c>
      <c r="NBF93" t="s">
        <v>113</v>
      </c>
      <c r="NBG93" t="s">
        <v>398</v>
      </c>
      <c r="NBH93">
        <v>1</v>
      </c>
      <c r="NBI93" t="s">
        <v>438</v>
      </c>
      <c r="NBJ93" t="s">
        <v>440</v>
      </c>
      <c r="NBK93" t="s">
        <v>428</v>
      </c>
      <c r="NBM93" t="s">
        <v>114</v>
      </c>
      <c r="NBN93" t="s">
        <v>113</v>
      </c>
      <c r="NBO93" t="s">
        <v>398</v>
      </c>
      <c r="NBP93">
        <v>1</v>
      </c>
      <c r="NBQ93" t="s">
        <v>438</v>
      </c>
      <c r="NBR93" t="s">
        <v>440</v>
      </c>
      <c r="NBS93" t="s">
        <v>428</v>
      </c>
      <c r="NBU93" t="s">
        <v>114</v>
      </c>
      <c r="NBV93" t="s">
        <v>113</v>
      </c>
      <c r="NBW93" t="s">
        <v>398</v>
      </c>
      <c r="NBX93">
        <v>1</v>
      </c>
      <c r="NBY93" t="s">
        <v>438</v>
      </c>
      <c r="NBZ93" t="s">
        <v>440</v>
      </c>
      <c r="NCA93" t="s">
        <v>428</v>
      </c>
      <c r="NCC93" t="s">
        <v>114</v>
      </c>
      <c r="NCD93" t="s">
        <v>113</v>
      </c>
      <c r="NCE93" t="s">
        <v>398</v>
      </c>
      <c r="NCF93">
        <v>1</v>
      </c>
      <c r="NCG93" t="s">
        <v>438</v>
      </c>
      <c r="NCH93" t="s">
        <v>440</v>
      </c>
      <c r="NCI93" t="s">
        <v>428</v>
      </c>
      <c r="NCK93" t="s">
        <v>114</v>
      </c>
      <c r="NCL93" t="s">
        <v>113</v>
      </c>
      <c r="NCM93" t="s">
        <v>398</v>
      </c>
      <c r="NCN93">
        <v>1</v>
      </c>
      <c r="NCO93" t="s">
        <v>438</v>
      </c>
      <c r="NCP93" t="s">
        <v>440</v>
      </c>
      <c r="NCQ93" t="s">
        <v>428</v>
      </c>
      <c r="NCS93" t="s">
        <v>114</v>
      </c>
      <c r="NCT93" t="s">
        <v>113</v>
      </c>
      <c r="NCU93" t="s">
        <v>398</v>
      </c>
      <c r="NCV93">
        <v>1</v>
      </c>
      <c r="NCW93" t="s">
        <v>438</v>
      </c>
      <c r="NCX93" t="s">
        <v>440</v>
      </c>
      <c r="NCY93" t="s">
        <v>428</v>
      </c>
      <c r="NDA93" t="s">
        <v>114</v>
      </c>
      <c r="NDB93" t="s">
        <v>113</v>
      </c>
      <c r="NDC93" t="s">
        <v>398</v>
      </c>
      <c r="NDD93">
        <v>1</v>
      </c>
      <c r="NDE93" t="s">
        <v>438</v>
      </c>
      <c r="NDF93" t="s">
        <v>440</v>
      </c>
      <c r="NDG93" t="s">
        <v>428</v>
      </c>
      <c r="NDI93" t="s">
        <v>114</v>
      </c>
      <c r="NDJ93" t="s">
        <v>113</v>
      </c>
      <c r="NDK93" t="s">
        <v>398</v>
      </c>
      <c r="NDL93">
        <v>1</v>
      </c>
      <c r="NDM93" t="s">
        <v>438</v>
      </c>
      <c r="NDN93" t="s">
        <v>440</v>
      </c>
      <c r="NDO93" t="s">
        <v>428</v>
      </c>
      <c r="NDQ93" t="s">
        <v>114</v>
      </c>
      <c r="NDR93" t="s">
        <v>113</v>
      </c>
      <c r="NDS93" t="s">
        <v>398</v>
      </c>
      <c r="NDT93">
        <v>1</v>
      </c>
      <c r="NDU93" t="s">
        <v>438</v>
      </c>
      <c r="NDV93" t="s">
        <v>440</v>
      </c>
      <c r="NDW93" t="s">
        <v>428</v>
      </c>
      <c r="NDY93" t="s">
        <v>114</v>
      </c>
      <c r="NDZ93" t="s">
        <v>113</v>
      </c>
      <c r="NEA93" t="s">
        <v>398</v>
      </c>
      <c r="NEB93">
        <v>1</v>
      </c>
      <c r="NEC93" t="s">
        <v>438</v>
      </c>
      <c r="NED93" t="s">
        <v>440</v>
      </c>
      <c r="NEE93" t="s">
        <v>428</v>
      </c>
      <c r="NEG93" t="s">
        <v>114</v>
      </c>
      <c r="NEH93" t="s">
        <v>113</v>
      </c>
      <c r="NEI93" t="s">
        <v>398</v>
      </c>
      <c r="NEJ93">
        <v>1</v>
      </c>
      <c r="NEK93" t="s">
        <v>438</v>
      </c>
      <c r="NEL93" t="s">
        <v>440</v>
      </c>
      <c r="NEM93" t="s">
        <v>428</v>
      </c>
      <c r="NEO93" t="s">
        <v>114</v>
      </c>
      <c r="NEP93" t="s">
        <v>113</v>
      </c>
      <c r="NEQ93" t="s">
        <v>398</v>
      </c>
      <c r="NER93">
        <v>1</v>
      </c>
      <c r="NES93" t="s">
        <v>438</v>
      </c>
      <c r="NET93" t="s">
        <v>440</v>
      </c>
      <c r="NEU93" t="s">
        <v>428</v>
      </c>
      <c r="NEW93" t="s">
        <v>114</v>
      </c>
      <c r="NEX93" t="s">
        <v>113</v>
      </c>
      <c r="NEY93" t="s">
        <v>398</v>
      </c>
      <c r="NEZ93">
        <v>1</v>
      </c>
      <c r="NFA93" t="s">
        <v>438</v>
      </c>
      <c r="NFB93" t="s">
        <v>440</v>
      </c>
      <c r="NFC93" t="s">
        <v>428</v>
      </c>
      <c r="NFE93" t="s">
        <v>114</v>
      </c>
      <c r="NFF93" t="s">
        <v>113</v>
      </c>
      <c r="NFG93" t="s">
        <v>398</v>
      </c>
      <c r="NFH93">
        <v>1</v>
      </c>
      <c r="NFI93" t="s">
        <v>438</v>
      </c>
      <c r="NFJ93" t="s">
        <v>440</v>
      </c>
      <c r="NFK93" t="s">
        <v>428</v>
      </c>
      <c r="NFM93" t="s">
        <v>114</v>
      </c>
      <c r="NFN93" t="s">
        <v>113</v>
      </c>
      <c r="NFO93" t="s">
        <v>398</v>
      </c>
      <c r="NFP93">
        <v>1</v>
      </c>
      <c r="NFQ93" t="s">
        <v>438</v>
      </c>
      <c r="NFR93" t="s">
        <v>440</v>
      </c>
      <c r="NFS93" t="s">
        <v>428</v>
      </c>
      <c r="NFU93" t="s">
        <v>114</v>
      </c>
      <c r="NFV93" t="s">
        <v>113</v>
      </c>
      <c r="NFW93" t="s">
        <v>398</v>
      </c>
      <c r="NFX93">
        <v>1</v>
      </c>
      <c r="NFY93" t="s">
        <v>438</v>
      </c>
      <c r="NFZ93" t="s">
        <v>440</v>
      </c>
      <c r="NGA93" t="s">
        <v>428</v>
      </c>
      <c r="NGC93" t="s">
        <v>114</v>
      </c>
      <c r="NGD93" t="s">
        <v>113</v>
      </c>
      <c r="NGE93" t="s">
        <v>398</v>
      </c>
      <c r="NGF93">
        <v>1</v>
      </c>
      <c r="NGG93" t="s">
        <v>438</v>
      </c>
      <c r="NGH93" t="s">
        <v>440</v>
      </c>
      <c r="NGI93" t="s">
        <v>428</v>
      </c>
      <c r="NGK93" t="s">
        <v>114</v>
      </c>
      <c r="NGL93" t="s">
        <v>113</v>
      </c>
      <c r="NGM93" t="s">
        <v>398</v>
      </c>
      <c r="NGN93">
        <v>1</v>
      </c>
      <c r="NGO93" t="s">
        <v>438</v>
      </c>
      <c r="NGP93" t="s">
        <v>440</v>
      </c>
      <c r="NGQ93" t="s">
        <v>428</v>
      </c>
      <c r="NGS93" t="s">
        <v>114</v>
      </c>
      <c r="NGT93" t="s">
        <v>113</v>
      </c>
      <c r="NGU93" t="s">
        <v>398</v>
      </c>
      <c r="NGV93">
        <v>1</v>
      </c>
      <c r="NGW93" t="s">
        <v>438</v>
      </c>
      <c r="NGX93" t="s">
        <v>440</v>
      </c>
      <c r="NGY93" t="s">
        <v>428</v>
      </c>
      <c r="NHA93" t="s">
        <v>114</v>
      </c>
      <c r="NHB93" t="s">
        <v>113</v>
      </c>
      <c r="NHC93" t="s">
        <v>398</v>
      </c>
      <c r="NHD93">
        <v>1</v>
      </c>
      <c r="NHE93" t="s">
        <v>438</v>
      </c>
      <c r="NHF93" t="s">
        <v>440</v>
      </c>
      <c r="NHG93" t="s">
        <v>428</v>
      </c>
      <c r="NHI93" t="s">
        <v>114</v>
      </c>
      <c r="NHJ93" t="s">
        <v>113</v>
      </c>
      <c r="NHK93" t="s">
        <v>398</v>
      </c>
      <c r="NHL93">
        <v>1</v>
      </c>
      <c r="NHM93" t="s">
        <v>438</v>
      </c>
      <c r="NHN93" t="s">
        <v>440</v>
      </c>
      <c r="NHO93" t="s">
        <v>428</v>
      </c>
      <c r="NHQ93" t="s">
        <v>114</v>
      </c>
      <c r="NHR93" t="s">
        <v>113</v>
      </c>
      <c r="NHS93" t="s">
        <v>398</v>
      </c>
      <c r="NHT93">
        <v>1</v>
      </c>
      <c r="NHU93" t="s">
        <v>438</v>
      </c>
      <c r="NHV93" t="s">
        <v>440</v>
      </c>
      <c r="NHW93" t="s">
        <v>428</v>
      </c>
      <c r="NHY93" t="s">
        <v>114</v>
      </c>
      <c r="NHZ93" t="s">
        <v>113</v>
      </c>
      <c r="NIA93" t="s">
        <v>398</v>
      </c>
      <c r="NIB93">
        <v>1</v>
      </c>
      <c r="NIC93" t="s">
        <v>438</v>
      </c>
      <c r="NID93" t="s">
        <v>440</v>
      </c>
      <c r="NIE93" t="s">
        <v>428</v>
      </c>
      <c r="NIG93" t="s">
        <v>114</v>
      </c>
      <c r="NIH93" t="s">
        <v>113</v>
      </c>
      <c r="NII93" t="s">
        <v>398</v>
      </c>
      <c r="NIJ93">
        <v>1</v>
      </c>
      <c r="NIK93" t="s">
        <v>438</v>
      </c>
      <c r="NIL93" t="s">
        <v>440</v>
      </c>
      <c r="NIM93" t="s">
        <v>428</v>
      </c>
      <c r="NIO93" t="s">
        <v>114</v>
      </c>
      <c r="NIP93" t="s">
        <v>113</v>
      </c>
      <c r="NIQ93" t="s">
        <v>398</v>
      </c>
      <c r="NIR93">
        <v>1</v>
      </c>
      <c r="NIS93" t="s">
        <v>438</v>
      </c>
      <c r="NIT93" t="s">
        <v>440</v>
      </c>
      <c r="NIU93" t="s">
        <v>428</v>
      </c>
      <c r="NIW93" t="s">
        <v>114</v>
      </c>
      <c r="NIX93" t="s">
        <v>113</v>
      </c>
      <c r="NIY93" t="s">
        <v>398</v>
      </c>
      <c r="NIZ93">
        <v>1</v>
      </c>
      <c r="NJA93" t="s">
        <v>438</v>
      </c>
      <c r="NJB93" t="s">
        <v>440</v>
      </c>
      <c r="NJC93" t="s">
        <v>428</v>
      </c>
      <c r="NJE93" t="s">
        <v>114</v>
      </c>
      <c r="NJF93" t="s">
        <v>113</v>
      </c>
      <c r="NJG93" t="s">
        <v>398</v>
      </c>
      <c r="NJH93">
        <v>1</v>
      </c>
      <c r="NJI93" t="s">
        <v>438</v>
      </c>
      <c r="NJJ93" t="s">
        <v>440</v>
      </c>
      <c r="NJK93" t="s">
        <v>428</v>
      </c>
      <c r="NJM93" t="s">
        <v>114</v>
      </c>
      <c r="NJN93" t="s">
        <v>113</v>
      </c>
      <c r="NJO93" t="s">
        <v>398</v>
      </c>
      <c r="NJP93">
        <v>1</v>
      </c>
      <c r="NJQ93" t="s">
        <v>438</v>
      </c>
      <c r="NJR93" t="s">
        <v>440</v>
      </c>
      <c r="NJS93" t="s">
        <v>428</v>
      </c>
      <c r="NJU93" t="s">
        <v>114</v>
      </c>
      <c r="NJV93" t="s">
        <v>113</v>
      </c>
      <c r="NJW93" t="s">
        <v>398</v>
      </c>
      <c r="NJX93">
        <v>1</v>
      </c>
      <c r="NJY93" t="s">
        <v>438</v>
      </c>
      <c r="NJZ93" t="s">
        <v>440</v>
      </c>
      <c r="NKA93" t="s">
        <v>428</v>
      </c>
      <c r="NKC93" t="s">
        <v>114</v>
      </c>
      <c r="NKD93" t="s">
        <v>113</v>
      </c>
      <c r="NKE93" t="s">
        <v>398</v>
      </c>
      <c r="NKF93">
        <v>1</v>
      </c>
      <c r="NKG93" t="s">
        <v>438</v>
      </c>
      <c r="NKH93" t="s">
        <v>440</v>
      </c>
      <c r="NKI93" t="s">
        <v>428</v>
      </c>
      <c r="NKK93" t="s">
        <v>114</v>
      </c>
      <c r="NKL93" t="s">
        <v>113</v>
      </c>
      <c r="NKM93" t="s">
        <v>398</v>
      </c>
      <c r="NKN93">
        <v>1</v>
      </c>
      <c r="NKO93" t="s">
        <v>438</v>
      </c>
      <c r="NKP93" t="s">
        <v>440</v>
      </c>
      <c r="NKQ93" t="s">
        <v>428</v>
      </c>
      <c r="NKS93" t="s">
        <v>114</v>
      </c>
      <c r="NKT93" t="s">
        <v>113</v>
      </c>
      <c r="NKU93" t="s">
        <v>398</v>
      </c>
      <c r="NKV93">
        <v>1</v>
      </c>
      <c r="NKW93" t="s">
        <v>438</v>
      </c>
      <c r="NKX93" t="s">
        <v>440</v>
      </c>
      <c r="NKY93" t="s">
        <v>428</v>
      </c>
      <c r="NLA93" t="s">
        <v>114</v>
      </c>
      <c r="NLB93" t="s">
        <v>113</v>
      </c>
      <c r="NLC93" t="s">
        <v>398</v>
      </c>
      <c r="NLD93">
        <v>1</v>
      </c>
      <c r="NLE93" t="s">
        <v>438</v>
      </c>
      <c r="NLF93" t="s">
        <v>440</v>
      </c>
      <c r="NLG93" t="s">
        <v>428</v>
      </c>
      <c r="NLI93" t="s">
        <v>114</v>
      </c>
      <c r="NLJ93" t="s">
        <v>113</v>
      </c>
      <c r="NLK93" t="s">
        <v>398</v>
      </c>
      <c r="NLL93">
        <v>1</v>
      </c>
      <c r="NLM93" t="s">
        <v>438</v>
      </c>
      <c r="NLN93" t="s">
        <v>440</v>
      </c>
      <c r="NLO93" t="s">
        <v>428</v>
      </c>
      <c r="NLQ93" t="s">
        <v>114</v>
      </c>
      <c r="NLR93" t="s">
        <v>113</v>
      </c>
      <c r="NLS93" t="s">
        <v>398</v>
      </c>
      <c r="NLT93">
        <v>1</v>
      </c>
      <c r="NLU93" t="s">
        <v>438</v>
      </c>
      <c r="NLV93" t="s">
        <v>440</v>
      </c>
      <c r="NLW93" t="s">
        <v>428</v>
      </c>
      <c r="NLY93" t="s">
        <v>114</v>
      </c>
      <c r="NLZ93" t="s">
        <v>113</v>
      </c>
      <c r="NMA93" t="s">
        <v>398</v>
      </c>
      <c r="NMB93">
        <v>1</v>
      </c>
      <c r="NMC93" t="s">
        <v>438</v>
      </c>
      <c r="NMD93" t="s">
        <v>440</v>
      </c>
      <c r="NME93" t="s">
        <v>428</v>
      </c>
      <c r="NMG93" t="s">
        <v>114</v>
      </c>
      <c r="NMH93" t="s">
        <v>113</v>
      </c>
      <c r="NMI93" t="s">
        <v>398</v>
      </c>
      <c r="NMJ93">
        <v>1</v>
      </c>
      <c r="NMK93" t="s">
        <v>438</v>
      </c>
      <c r="NML93" t="s">
        <v>440</v>
      </c>
      <c r="NMM93" t="s">
        <v>428</v>
      </c>
      <c r="NMO93" t="s">
        <v>114</v>
      </c>
      <c r="NMP93" t="s">
        <v>113</v>
      </c>
      <c r="NMQ93" t="s">
        <v>398</v>
      </c>
      <c r="NMR93">
        <v>1</v>
      </c>
      <c r="NMS93" t="s">
        <v>438</v>
      </c>
      <c r="NMT93" t="s">
        <v>440</v>
      </c>
      <c r="NMU93" t="s">
        <v>428</v>
      </c>
      <c r="NMW93" t="s">
        <v>114</v>
      </c>
      <c r="NMX93" t="s">
        <v>113</v>
      </c>
      <c r="NMY93" t="s">
        <v>398</v>
      </c>
      <c r="NMZ93">
        <v>1</v>
      </c>
      <c r="NNA93" t="s">
        <v>438</v>
      </c>
      <c r="NNB93" t="s">
        <v>440</v>
      </c>
      <c r="NNC93" t="s">
        <v>428</v>
      </c>
      <c r="NNE93" t="s">
        <v>114</v>
      </c>
      <c r="NNF93" t="s">
        <v>113</v>
      </c>
      <c r="NNG93" t="s">
        <v>398</v>
      </c>
      <c r="NNH93">
        <v>1</v>
      </c>
      <c r="NNI93" t="s">
        <v>438</v>
      </c>
      <c r="NNJ93" t="s">
        <v>440</v>
      </c>
      <c r="NNK93" t="s">
        <v>428</v>
      </c>
      <c r="NNM93" t="s">
        <v>114</v>
      </c>
      <c r="NNN93" t="s">
        <v>113</v>
      </c>
      <c r="NNO93" t="s">
        <v>398</v>
      </c>
      <c r="NNP93">
        <v>1</v>
      </c>
      <c r="NNQ93" t="s">
        <v>438</v>
      </c>
      <c r="NNR93" t="s">
        <v>440</v>
      </c>
      <c r="NNS93" t="s">
        <v>428</v>
      </c>
      <c r="NNU93" t="s">
        <v>114</v>
      </c>
      <c r="NNV93" t="s">
        <v>113</v>
      </c>
      <c r="NNW93" t="s">
        <v>398</v>
      </c>
      <c r="NNX93">
        <v>1</v>
      </c>
      <c r="NNY93" t="s">
        <v>438</v>
      </c>
      <c r="NNZ93" t="s">
        <v>440</v>
      </c>
      <c r="NOA93" t="s">
        <v>428</v>
      </c>
      <c r="NOC93" t="s">
        <v>114</v>
      </c>
      <c r="NOD93" t="s">
        <v>113</v>
      </c>
      <c r="NOE93" t="s">
        <v>398</v>
      </c>
      <c r="NOF93">
        <v>1</v>
      </c>
      <c r="NOG93" t="s">
        <v>438</v>
      </c>
      <c r="NOH93" t="s">
        <v>440</v>
      </c>
      <c r="NOI93" t="s">
        <v>428</v>
      </c>
      <c r="NOK93" t="s">
        <v>114</v>
      </c>
      <c r="NOL93" t="s">
        <v>113</v>
      </c>
      <c r="NOM93" t="s">
        <v>398</v>
      </c>
      <c r="NON93">
        <v>1</v>
      </c>
      <c r="NOO93" t="s">
        <v>438</v>
      </c>
      <c r="NOP93" t="s">
        <v>440</v>
      </c>
      <c r="NOQ93" t="s">
        <v>428</v>
      </c>
      <c r="NOS93" t="s">
        <v>114</v>
      </c>
      <c r="NOT93" t="s">
        <v>113</v>
      </c>
      <c r="NOU93" t="s">
        <v>398</v>
      </c>
      <c r="NOV93">
        <v>1</v>
      </c>
      <c r="NOW93" t="s">
        <v>438</v>
      </c>
      <c r="NOX93" t="s">
        <v>440</v>
      </c>
      <c r="NOY93" t="s">
        <v>428</v>
      </c>
      <c r="NPA93" t="s">
        <v>114</v>
      </c>
      <c r="NPB93" t="s">
        <v>113</v>
      </c>
      <c r="NPC93" t="s">
        <v>398</v>
      </c>
      <c r="NPD93">
        <v>1</v>
      </c>
      <c r="NPE93" t="s">
        <v>438</v>
      </c>
      <c r="NPF93" t="s">
        <v>440</v>
      </c>
      <c r="NPG93" t="s">
        <v>428</v>
      </c>
      <c r="NPI93" t="s">
        <v>114</v>
      </c>
      <c r="NPJ93" t="s">
        <v>113</v>
      </c>
      <c r="NPK93" t="s">
        <v>398</v>
      </c>
      <c r="NPL93">
        <v>1</v>
      </c>
      <c r="NPM93" t="s">
        <v>438</v>
      </c>
      <c r="NPN93" t="s">
        <v>440</v>
      </c>
      <c r="NPO93" t="s">
        <v>428</v>
      </c>
      <c r="NPQ93" t="s">
        <v>114</v>
      </c>
      <c r="NPR93" t="s">
        <v>113</v>
      </c>
      <c r="NPS93" t="s">
        <v>398</v>
      </c>
      <c r="NPT93">
        <v>1</v>
      </c>
      <c r="NPU93" t="s">
        <v>438</v>
      </c>
      <c r="NPV93" t="s">
        <v>440</v>
      </c>
      <c r="NPW93" t="s">
        <v>428</v>
      </c>
      <c r="NPY93" t="s">
        <v>114</v>
      </c>
      <c r="NPZ93" t="s">
        <v>113</v>
      </c>
      <c r="NQA93" t="s">
        <v>398</v>
      </c>
      <c r="NQB93">
        <v>1</v>
      </c>
      <c r="NQC93" t="s">
        <v>438</v>
      </c>
      <c r="NQD93" t="s">
        <v>440</v>
      </c>
      <c r="NQE93" t="s">
        <v>428</v>
      </c>
      <c r="NQG93" t="s">
        <v>114</v>
      </c>
      <c r="NQH93" t="s">
        <v>113</v>
      </c>
      <c r="NQI93" t="s">
        <v>398</v>
      </c>
      <c r="NQJ93">
        <v>1</v>
      </c>
      <c r="NQK93" t="s">
        <v>438</v>
      </c>
      <c r="NQL93" t="s">
        <v>440</v>
      </c>
      <c r="NQM93" t="s">
        <v>428</v>
      </c>
      <c r="NQO93" t="s">
        <v>114</v>
      </c>
      <c r="NQP93" t="s">
        <v>113</v>
      </c>
      <c r="NQQ93" t="s">
        <v>398</v>
      </c>
      <c r="NQR93">
        <v>1</v>
      </c>
      <c r="NQS93" t="s">
        <v>438</v>
      </c>
      <c r="NQT93" t="s">
        <v>440</v>
      </c>
      <c r="NQU93" t="s">
        <v>428</v>
      </c>
      <c r="NQW93" t="s">
        <v>114</v>
      </c>
      <c r="NQX93" t="s">
        <v>113</v>
      </c>
      <c r="NQY93" t="s">
        <v>398</v>
      </c>
      <c r="NQZ93">
        <v>1</v>
      </c>
      <c r="NRA93" t="s">
        <v>438</v>
      </c>
      <c r="NRB93" t="s">
        <v>440</v>
      </c>
      <c r="NRC93" t="s">
        <v>428</v>
      </c>
      <c r="NRE93" t="s">
        <v>114</v>
      </c>
      <c r="NRF93" t="s">
        <v>113</v>
      </c>
      <c r="NRG93" t="s">
        <v>398</v>
      </c>
      <c r="NRH93">
        <v>1</v>
      </c>
      <c r="NRI93" t="s">
        <v>438</v>
      </c>
      <c r="NRJ93" t="s">
        <v>440</v>
      </c>
      <c r="NRK93" t="s">
        <v>428</v>
      </c>
      <c r="NRM93" t="s">
        <v>114</v>
      </c>
      <c r="NRN93" t="s">
        <v>113</v>
      </c>
      <c r="NRO93" t="s">
        <v>398</v>
      </c>
      <c r="NRP93">
        <v>1</v>
      </c>
      <c r="NRQ93" t="s">
        <v>438</v>
      </c>
      <c r="NRR93" t="s">
        <v>440</v>
      </c>
      <c r="NRS93" t="s">
        <v>428</v>
      </c>
      <c r="NRU93" t="s">
        <v>114</v>
      </c>
      <c r="NRV93" t="s">
        <v>113</v>
      </c>
      <c r="NRW93" t="s">
        <v>398</v>
      </c>
      <c r="NRX93">
        <v>1</v>
      </c>
      <c r="NRY93" t="s">
        <v>438</v>
      </c>
      <c r="NRZ93" t="s">
        <v>440</v>
      </c>
      <c r="NSA93" t="s">
        <v>428</v>
      </c>
      <c r="NSC93" t="s">
        <v>114</v>
      </c>
      <c r="NSD93" t="s">
        <v>113</v>
      </c>
      <c r="NSE93" t="s">
        <v>398</v>
      </c>
      <c r="NSF93">
        <v>1</v>
      </c>
      <c r="NSG93" t="s">
        <v>438</v>
      </c>
      <c r="NSH93" t="s">
        <v>440</v>
      </c>
      <c r="NSI93" t="s">
        <v>428</v>
      </c>
      <c r="NSK93" t="s">
        <v>114</v>
      </c>
      <c r="NSL93" t="s">
        <v>113</v>
      </c>
      <c r="NSM93" t="s">
        <v>398</v>
      </c>
      <c r="NSN93">
        <v>1</v>
      </c>
      <c r="NSO93" t="s">
        <v>438</v>
      </c>
      <c r="NSP93" t="s">
        <v>440</v>
      </c>
      <c r="NSQ93" t="s">
        <v>428</v>
      </c>
      <c r="NSS93" t="s">
        <v>114</v>
      </c>
      <c r="NST93" t="s">
        <v>113</v>
      </c>
      <c r="NSU93" t="s">
        <v>398</v>
      </c>
      <c r="NSV93">
        <v>1</v>
      </c>
      <c r="NSW93" t="s">
        <v>438</v>
      </c>
      <c r="NSX93" t="s">
        <v>440</v>
      </c>
      <c r="NSY93" t="s">
        <v>428</v>
      </c>
      <c r="NTA93" t="s">
        <v>114</v>
      </c>
      <c r="NTB93" t="s">
        <v>113</v>
      </c>
      <c r="NTC93" t="s">
        <v>398</v>
      </c>
      <c r="NTD93">
        <v>1</v>
      </c>
      <c r="NTE93" t="s">
        <v>438</v>
      </c>
      <c r="NTF93" t="s">
        <v>440</v>
      </c>
      <c r="NTG93" t="s">
        <v>428</v>
      </c>
      <c r="NTI93" t="s">
        <v>114</v>
      </c>
      <c r="NTJ93" t="s">
        <v>113</v>
      </c>
      <c r="NTK93" t="s">
        <v>398</v>
      </c>
      <c r="NTL93">
        <v>1</v>
      </c>
      <c r="NTM93" t="s">
        <v>438</v>
      </c>
      <c r="NTN93" t="s">
        <v>440</v>
      </c>
      <c r="NTO93" t="s">
        <v>428</v>
      </c>
      <c r="NTQ93" t="s">
        <v>114</v>
      </c>
      <c r="NTR93" t="s">
        <v>113</v>
      </c>
      <c r="NTS93" t="s">
        <v>398</v>
      </c>
      <c r="NTT93">
        <v>1</v>
      </c>
      <c r="NTU93" t="s">
        <v>438</v>
      </c>
      <c r="NTV93" t="s">
        <v>440</v>
      </c>
      <c r="NTW93" t="s">
        <v>428</v>
      </c>
      <c r="NTY93" t="s">
        <v>114</v>
      </c>
      <c r="NTZ93" t="s">
        <v>113</v>
      </c>
      <c r="NUA93" t="s">
        <v>398</v>
      </c>
      <c r="NUB93">
        <v>1</v>
      </c>
      <c r="NUC93" t="s">
        <v>438</v>
      </c>
      <c r="NUD93" t="s">
        <v>440</v>
      </c>
      <c r="NUE93" t="s">
        <v>428</v>
      </c>
      <c r="NUG93" t="s">
        <v>114</v>
      </c>
      <c r="NUH93" t="s">
        <v>113</v>
      </c>
      <c r="NUI93" t="s">
        <v>398</v>
      </c>
      <c r="NUJ93">
        <v>1</v>
      </c>
      <c r="NUK93" t="s">
        <v>438</v>
      </c>
      <c r="NUL93" t="s">
        <v>440</v>
      </c>
      <c r="NUM93" t="s">
        <v>428</v>
      </c>
      <c r="NUO93" t="s">
        <v>114</v>
      </c>
      <c r="NUP93" t="s">
        <v>113</v>
      </c>
      <c r="NUQ93" t="s">
        <v>398</v>
      </c>
      <c r="NUR93">
        <v>1</v>
      </c>
      <c r="NUS93" t="s">
        <v>438</v>
      </c>
      <c r="NUT93" t="s">
        <v>440</v>
      </c>
      <c r="NUU93" t="s">
        <v>428</v>
      </c>
      <c r="NUW93" t="s">
        <v>114</v>
      </c>
      <c r="NUX93" t="s">
        <v>113</v>
      </c>
      <c r="NUY93" t="s">
        <v>398</v>
      </c>
      <c r="NUZ93">
        <v>1</v>
      </c>
      <c r="NVA93" t="s">
        <v>438</v>
      </c>
      <c r="NVB93" t="s">
        <v>440</v>
      </c>
      <c r="NVC93" t="s">
        <v>428</v>
      </c>
      <c r="NVE93" t="s">
        <v>114</v>
      </c>
      <c r="NVF93" t="s">
        <v>113</v>
      </c>
      <c r="NVG93" t="s">
        <v>398</v>
      </c>
      <c r="NVH93">
        <v>1</v>
      </c>
      <c r="NVI93" t="s">
        <v>438</v>
      </c>
      <c r="NVJ93" t="s">
        <v>440</v>
      </c>
      <c r="NVK93" t="s">
        <v>428</v>
      </c>
      <c r="NVM93" t="s">
        <v>114</v>
      </c>
      <c r="NVN93" t="s">
        <v>113</v>
      </c>
      <c r="NVO93" t="s">
        <v>398</v>
      </c>
      <c r="NVP93">
        <v>1</v>
      </c>
      <c r="NVQ93" t="s">
        <v>438</v>
      </c>
      <c r="NVR93" t="s">
        <v>440</v>
      </c>
      <c r="NVS93" t="s">
        <v>428</v>
      </c>
      <c r="NVU93" t="s">
        <v>114</v>
      </c>
      <c r="NVV93" t="s">
        <v>113</v>
      </c>
      <c r="NVW93" t="s">
        <v>398</v>
      </c>
      <c r="NVX93">
        <v>1</v>
      </c>
      <c r="NVY93" t="s">
        <v>438</v>
      </c>
      <c r="NVZ93" t="s">
        <v>440</v>
      </c>
      <c r="NWA93" t="s">
        <v>428</v>
      </c>
      <c r="NWC93" t="s">
        <v>114</v>
      </c>
      <c r="NWD93" t="s">
        <v>113</v>
      </c>
      <c r="NWE93" t="s">
        <v>398</v>
      </c>
      <c r="NWF93">
        <v>1</v>
      </c>
      <c r="NWG93" t="s">
        <v>438</v>
      </c>
      <c r="NWH93" t="s">
        <v>440</v>
      </c>
      <c r="NWI93" t="s">
        <v>428</v>
      </c>
      <c r="NWK93" t="s">
        <v>114</v>
      </c>
      <c r="NWL93" t="s">
        <v>113</v>
      </c>
      <c r="NWM93" t="s">
        <v>398</v>
      </c>
      <c r="NWN93">
        <v>1</v>
      </c>
      <c r="NWO93" t="s">
        <v>438</v>
      </c>
      <c r="NWP93" t="s">
        <v>440</v>
      </c>
      <c r="NWQ93" t="s">
        <v>428</v>
      </c>
      <c r="NWS93" t="s">
        <v>114</v>
      </c>
      <c r="NWT93" t="s">
        <v>113</v>
      </c>
      <c r="NWU93" t="s">
        <v>398</v>
      </c>
      <c r="NWV93">
        <v>1</v>
      </c>
      <c r="NWW93" t="s">
        <v>438</v>
      </c>
      <c r="NWX93" t="s">
        <v>440</v>
      </c>
      <c r="NWY93" t="s">
        <v>428</v>
      </c>
      <c r="NXA93" t="s">
        <v>114</v>
      </c>
      <c r="NXB93" t="s">
        <v>113</v>
      </c>
      <c r="NXC93" t="s">
        <v>398</v>
      </c>
      <c r="NXD93">
        <v>1</v>
      </c>
      <c r="NXE93" t="s">
        <v>438</v>
      </c>
      <c r="NXF93" t="s">
        <v>440</v>
      </c>
      <c r="NXG93" t="s">
        <v>428</v>
      </c>
      <c r="NXI93" t="s">
        <v>114</v>
      </c>
      <c r="NXJ93" t="s">
        <v>113</v>
      </c>
      <c r="NXK93" t="s">
        <v>398</v>
      </c>
      <c r="NXL93">
        <v>1</v>
      </c>
      <c r="NXM93" t="s">
        <v>438</v>
      </c>
      <c r="NXN93" t="s">
        <v>440</v>
      </c>
      <c r="NXO93" t="s">
        <v>428</v>
      </c>
      <c r="NXQ93" t="s">
        <v>114</v>
      </c>
      <c r="NXR93" t="s">
        <v>113</v>
      </c>
      <c r="NXS93" t="s">
        <v>398</v>
      </c>
      <c r="NXT93">
        <v>1</v>
      </c>
      <c r="NXU93" t="s">
        <v>438</v>
      </c>
      <c r="NXV93" t="s">
        <v>440</v>
      </c>
      <c r="NXW93" t="s">
        <v>428</v>
      </c>
      <c r="NXY93" t="s">
        <v>114</v>
      </c>
      <c r="NXZ93" t="s">
        <v>113</v>
      </c>
      <c r="NYA93" t="s">
        <v>398</v>
      </c>
      <c r="NYB93">
        <v>1</v>
      </c>
      <c r="NYC93" t="s">
        <v>438</v>
      </c>
      <c r="NYD93" t="s">
        <v>440</v>
      </c>
      <c r="NYE93" t="s">
        <v>428</v>
      </c>
      <c r="NYG93" t="s">
        <v>114</v>
      </c>
      <c r="NYH93" t="s">
        <v>113</v>
      </c>
      <c r="NYI93" t="s">
        <v>398</v>
      </c>
      <c r="NYJ93">
        <v>1</v>
      </c>
      <c r="NYK93" t="s">
        <v>438</v>
      </c>
      <c r="NYL93" t="s">
        <v>440</v>
      </c>
      <c r="NYM93" t="s">
        <v>428</v>
      </c>
      <c r="NYO93" t="s">
        <v>114</v>
      </c>
      <c r="NYP93" t="s">
        <v>113</v>
      </c>
      <c r="NYQ93" t="s">
        <v>398</v>
      </c>
      <c r="NYR93">
        <v>1</v>
      </c>
      <c r="NYS93" t="s">
        <v>438</v>
      </c>
      <c r="NYT93" t="s">
        <v>440</v>
      </c>
      <c r="NYU93" t="s">
        <v>428</v>
      </c>
      <c r="NYW93" t="s">
        <v>114</v>
      </c>
      <c r="NYX93" t="s">
        <v>113</v>
      </c>
      <c r="NYY93" t="s">
        <v>398</v>
      </c>
      <c r="NYZ93">
        <v>1</v>
      </c>
      <c r="NZA93" t="s">
        <v>438</v>
      </c>
      <c r="NZB93" t="s">
        <v>440</v>
      </c>
      <c r="NZC93" t="s">
        <v>428</v>
      </c>
      <c r="NZE93" t="s">
        <v>114</v>
      </c>
      <c r="NZF93" t="s">
        <v>113</v>
      </c>
      <c r="NZG93" t="s">
        <v>398</v>
      </c>
      <c r="NZH93">
        <v>1</v>
      </c>
      <c r="NZI93" t="s">
        <v>438</v>
      </c>
      <c r="NZJ93" t="s">
        <v>440</v>
      </c>
      <c r="NZK93" t="s">
        <v>428</v>
      </c>
      <c r="NZM93" t="s">
        <v>114</v>
      </c>
      <c r="NZN93" t="s">
        <v>113</v>
      </c>
      <c r="NZO93" t="s">
        <v>398</v>
      </c>
      <c r="NZP93">
        <v>1</v>
      </c>
      <c r="NZQ93" t="s">
        <v>438</v>
      </c>
      <c r="NZR93" t="s">
        <v>440</v>
      </c>
      <c r="NZS93" t="s">
        <v>428</v>
      </c>
      <c r="NZU93" t="s">
        <v>114</v>
      </c>
      <c r="NZV93" t="s">
        <v>113</v>
      </c>
      <c r="NZW93" t="s">
        <v>398</v>
      </c>
      <c r="NZX93">
        <v>1</v>
      </c>
      <c r="NZY93" t="s">
        <v>438</v>
      </c>
      <c r="NZZ93" t="s">
        <v>440</v>
      </c>
      <c r="OAA93" t="s">
        <v>428</v>
      </c>
      <c r="OAC93" t="s">
        <v>114</v>
      </c>
      <c r="OAD93" t="s">
        <v>113</v>
      </c>
      <c r="OAE93" t="s">
        <v>398</v>
      </c>
      <c r="OAF93">
        <v>1</v>
      </c>
      <c r="OAG93" t="s">
        <v>438</v>
      </c>
      <c r="OAH93" t="s">
        <v>440</v>
      </c>
      <c r="OAI93" t="s">
        <v>428</v>
      </c>
      <c r="OAK93" t="s">
        <v>114</v>
      </c>
      <c r="OAL93" t="s">
        <v>113</v>
      </c>
      <c r="OAM93" t="s">
        <v>398</v>
      </c>
      <c r="OAN93">
        <v>1</v>
      </c>
      <c r="OAO93" t="s">
        <v>438</v>
      </c>
      <c r="OAP93" t="s">
        <v>440</v>
      </c>
      <c r="OAQ93" t="s">
        <v>428</v>
      </c>
      <c r="OAS93" t="s">
        <v>114</v>
      </c>
      <c r="OAT93" t="s">
        <v>113</v>
      </c>
      <c r="OAU93" t="s">
        <v>398</v>
      </c>
      <c r="OAV93">
        <v>1</v>
      </c>
      <c r="OAW93" t="s">
        <v>438</v>
      </c>
      <c r="OAX93" t="s">
        <v>440</v>
      </c>
      <c r="OAY93" t="s">
        <v>428</v>
      </c>
      <c r="OBA93" t="s">
        <v>114</v>
      </c>
      <c r="OBB93" t="s">
        <v>113</v>
      </c>
      <c r="OBC93" t="s">
        <v>398</v>
      </c>
      <c r="OBD93">
        <v>1</v>
      </c>
      <c r="OBE93" t="s">
        <v>438</v>
      </c>
      <c r="OBF93" t="s">
        <v>440</v>
      </c>
      <c r="OBG93" t="s">
        <v>428</v>
      </c>
      <c r="OBI93" t="s">
        <v>114</v>
      </c>
      <c r="OBJ93" t="s">
        <v>113</v>
      </c>
      <c r="OBK93" t="s">
        <v>398</v>
      </c>
      <c r="OBL93">
        <v>1</v>
      </c>
      <c r="OBM93" t="s">
        <v>438</v>
      </c>
      <c r="OBN93" t="s">
        <v>440</v>
      </c>
      <c r="OBO93" t="s">
        <v>428</v>
      </c>
      <c r="OBQ93" t="s">
        <v>114</v>
      </c>
      <c r="OBR93" t="s">
        <v>113</v>
      </c>
      <c r="OBS93" t="s">
        <v>398</v>
      </c>
      <c r="OBT93">
        <v>1</v>
      </c>
      <c r="OBU93" t="s">
        <v>438</v>
      </c>
      <c r="OBV93" t="s">
        <v>440</v>
      </c>
      <c r="OBW93" t="s">
        <v>428</v>
      </c>
      <c r="OBY93" t="s">
        <v>114</v>
      </c>
      <c r="OBZ93" t="s">
        <v>113</v>
      </c>
      <c r="OCA93" t="s">
        <v>398</v>
      </c>
      <c r="OCB93">
        <v>1</v>
      </c>
      <c r="OCC93" t="s">
        <v>438</v>
      </c>
      <c r="OCD93" t="s">
        <v>440</v>
      </c>
      <c r="OCE93" t="s">
        <v>428</v>
      </c>
      <c r="OCG93" t="s">
        <v>114</v>
      </c>
      <c r="OCH93" t="s">
        <v>113</v>
      </c>
      <c r="OCI93" t="s">
        <v>398</v>
      </c>
      <c r="OCJ93">
        <v>1</v>
      </c>
      <c r="OCK93" t="s">
        <v>438</v>
      </c>
      <c r="OCL93" t="s">
        <v>440</v>
      </c>
      <c r="OCM93" t="s">
        <v>428</v>
      </c>
      <c r="OCO93" t="s">
        <v>114</v>
      </c>
      <c r="OCP93" t="s">
        <v>113</v>
      </c>
      <c r="OCQ93" t="s">
        <v>398</v>
      </c>
      <c r="OCR93">
        <v>1</v>
      </c>
      <c r="OCS93" t="s">
        <v>438</v>
      </c>
      <c r="OCT93" t="s">
        <v>440</v>
      </c>
      <c r="OCU93" t="s">
        <v>428</v>
      </c>
      <c r="OCW93" t="s">
        <v>114</v>
      </c>
      <c r="OCX93" t="s">
        <v>113</v>
      </c>
      <c r="OCY93" t="s">
        <v>398</v>
      </c>
      <c r="OCZ93">
        <v>1</v>
      </c>
      <c r="ODA93" t="s">
        <v>438</v>
      </c>
      <c r="ODB93" t="s">
        <v>440</v>
      </c>
      <c r="ODC93" t="s">
        <v>428</v>
      </c>
      <c r="ODE93" t="s">
        <v>114</v>
      </c>
      <c r="ODF93" t="s">
        <v>113</v>
      </c>
      <c r="ODG93" t="s">
        <v>398</v>
      </c>
      <c r="ODH93">
        <v>1</v>
      </c>
      <c r="ODI93" t="s">
        <v>438</v>
      </c>
      <c r="ODJ93" t="s">
        <v>440</v>
      </c>
      <c r="ODK93" t="s">
        <v>428</v>
      </c>
      <c r="ODM93" t="s">
        <v>114</v>
      </c>
      <c r="ODN93" t="s">
        <v>113</v>
      </c>
      <c r="ODO93" t="s">
        <v>398</v>
      </c>
      <c r="ODP93">
        <v>1</v>
      </c>
      <c r="ODQ93" t="s">
        <v>438</v>
      </c>
      <c r="ODR93" t="s">
        <v>440</v>
      </c>
      <c r="ODS93" t="s">
        <v>428</v>
      </c>
      <c r="ODU93" t="s">
        <v>114</v>
      </c>
      <c r="ODV93" t="s">
        <v>113</v>
      </c>
      <c r="ODW93" t="s">
        <v>398</v>
      </c>
      <c r="ODX93">
        <v>1</v>
      </c>
      <c r="ODY93" t="s">
        <v>438</v>
      </c>
      <c r="ODZ93" t="s">
        <v>440</v>
      </c>
      <c r="OEA93" t="s">
        <v>428</v>
      </c>
      <c r="OEC93" t="s">
        <v>114</v>
      </c>
      <c r="OED93" t="s">
        <v>113</v>
      </c>
      <c r="OEE93" t="s">
        <v>398</v>
      </c>
      <c r="OEF93">
        <v>1</v>
      </c>
      <c r="OEG93" t="s">
        <v>438</v>
      </c>
      <c r="OEH93" t="s">
        <v>440</v>
      </c>
      <c r="OEI93" t="s">
        <v>428</v>
      </c>
      <c r="OEK93" t="s">
        <v>114</v>
      </c>
      <c r="OEL93" t="s">
        <v>113</v>
      </c>
      <c r="OEM93" t="s">
        <v>398</v>
      </c>
      <c r="OEN93">
        <v>1</v>
      </c>
      <c r="OEO93" t="s">
        <v>438</v>
      </c>
      <c r="OEP93" t="s">
        <v>440</v>
      </c>
      <c r="OEQ93" t="s">
        <v>428</v>
      </c>
      <c r="OES93" t="s">
        <v>114</v>
      </c>
      <c r="OET93" t="s">
        <v>113</v>
      </c>
      <c r="OEU93" t="s">
        <v>398</v>
      </c>
      <c r="OEV93">
        <v>1</v>
      </c>
      <c r="OEW93" t="s">
        <v>438</v>
      </c>
      <c r="OEX93" t="s">
        <v>440</v>
      </c>
      <c r="OEY93" t="s">
        <v>428</v>
      </c>
      <c r="OFA93" t="s">
        <v>114</v>
      </c>
      <c r="OFB93" t="s">
        <v>113</v>
      </c>
      <c r="OFC93" t="s">
        <v>398</v>
      </c>
      <c r="OFD93">
        <v>1</v>
      </c>
      <c r="OFE93" t="s">
        <v>438</v>
      </c>
      <c r="OFF93" t="s">
        <v>440</v>
      </c>
      <c r="OFG93" t="s">
        <v>428</v>
      </c>
      <c r="OFI93" t="s">
        <v>114</v>
      </c>
      <c r="OFJ93" t="s">
        <v>113</v>
      </c>
      <c r="OFK93" t="s">
        <v>398</v>
      </c>
      <c r="OFL93">
        <v>1</v>
      </c>
      <c r="OFM93" t="s">
        <v>438</v>
      </c>
      <c r="OFN93" t="s">
        <v>440</v>
      </c>
      <c r="OFO93" t="s">
        <v>428</v>
      </c>
      <c r="OFQ93" t="s">
        <v>114</v>
      </c>
      <c r="OFR93" t="s">
        <v>113</v>
      </c>
      <c r="OFS93" t="s">
        <v>398</v>
      </c>
      <c r="OFT93">
        <v>1</v>
      </c>
      <c r="OFU93" t="s">
        <v>438</v>
      </c>
      <c r="OFV93" t="s">
        <v>440</v>
      </c>
      <c r="OFW93" t="s">
        <v>428</v>
      </c>
      <c r="OFY93" t="s">
        <v>114</v>
      </c>
      <c r="OFZ93" t="s">
        <v>113</v>
      </c>
      <c r="OGA93" t="s">
        <v>398</v>
      </c>
      <c r="OGB93">
        <v>1</v>
      </c>
      <c r="OGC93" t="s">
        <v>438</v>
      </c>
      <c r="OGD93" t="s">
        <v>440</v>
      </c>
      <c r="OGE93" t="s">
        <v>428</v>
      </c>
      <c r="OGG93" t="s">
        <v>114</v>
      </c>
      <c r="OGH93" t="s">
        <v>113</v>
      </c>
      <c r="OGI93" t="s">
        <v>398</v>
      </c>
      <c r="OGJ93">
        <v>1</v>
      </c>
      <c r="OGK93" t="s">
        <v>438</v>
      </c>
      <c r="OGL93" t="s">
        <v>440</v>
      </c>
      <c r="OGM93" t="s">
        <v>428</v>
      </c>
      <c r="OGO93" t="s">
        <v>114</v>
      </c>
      <c r="OGP93" t="s">
        <v>113</v>
      </c>
      <c r="OGQ93" t="s">
        <v>398</v>
      </c>
      <c r="OGR93">
        <v>1</v>
      </c>
      <c r="OGS93" t="s">
        <v>438</v>
      </c>
      <c r="OGT93" t="s">
        <v>440</v>
      </c>
      <c r="OGU93" t="s">
        <v>428</v>
      </c>
      <c r="OGW93" t="s">
        <v>114</v>
      </c>
      <c r="OGX93" t="s">
        <v>113</v>
      </c>
      <c r="OGY93" t="s">
        <v>398</v>
      </c>
      <c r="OGZ93">
        <v>1</v>
      </c>
      <c r="OHA93" t="s">
        <v>438</v>
      </c>
      <c r="OHB93" t="s">
        <v>440</v>
      </c>
      <c r="OHC93" t="s">
        <v>428</v>
      </c>
      <c r="OHE93" t="s">
        <v>114</v>
      </c>
      <c r="OHF93" t="s">
        <v>113</v>
      </c>
      <c r="OHG93" t="s">
        <v>398</v>
      </c>
      <c r="OHH93">
        <v>1</v>
      </c>
      <c r="OHI93" t="s">
        <v>438</v>
      </c>
      <c r="OHJ93" t="s">
        <v>440</v>
      </c>
      <c r="OHK93" t="s">
        <v>428</v>
      </c>
      <c r="OHM93" t="s">
        <v>114</v>
      </c>
      <c r="OHN93" t="s">
        <v>113</v>
      </c>
      <c r="OHO93" t="s">
        <v>398</v>
      </c>
      <c r="OHP93">
        <v>1</v>
      </c>
      <c r="OHQ93" t="s">
        <v>438</v>
      </c>
      <c r="OHR93" t="s">
        <v>440</v>
      </c>
      <c r="OHS93" t="s">
        <v>428</v>
      </c>
      <c r="OHU93" t="s">
        <v>114</v>
      </c>
      <c r="OHV93" t="s">
        <v>113</v>
      </c>
      <c r="OHW93" t="s">
        <v>398</v>
      </c>
      <c r="OHX93">
        <v>1</v>
      </c>
      <c r="OHY93" t="s">
        <v>438</v>
      </c>
      <c r="OHZ93" t="s">
        <v>440</v>
      </c>
      <c r="OIA93" t="s">
        <v>428</v>
      </c>
      <c r="OIC93" t="s">
        <v>114</v>
      </c>
      <c r="OID93" t="s">
        <v>113</v>
      </c>
      <c r="OIE93" t="s">
        <v>398</v>
      </c>
      <c r="OIF93">
        <v>1</v>
      </c>
      <c r="OIG93" t="s">
        <v>438</v>
      </c>
      <c r="OIH93" t="s">
        <v>440</v>
      </c>
      <c r="OII93" t="s">
        <v>428</v>
      </c>
      <c r="OIK93" t="s">
        <v>114</v>
      </c>
      <c r="OIL93" t="s">
        <v>113</v>
      </c>
      <c r="OIM93" t="s">
        <v>398</v>
      </c>
      <c r="OIN93">
        <v>1</v>
      </c>
      <c r="OIO93" t="s">
        <v>438</v>
      </c>
      <c r="OIP93" t="s">
        <v>440</v>
      </c>
      <c r="OIQ93" t="s">
        <v>428</v>
      </c>
      <c r="OIS93" t="s">
        <v>114</v>
      </c>
      <c r="OIT93" t="s">
        <v>113</v>
      </c>
      <c r="OIU93" t="s">
        <v>398</v>
      </c>
      <c r="OIV93">
        <v>1</v>
      </c>
      <c r="OIW93" t="s">
        <v>438</v>
      </c>
      <c r="OIX93" t="s">
        <v>440</v>
      </c>
      <c r="OIY93" t="s">
        <v>428</v>
      </c>
      <c r="OJA93" t="s">
        <v>114</v>
      </c>
      <c r="OJB93" t="s">
        <v>113</v>
      </c>
      <c r="OJC93" t="s">
        <v>398</v>
      </c>
      <c r="OJD93">
        <v>1</v>
      </c>
      <c r="OJE93" t="s">
        <v>438</v>
      </c>
      <c r="OJF93" t="s">
        <v>440</v>
      </c>
      <c r="OJG93" t="s">
        <v>428</v>
      </c>
      <c r="OJI93" t="s">
        <v>114</v>
      </c>
      <c r="OJJ93" t="s">
        <v>113</v>
      </c>
      <c r="OJK93" t="s">
        <v>398</v>
      </c>
      <c r="OJL93">
        <v>1</v>
      </c>
      <c r="OJM93" t="s">
        <v>438</v>
      </c>
      <c r="OJN93" t="s">
        <v>440</v>
      </c>
      <c r="OJO93" t="s">
        <v>428</v>
      </c>
      <c r="OJQ93" t="s">
        <v>114</v>
      </c>
      <c r="OJR93" t="s">
        <v>113</v>
      </c>
      <c r="OJS93" t="s">
        <v>398</v>
      </c>
      <c r="OJT93">
        <v>1</v>
      </c>
      <c r="OJU93" t="s">
        <v>438</v>
      </c>
      <c r="OJV93" t="s">
        <v>440</v>
      </c>
      <c r="OJW93" t="s">
        <v>428</v>
      </c>
      <c r="OJY93" t="s">
        <v>114</v>
      </c>
      <c r="OJZ93" t="s">
        <v>113</v>
      </c>
      <c r="OKA93" t="s">
        <v>398</v>
      </c>
      <c r="OKB93">
        <v>1</v>
      </c>
      <c r="OKC93" t="s">
        <v>438</v>
      </c>
      <c r="OKD93" t="s">
        <v>440</v>
      </c>
      <c r="OKE93" t="s">
        <v>428</v>
      </c>
      <c r="OKG93" t="s">
        <v>114</v>
      </c>
      <c r="OKH93" t="s">
        <v>113</v>
      </c>
      <c r="OKI93" t="s">
        <v>398</v>
      </c>
      <c r="OKJ93">
        <v>1</v>
      </c>
      <c r="OKK93" t="s">
        <v>438</v>
      </c>
      <c r="OKL93" t="s">
        <v>440</v>
      </c>
      <c r="OKM93" t="s">
        <v>428</v>
      </c>
      <c r="OKO93" t="s">
        <v>114</v>
      </c>
      <c r="OKP93" t="s">
        <v>113</v>
      </c>
      <c r="OKQ93" t="s">
        <v>398</v>
      </c>
      <c r="OKR93">
        <v>1</v>
      </c>
      <c r="OKS93" t="s">
        <v>438</v>
      </c>
      <c r="OKT93" t="s">
        <v>440</v>
      </c>
      <c r="OKU93" t="s">
        <v>428</v>
      </c>
      <c r="OKW93" t="s">
        <v>114</v>
      </c>
      <c r="OKX93" t="s">
        <v>113</v>
      </c>
      <c r="OKY93" t="s">
        <v>398</v>
      </c>
      <c r="OKZ93">
        <v>1</v>
      </c>
      <c r="OLA93" t="s">
        <v>438</v>
      </c>
      <c r="OLB93" t="s">
        <v>440</v>
      </c>
      <c r="OLC93" t="s">
        <v>428</v>
      </c>
      <c r="OLE93" t="s">
        <v>114</v>
      </c>
      <c r="OLF93" t="s">
        <v>113</v>
      </c>
      <c r="OLG93" t="s">
        <v>398</v>
      </c>
      <c r="OLH93">
        <v>1</v>
      </c>
      <c r="OLI93" t="s">
        <v>438</v>
      </c>
      <c r="OLJ93" t="s">
        <v>440</v>
      </c>
      <c r="OLK93" t="s">
        <v>428</v>
      </c>
      <c r="OLM93" t="s">
        <v>114</v>
      </c>
      <c r="OLN93" t="s">
        <v>113</v>
      </c>
      <c r="OLO93" t="s">
        <v>398</v>
      </c>
      <c r="OLP93">
        <v>1</v>
      </c>
      <c r="OLQ93" t="s">
        <v>438</v>
      </c>
      <c r="OLR93" t="s">
        <v>440</v>
      </c>
      <c r="OLS93" t="s">
        <v>428</v>
      </c>
      <c r="OLU93" t="s">
        <v>114</v>
      </c>
      <c r="OLV93" t="s">
        <v>113</v>
      </c>
      <c r="OLW93" t="s">
        <v>398</v>
      </c>
      <c r="OLX93">
        <v>1</v>
      </c>
      <c r="OLY93" t="s">
        <v>438</v>
      </c>
      <c r="OLZ93" t="s">
        <v>440</v>
      </c>
      <c r="OMA93" t="s">
        <v>428</v>
      </c>
      <c r="OMC93" t="s">
        <v>114</v>
      </c>
      <c r="OMD93" t="s">
        <v>113</v>
      </c>
      <c r="OME93" t="s">
        <v>398</v>
      </c>
      <c r="OMF93">
        <v>1</v>
      </c>
      <c r="OMG93" t="s">
        <v>438</v>
      </c>
      <c r="OMH93" t="s">
        <v>440</v>
      </c>
      <c r="OMI93" t="s">
        <v>428</v>
      </c>
      <c r="OMK93" t="s">
        <v>114</v>
      </c>
      <c r="OML93" t="s">
        <v>113</v>
      </c>
      <c r="OMM93" t="s">
        <v>398</v>
      </c>
      <c r="OMN93">
        <v>1</v>
      </c>
      <c r="OMO93" t="s">
        <v>438</v>
      </c>
      <c r="OMP93" t="s">
        <v>440</v>
      </c>
      <c r="OMQ93" t="s">
        <v>428</v>
      </c>
      <c r="OMS93" t="s">
        <v>114</v>
      </c>
      <c r="OMT93" t="s">
        <v>113</v>
      </c>
      <c r="OMU93" t="s">
        <v>398</v>
      </c>
      <c r="OMV93">
        <v>1</v>
      </c>
      <c r="OMW93" t="s">
        <v>438</v>
      </c>
      <c r="OMX93" t="s">
        <v>440</v>
      </c>
      <c r="OMY93" t="s">
        <v>428</v>
      </c>
      <c r="ONA93" t="s">
        <v>114</v>
      </c>
      <c r="ONB93" t="s">
        <v>113</v>
      </c>
      <c r="ONC93" t="s">
        <v>398</v>
      </c>
      <c r="OND93">
        <v>1</v>
      </c>
      <c r="ONE93" t="s">
        <v>438</v>
      </c>
      <c r="ONF93" t="s">
        <v>440</v>
      </c>
      <c r="ONG93" t="s">
        <v>428</v>
      </c>
      <c r="ONI93" t="s">
        <v>114</v>
      </c>
      <c r="ONJ93" t="s">
        <v>113</v>
      </c>
      <c r="ONK93" t="s">
        <v>398</v>
      </c>
      <c r="ONL93">
        <v>1</v>
      </c>
      <c r="ONM93" t="s">
        <v>438</v>
      </c>
      <c r="ONN93" t="s">
        <v>440</v>
      </c>
      <c r="ONO93" t="s">
        <v>428</v>
      </c>
      <c r="ONQ93" t="s">
        <v>114</v>
      </c>
      <c r="ONR93" t="s">
        <v>113</v>
      </c>
      <c r="ONS93" t="s">
        <v>398</v>
      </c>
      <c r="ONT93">
        <v>1</v>
      </c>
      <c r="ONU93" t="s">
        <v>438</v>
      </c>
      <c r="ONV93" t="s">
        <v>440</v>
      </c>
      <c r="ONW93" t="s">
        <v>428</v>
      </c>
      <c r="ONY93" t="s">
        <v>114</v>
      </c>
      <c r="ONZ93" t="s">
        <v>113</v>
      </c>
      <c r="OOA93" t="s">
        <v>398</v>
      </c>
      <c r="OOB93">
        <v>1</v>
      </c>
      <c r="OOC93" t="s">
        <v>438</v>
      </c>
      <c r="OOD93" t="s">
        <v>440</v>
      </c>
      <c r="OOE93" t="s">
        <v>428</v>
      </c>
      <c r="OOG93" t="s">
        <v>114</v>
      </c>
      <c r="OOH93" t="s">
        <v>113</v>
      </c>
      <c r="OOI93" t="s">
        <v>398</v>
      </c>
      <c r="OOJ93">
        <v>1</v>
      </c>
      <c r="OOK93" t="s">
        <v>438</v>
      </c>
      <c r="OOL93" t="s">
        <v>440</v>
      </c>
      <c r="OOM93" t="s">
        <v>428</v>
      </c>
      <c r="OOO93" t="s">
        <v>114</v>
      </c>
      <c r="OOP93" t="s">
        <v>113</v>
      </c>
      <c r="OOQ93" t="s">
        <v>398</v>
      </c>
      <c r="OOR93">
        <v>1</v>
      </c>
      <c r="OOS93" t="s">
        <v>438</v>
      </c>
      <c r="OOT93" t="s">
        <v>440</v>
      </c>
      <c r="OOU93" t="s">
        <v>428</v>
      </c>
      <c r="OOW93" t="s">
        <v>114</v>
      </c>
      <c r="OOX93" t="s">
        <v>113</v>
      </c>
      <c r="OOY93" t="s">
        <v>398</v>
      </c>
      <c r="OOZ93">
        <v>1</v>
      </c>
      <c r="OPA93" t="s">
        <v>438</v>
      </c>
      <c r="OPB93" t="s">
        <v>440</v>
      </c>
      <c r="OPC93" t="s">
        <v>428</v>
      </c>
      <c r="OPE93" t="s">
        <v>114</v>
      </c>
      <c r="OPF93" t="s">
        <v>113</v>
      </c>
      <c r="OPG93" t="s">
        <v>398</v>
      </c>
      <c r="OPH93">
        <v>1</v>
      </c>
      <c r="OPI93" t="s">
        <v>438</v>
      </c>
      <c r="OPJ93" t="s">
        <v>440</v>
      </c>
      <c r="OPK93" t="s">
        <v>428</v>
      </c>
      <c r="OPM93" t="s">
        <v>114</v>
      </c>
      <c r="OPN93" t="s">
        <v>113</v>
      </c>
      <c r="OPO93" t="s">
        <v>398</v>
      </c>
      <c r="OPP93">
        <v>1</v>
      </c>
      <c r="OPQ93" t="s">
        <v>438</v>
      </c>
      <c r="OPR93" t="s">
        <v>440</v>
      </c>
      <c r="OPS93" t="s">
        <v>428</v>
      </c>
      <c r="OPU93" t="s">
        <v>114</v>
      </c>
      <c r="OPV93" t="s">
        <v>113</v>
      </c>
      <c r="OPW93" t="s">
        <v>398</v>
      </c>
      <c r="OPX93">
        <v>1</v>
      </c>
      <c r="OPY93" t="s">
        <v>438</v>
      </c>
      <c r="OPZ93" t="s">
        <v>440</v>
      </c>
      <c r="OQA93" t="s">
        <v>428</v>
      </c>
      <c r="OQC93" t="s">
        <v>114</v>
      </c>
      <c r="OQD93" t="s">
        <v>113</v>
      </c>
      <c r="OQE93" t="s">
        <v>398</v>
      </c>
      <c r="OQF93">
        <v>1</v>
      </c>
      <c r="OQG93" t="s">
        <v>438</v>
      </c>
      <c r="OQH93" t="s">
        <v>440</v>
      </c>
      <c r="OQI93" t="s">
        <v>428</v>
      </c>
      <c r="OQK93" t="s">
        <v>114</v>
      </c>
      <c r="OQL93" t="s">
        <v>113</v>
      </c>
      <c r="OQM93" t="s">
        <v>398</v>
      </c>
      <c r="OQN93">
        <v>1</v>
      </c>
      <c r="OQO93" t="s">
        <v>438</v>
      </c>
      <c r="OQP93" t="s">
        <v>440</v>
      </c>
      <c r="OQQ93" t="s">
        <v>428</v>
      </c>
      <c r="OQS93" t="s">
        <v>114</v>
      </c>
      <c r="OQT93" t="s">
        <v>113</v>
      </c>
      <c r="OQU93" t="s">
        <v>398</v>
      </c>
      <c r="OQV93">
        <v>1</v>
      </c>
      <c r="OQW93" t="s">
        <v>438</v>
      </c>
      <c r="OQX93" t="s">
        <v>440</v>
      </c>
      <c r="OQY93" t="s">
        <v>428</v>
      </c>
      <c r="ORA93" t="s">
        <v>114</v>
      </c>
      <c r="ORB93" t="s">
        <v>113</v>
      </c>
      <c r="ORC93" t="s">
        <v>398</v>
      </c>
      <c r="ORD93">
        <v>1</v>
      </c>
      <c r="ORE93" t="s">
        <v>438</v>
      </c>
      <c r="ORF93" t="s">
        <v>440</v>
      </c>
      <c r="ORG93" t="s">
        <v>428</v>
      </c>
      <c r="ORI93" t="s">
        <v>114</v>
      </c>
      <c r="ORJ93" t="s">
        <v>113</v>
      </c>
      <c r="ORK93" t="s">
        <v>398</v>
      </c>
      <c r="ORL93">
        <v>1</v>
      </c>
      <c r="ORM93" t="s">
        <v>438</v>
      </c>
      <c r="ORN93" t="s">
        <v>440</v>
      </c>
      <c r="ORO93" t="s">
        <v>428</v>
      </c>
      <c r="ORQ93" t="s">
        <v>114</v>
      </c>
      <c r="ORR93" t="s">
        <v>113</v>
      </c>
      <c r="ORS93" t="s">
        <v>398</v>
      </c>
      <c r="ORT93">
        <v>1</v>
      </c>
      <c r="ORU93" t="s">
        <v>438</v>
      </c>
      <c r="ORV93" t="s">
        <v>440</v>
      </c>
      <c r="ORW93" t="s">
        <v>428</v>
      </c>
      <c r="ORY93" t="s">
        <v>114</v>
      </c>
      <c r="ORZ93" t="s">
        <v>113</v>
      </c>
      <c r="OSA93" t="s">
        <v>398</v>
      </c>
      <c r="OSB93">
        <v>1</v>
      </c>
      <c r="OSC93" t="s">
        <v>438</v>
      </c>
      <c r="OSD93" t="s">
        <v>440</v>
      </c>
      <c r="OSE93" t="s">
        <v>428</v>
      </c>
      <c r="OSG93" t="s">
        <v>114</v>
      </c>
      <c r="OSH93" t="s">
        <v>113</v>
      </c>
      <c r="OSI93" t="s">
        <v>398</v>
      </c>
      <c r="OSJ93">
        <v>1</v>
      </c>
      <c r="OSK93" t="s">
        <v>438</v>
      </c>
      <c r="OSL93" t="s">
        <v>440</v>
      </c>
      <c r="OSM93" t="s">
        <v>428</v>
      </c>
      <c r="OSO93" t="s">
        <v>114</v>
      </c>
      <c r="OSP93" t="s">
        <v>113</v>
      </c>
      <c r="OSQ93" t="s">
        <v>398</v>
      </c>
      <c r="OSR93">
        <v>1</v>
      </c>
      <c r="OSS93" t="s">
        <v>438</v>
      </c>
      <c r="OST93" t="s">
        <v>440</v>
      </c>
      <c r="OSU93" t="s">
        <v>428</v>
      </c>
      <c r="OSW93" t="s">
        <v>114</v>
      </c>
      <c r="OSX93" t="s">
        <v>113</v>
      </c>
      <c r="OSY93" t="s">
        <v>398</v>
      </c>
      <c r="OSZ93">
        <v>1</v>
      </c>
      <c r="OTA93" t="s">
        <v>438</v>
      </c>
      <c r="OTB93" t="s">
        <v>440</v>
      </c>
      <c r="OTC93" t="s">
        <v>428</v>
      </c>
      <c r="OTE93" t="s">
        <v>114</v>
      </c>
      <c r="OTF93" t="s">
        <v>113</v>
      </c>
      <c r="OTG93" t="s">
        <v>398</v>
      </c>
      <c r="OTH93">
        <v>1</v>
      </c>
      <c r="OTI93" t="s">
        <v>438</v>
      </c>
      <c r="OTJ93" t="s">
        <v>440</v>
      </c>
      <c r="OTK93" t="s">
        <v>428</v>
      </c>
      <c r="OTM93" t="s">
        <v>114</v>
      </c>
      <c r="OTN93" t="s">
        <v>113</v>
      </c>
      <c r="OTO93" t="s">
        <v>398</v>
      </c>
      <c r="OTP93">
        <v>1</v>
      </c>
      <c r="OTQ93" t="s">
        <v>438</v>
      </c>
      <c r="OTR93" t="s">
        <v>440</v>
      </c>
      <c r="OTS93" t="s">
        <v>428</v>
      </c>
      <c r="OTU93" t="s">
        <v>114</v>
      </c>
      <c r="OTV93" t="s">
        <v>113</v>
      </c>
      <c r="OTW93" t="s">
        <v>398</v>
      </c>
      <c r="OTX93">
        <v>1</v>
      </c>
      <c r="OTY93" t="s">
        <v>438</v>
      </c>
      <c r="OTZ93" t="s">
        <v>440</v>
      </c>
      <c r="OUA93" t="s">
        <v>428</v>
      </c>
      <c r="OUC93" t="s">
        <v>114</v>
      </c>
      <c r="OUD93" t="s">
        <v>113</v>
      </c>
      <c r="OUE93" t="s">
        <v>398</v>
      </c>
      <c r="OUF93">
        <v>1</v>
      </c>
      <c r="OUG93" t="s">
        <v>438</v>
      </c>
      <c r="OUH93" t="s">
        <v>440</v>
      </c>
      <c r="OUI93" t="s">
        <v>428</v>
      </c>
      <c r="OUK93" t="s">
        <v>114</v>
      </c>
      <c r="OUL93" t="s">
        <v>113</v>
      </c>
      <c r="OUM93" t="s">
        <v>398</v>
      </c>
      <c r="OUN93">
        <v>1</v>
      </c>
      <c r="OUO93" t="s">
        <v>438</v>
      </c>
      <c r="OUP93" t="s">
        <v>440</v>
      </c>
      <c r="OUQ93" t="s">
        <v>428</v>
      </c>
      <c r="OUS93" t="s">
        <v>114</v>
      </c>
      <c r="OUT93" t="s">
        <v>113</v>
      </c>
      <c r="OUU93" t="s">
        <v>398</v>
      </c>
      <c r="OUV93">
        <v>1</v>
      </c>
      <c r="OUW93" t="s">
        <v>438</v>
      </c>
      <c r="OUX93" t="s">
        <v>440</v>
      </c>
      <c r="OUY93" t="s">
        <v>428</v>
      </c>
      <c r="OVA93" t="s">
        <v>114</v>
      </c>
      <c r="OVB93" t="s">
        <v>113</v>
      </c>
      <c r="OVC93" t="s">
        <v>398</v>
      </c>
      <c r="OVD93">
        <v>1</v>
      </c>
      <c r="OVE93" t="s">
        <v>438</v>
      </c>
      <c r="OVF93" t="s">
        <v>440</v>
      </c>
      <c r="OVG93" t="s">
        <v>428</v>
      </c>
      <c r="OVI93" t="s">
        <v>114</v>
      </c>
      <c r="OVJ93" t="s">
        <v>113</v>
      </c>
      <c r="OVK93" t="s">
        <v>398</v>
      </c>
      <c r="OVL93">
        <v>1</v>
      </c>
      <c r="OVM93" t="s">
        <v>438</v>
      </c>
      <c r="OVN93" t="s">
        <v>440</v>
      </c>
      <c r="OVO93" t="s">
        <v>428</v>
      </c>
      <c r="OVQ93" t="s">
        <v>114</v>
      </c>
      <c r="OVR93" t="s">
        <v>113</v>
      </c>
      <c r="OVS93" t="s">
        <v>398</v>
      </c>
      <c r="OVT93">
        <v>1</v>
      </c>
      <c r="OVU93" t="s">
        <v>438</v>
      </c>
      <c r="OVV93" t="s">
        <v>440</v>
      </c>
      <c r="OVW93" t="s">
        <v>428</v>
      </c>
      <c r="OVY93" t="s">
        <v>114</v>
      </c>
      <c r="OVZ93" t="s">
        <v>113</v>
      </c>
      <c r="OWA93" t="s">
        <v>398</v>
      </c>
      <c r="OWB93">
        <v>1</v>
      </c>
      <c r="OWC93" t="s">
        <v>438</v>
      </c>
      <c r="OWD93" t="s">
        <v>440</v>
      </c>
      <c r="OWE93" t="s">
        <v>428</v>
      </c>
      <c r="OWG93" t="s">
        <v>114</v>
      </c>
      <c r="OWH93" t="s">
        <v>113</v>
      </c>
      <c r="OWI93" t="s">
        <v>398</v>
      </c>
      <c r="OWJ93">
        <v>1</v>
      </c>
      <c r="OWK93" t="s">
        <v>438</v>
      </c>
      <c r="OWL93" t="s">
        <v>440</v>
      </c>
      <c r="OWM93" t="s">
        <v>428</v>
      </c>
      <c r="OWO93" t="s">
        <v>114</v>
      </c>
      <c r="OWP93" t="s">
        <v>113</v>
      </c>
      <c r="OWQ93" t="s">
        <v>398</v>
      </c>
      <c r="OWR93">
        <v>1</v>
      </c>
      <c r="OWS93" t="s">
        <v>438</v>
      </c>
      <c r="OWT93" t="s">
        <v>440</v>
      </c>
      <c r="OWU93" t="s">
        <v>428</v>
      </c>
      <c r="OWW93" t="s">
        <v>114</v>
      </c>
      <c r="OWX93" t="s">
        <v>113</v>
      </c>
      <c r="OWY93" t="s">
        <v>398</v>
      </c>
      <c r="OWZ93">
        <v>1</v>
      </c>
      <c r="OXA93" t="s">
        <v>438</v>
      </c>
      <c r="OXB93" t="s">
        <v>440</v>
      </c>
      <c r="OXC93" t="s">
        <v>428</v>
      </c>
      <c r="OXE93" t="s">
        <v>114</v>
      </c>
      <c r="OXF93" t="s">
        <v>113</v>
      </c>
      <c r="OXG93" t="s">
        <v>398</v>
      </c>
      <c r="OXH93">
        <v>1</v>
      </c>
      <c r="OXI93" t="s">
        <v>438</v>
      </c>
      <c r="OXJ93" t="s">
        <v>440</v>
      </c>
      <c r="OXK93" t="s">
        <v>428</v>
      </c>
      <c r="OXM93" t="s">
        <v>114</v>
      </c>
      <c r="OXN93" t="s">
        <v>113</v>
      </c>
      <c r="OXO93" t="s">
        <v>398</v>
      </c>
      <c r="OXP93">
        <v>1</v>
      </c>
      <c r="OXQ93" t="s">
        <v>438</v>
      </c>
      <c r="OXR93" t="s">
        <v>440</v>
      </c>
      <c r="OXS93" t="s">
        <v>428</v>
      </c>
      <c r="OXU93" t="s">
        <v>114</v>
      </c>
      <c r="OXV93" t="s">
        <v>113</v>
      </c>
      <c r="OXW93" t="s">
        <v>398</v>
      </c>
      <c r="OXX93">
        <v>1</v>
      </c>
      <c r="OXY93" t="s">
        <v>438</v>
      </c>
      <c r="OXZ93" t="s">
        <v>440</v>
      </c>
      <c r="OYA93" t="s">
        <v>428</v>
      </c>
      <c r="OYC93" t="s">
        <v>114</v>
      </c>
      <c r="OYD93" t="s">
        <v>113</v>
      </c>
      <c r="OYE93" t="s">
        <v>398</v>
      </c>
      <c r="OYF93">
        <v>1</v>
      </c>
      <c r="OYG93" t="s">
        <v>438</v>
      </c>
      <c r="OYH93" t="s">
        <v>440</v>
      </c>
      <c r="OYI93" t="s">
        <v>428</v>
      </c>
      <c r="OYK93" t="s">
        <v>114</v>
      </c>
      <c r="OYL93" t="s">
        <v>113</v>
      </c>
      <c r="OYM93" t="s">
        <v>398</v>
      </c>
      <c r="OYN93">
        <v>1</v>
      </c>
      <c r="OYO93" t="s">
        <v>438</v>
      </c>
      <c r="OYP93" t="s">
        <v>440</v>
      </c>
      <c r="OYQ93" t="s">
        <v>428</v>
      </c>
      <c r="OYS93" t="s">
        <v>114</v>
      </c>
      <c r="OYT93" t="s">
        <v>113</v>
      </c>
      <c r="OYU93" t="s">
        <v>398</v>
      </c>
      <c r="OYV93">
        <v>1</v>
      </c>
      <c r="OYW93" t="s">
        <v>438</v>
      </c>
      <c r="OYX93" t="s">
        <v>440</v>
      </c>
      <c r="OYY93" t="s">
        <v>428</v>
      </c>
      <c r="OZA93" t="s">
        <v>114</v>
      </c>
      <c r="OZB93" t="s">
        <v>113</v>
      </c>
      <c r="OZC93" t="s">
        <v>398</v>
      </c>
      <c r="OZD93">
        <v>1</v>
      </c>
      <c r="OZE93" t="s">
        <v>438</v>
      </c>
      <c r="OZF93" t="s">
        <v>440</v>
      </c>
      <c r="OZG93" t="s">
        <v>428</v>
      </c>
      <c r="OZI93" t="s">
        <v>114</v>
      </c>
      <c r="OZJ93" t="s">
        <v>113</v>
      </c>
      <c r="OZK93" t="s">
        <v>398</v>
      </c>
      <c r="OZL93">
        <v>1</v>
      </c>
      <c r="OZM93" t="s">
        <v>438</v>
      </c>
      <c r="OZN93" t="s">
        <v>440</v>
      </c>
      <c r="OZO93" t="s">
        <v>428</v>
      </c>
      <c r="OZQ93" t="s">
        <v>114</v>
      </c>
      <c r="OZR93" t="s">
        <v>113</v>
      </c>
      <c r="OZS93" t="s">
        <v>398</v>
      </c>
      <c r="OZT93">
        <v>1</v>
      </c>
      <c r="OZU93" t="s">
        <v>438</v>
      </c>
      <c r="OZV93" t="s">
        <v>440</v>
      </c>
      <c r="OZW93" t="s">
        <v>428</v>
      </c>
      <c r="OZY93" t="s">
        <v>114</v>
      </c>
      <c r="OZZ93" t="s">
        <v>113</v>
      </c>
      <c r="PAA93" t="s">
        <v>398</v>
      </c>
      <c r="PAB93">
        <v>1</v>
      </c>
      <c r="PAC93" t="s">
        <v>438</v>
      </c>
      <c r="PAD93" t="s">
        <v>440</v>
      </c>
      <c r="PAE93" t="s">
        <v>428</v>
      </c>
      <c r="PAG93" t="s">
        <v>114</v>
      </c>
      <c r="PAH93" t="s">
        <v>113</v>
      </c>
      <c r="PAI93" t="s">
        <v>398</v>
      </c>
      <c r="PAJ93">
        <v>1</v>
      </c>
      <c r="PAK93" t="s">
        <v>438</v>
      </c>
      <c r="PAL93" t="s">
        <v>440</v>
      </c>
      <c r="PAM93" t="s">
        <v>428</v>
      </c>
      <c r="PAO93" t="s">
        <v>114</v>
      </c>
      <c r="PAP93" t="s">
        <v>113</v>
      </c>
      <c r="PAQ93" t="s">
        <v>398</v>
      </c>
      <c r="PAR93">
        <v>1</v>
      </c>
      <c r="PAS93" t="s">
        <v>438</v>
      </c>
      <c r="PAT93" t="s">
        <v>440</v>
      </c>
      <c r="PAU93" t="s">
        <v>428</v>
      </c>
      <c r="PAW93" t="s">
        <v>114</v>
      </c>
      <c r="PAX93" t="s">
        <v>113</v>
      </c>
      <c r="PAY93" t="s">
        <v>398</v>
      </c>
      <c r="PAZ93">
        <v>1</v>
      </c>
      <c r="PBA93" t="s">
        <v>438</v>
      </c>
      <c r="PBB93" t="s">
        <v>440</v>
      </c>
      <c r="PBC93" t="s">
        <v>428</v>
      </c>
      <c r="PBE93" t="s">
        <v>114</v>
      </c>
      <c r="PBF93" t="s">
        <v>113</v>
      </c>
      <c r="PBG93" t="s">
        <v>398</v>
      </c>
      <c r="PBH93">
        <v>1</v>
      </c>
      <c r="PBI93" t="s">
        <v>438</v>
      </c>
      <c r="PBJ93" t="s">
        <v>440</v>
      </c>
      <c r="PBK93" t="s">
        <v>428</v>
      </c>
      <c r="PBM93" t="s">
        <v>114</v>
      </c>
      <c r="PBN93" t="s">
        <v>113</v>
      </c>
      <c r="PBO93" t="s">
        <v>398</v>
      </c>
      <c r="PBP93">
        <v>1</v>
      </c>
      <c r="PBQ93" t="s">
        <v>438</v>
      </c>
      <c r="PBR93" t="s">
        <v>440</v>
      </c>
      <c r="PBS93" t="s">
        <v>428</v>
      </c>
      <c r="PBU93" t="s">
        <v>114</v>
      </c>
      <c r="PBV93" t="s">
        <v>113</v>
      </c>
      <c r="PBW93" t="s">
        <v>398</v>
      </c>
      <c r="PBX93">
        <v>1</v>
      </c>
      <c r="PBY93" t="s">
        <v>438</v>
      </c>
      <c r="PBZ93" t="s">
        <v>440</v>
      </c>
      <c r="PCA93" t="s">
        <v>428</v>
      </c>
      <c r="PCC93" t="s">
        <v>114</v>
      </c>
      <c r="PCD93" t="s">
        <v>113</v>
      </c>
      <c r="PCE93" t="s">
        <v>398</v>
      </c>
      <c r="PCF93">
        <v>1</v>
      </c>
      <c r="PCG93" t="s">
        <v>438</v>
      </c>
      <c r="PCH93" t="s">
        <v>440</v>
      </c>
      <c r="PCI93" t="s">
        <v>428</v>
      </c>
      <c r="PCK93" t="s">
        <v>114</v>
      </c>
      <c r="PCL93" t="s">
        <v>113</v>
      </c>
      <c r="PCM93" t="s">
        <v>398</v>
      </c>
      <c r="PCN93">
        <v>1</v>
      </c>
      <c r="PCO93" t="s">
        <v>438</v>
      </c>
      <c r="PCP93" t="s">
        <v>440</v>
      </c>
      <c r="PCQ93" t="s">
        <v>428</v>
      </c>
      <c r="PCS93" t="s">
        <v>114</v>
      </c>
      <c r="PCT93" t="s">
        <v>113</v>
      </c>
      <c r="PCU93" t="s">
        <v>398</v>
      </c>
      <c r="PCV93">
        <v>1</v>
      </c>
      <c r="PCW93" t="s">
        <v>438</v>
      </c>
      <c r="PCX93" t="s">
        <v>440</v>
      </c>
      <c r="PCY93" t="s">
        <v>428</v>
      </c>
      <c r="PDA93" t="s">
        <v>114</v>
      </c>
      <c r="PDB93" t="s">
        <v>113</v>
      </c>
      <c r="PDC93" t="s">
        <v>398</v>
      </c>
      <c r="PDD93">
        <v>1</v>
      </c>
      <c r="PDE93" t="s">
        <v>438</v>
      </c>
      <c r="PDF93" t="s">
        <v>440</v>
      </c>
      <c r="PDG93" t="s">
        <v>428</v>
      </c>
      <c r="PDI93" t="s">
        <v>114</v>
      </c>
      <c r="PDJ93" t="s">
        <v>113</v>
      </c>
      <c r="PDK93" t="s">
        <v>398</v>
      </c>
      <c r="PDL93">
        <v>1</v>
      </c>
      <c r="PDM93" t="s">
        <v>438</v>
      </c>
      <c r="PDN93" t="s">
        <v>440</v>
      </c>
      <c r="PDO93" t="s">
        <v>428</v>
      </c>
      <c r="PDQ93" t="s">
        <v>114</v>
      </c>
      <c r="PDR93" t="s">
        <v>113</v>
      </c>
      <c r="PDS93" t="s">
        <v>398</v>
      </c>
      <c r="PDT93">
        <v>1</v>
      </c>
      <c r="PDU93" t="s">
        <v>438</v>
      </c>
      <c r="PDV93" t="s">
        <v>440</v>
      </c>
      <c r="PDW93" t="s">
        <v>428</v>
      </c>
      <c r="PDY93" t="s">
        <v>114</v>
      </c>
      <c r="PDZ93" t="s">
        <v>113</v>
      </c>
      <c r="PEA93" t="s">
        <v>398</v>
      </c>
      <c r="PEB93">
        <v>1</v>
      </c>
      <c r="PEC93" t="s">
        <v>438</v>
      </c>
      <c r="PED93" t="s">
        <v>440</v>
      </c>
      <c r="PEE93" t="s">
        <v>428</v>
      </c>
      <c r="PEG93" t="s">
        <v>114</v>
      </c>
      <c r="PEH93" t="s">
        <v>113</v>
      </c>
      <c r="PEI93" t="s">
        <v>398</v>
      </c>
      <c r="PEJ93">
        <v>1</v>
      </c>
      <c r="PEK93" t="s">
        <v>438</v>
      </c>
      <c r="PEL93" t="s">
        <v>440</v>
      </c>
      <c r="PEM93" t="s">
        <v>428</v>
      </c>
      <c r="PEO93" t="s">
        <v>114</v>
      </c>
      <c r="PEP93" t="s">
        <v>113</v>
      </c>
      <c r="PEQ93" t="s">
        <v>398</v>
      </c>
      <c r="PER93">
        <v>1</v>
      </c>
      <c r="PES93" t="s">
        <v>438</v>
      </c>
      <c r="PET93" t="s">
        <v>440</v>
      </c>
      <c r="PEU93" t="s">
        <v>428</v>
      </c>
      <c r="PEW93" t="s">
        <v>114</v>
      </c>
      <c r="PEX93" t="s">
        <v>113</v>
      </c>
      <c r="PEY93" t="s">
        <v>398</v>
      </c>
      <c r="PEZ93">
        <v>1</v>
      </c>
      <c r="PFA93" t="s">
        <v>438</v>
      </c>
      <c r="PFB93" t="s">
        <v>440</v>
      </c>
      <c r="PFC93" t="s">
        <v>428</v>
      </c>
      <c r="PFE93" t="s">
        <v>114</v>
      </c>
      <c r="PFF93" t="s">
        <v>113</v>
      </c>
      <c r="PFG93" t="s">
        <v>398</v>
      </c>
      <c r="PFH93">
        <v>1</v>
      </c>
      <c r="PFI93" t="s">
        <v>438</v>
      </c>
      <c r="PFJ93" t="s">
        <v>440</v>
      </c>
      <c r="PFK93" t="s">
        <v>428</v>
      </c>
      <c r="PFM93" t="s">
        <v>114</v>
      </c>
      <c r="PFN93" t="s">
        <v>113</v>
      </c>
      <c r="PFO93" t="s">
        <v>398</v>
      </c>
      <c r="PFP93">
        <v>1</v>
      </c>
      <c r="PFQ93" t="s">
        <v>438</v>
      </c>
      <c r="PFR93" t="s">
        <v>440</v>
      </c>
      <c r="PFS93" t="s">
        <v>428</v>
      </c>
      <c r="PFU93" t="s">
        <v>114</v>
      </c>
      <c r="PFV93" t="s">
        <v>113</v>
      </c>
      <c r="PFW93" t="s">
        <v>398</v>
      </c>
      <c r="PFX93">
        <v>1</v>
      </c>
      <c r="PFY93" t="s">
        <v>438</v>
      </c>
      <c r="PFZ93" t="s">
        <v>440</v>
      </c>
      <c r="PGA93" t="s">
        <v>428</v>
      </c>
      <c r="PGC93" t="s">
        <v>114</v>
      </c>
      <c r="PGD93" t="s">
        <v>113</v>
      </c>
      <c r="PGE93" t="s">
        <v>398</v>
      </c>
      <c r="PGF93">
        <v>1</v>
      </c>
      <c r="PGG93" t="s">
        <v>438</v>
      </c>
      <c r="PGH93" t="s">
        <v>440</v>
      </c>
      <c r="PGI93" t="s">
        <v>428</v>
      </c>
      <c r="PGK93" t="s">
        <v>114</v>
      </c>
      <c r="PGL93" t="s">
        <v>113</v>
      </c>
      <c r="PGM93" t="s">
        <v>398</v>
      </c>
      <c r="PGN93">
        <v>1</v>
      </c>
      <c r="PGO93" t="s">
        <v>438</v>
      </c>
      <c r="PGP93" t="s">
        <v>440</v>
      </c>
      <c r="PGQ93" t="s">
        <v>428</v>
      </c>
      <c r="PGS93" t="s">
        <v>114</v>
      </c>
      <c r="PGT93" t="s">
        <v>113</v>
      </c>
      <c r="PGU93" t="s">
        <v>398</v>
      </c>
      <c r="PGV93">
        <v>1</v>
      </c>
      <c r="PGW93" t="s">
        <v>438</v>
      </c>
      <c r="PGX93" t="s">
        <v>440</v>
      </c>
      <c r="PGY93" t="s">
        <v>428</v>
      </c>
      <c r="PHA93" t="s">
        <v>114</v>
      </c>
      <c r="PHB93" t="s">
        <v>113</v>
      </c>
      <c r="PHC93" t="s">
        <v>398</v>
      </c>
      <c r="PHD93">
        <v>1</v>
      </c>
      <c r="PHE93" t="s">
        <v>438</v>
      </c>
      <c r="PHF93" t="s">
        <v>440</v>
      </c>
      <c r="PHG93" t="s">
        <v>428</v>
      </c>
      <c r="PHI93" t="s">
        <v>114</v>
      </c>
      <c r="PHJ93" t="s">
        <v>113</v>
      </c>
      <c r="PHK93" t="s">
        <v>398</v>
      </c>
      <c r="PHL93">
        <v>1</v>
      </c>
      <c r="PHM93" t="s">
        <v>438</v>
      </c>
      <c r="PHN93" t="s">
        <v>440</v>
      </c>
      <c r="PHO93" t="s">
        <v>428</v>
      </c>
      <c r="PHQ93" t="s">
        <v>114</v>
      </c>
      <c r="PHR93" t="s">
        <v>113</v>
      </c>
      <c r="PHS93" t="s">
        <v>398</v>
      </c>
      <c r="PHT93">
        <v>1</v>
      </c>
      <c r="PHU93" t="s">
        <v>438</v>
      </c>
      <c r="PHV93" t="s">
        <v>440</v>
      </c>
      <c r="PHW93" t="s">
        <v>428</v>
      </c>
      <c r="PHY93" t="s">
        <v>114</v>
      </c>
      <c r="PHZ93" t="s">
        <v>113</v>
      </c>
      <c r="PIA93" t="s">
        <v>398</v>
      </c>
      <c r="PIB93">
        <v>1</v>
      </c>
      <c r="PIC93" t="s">
        <v>438</v>
      </c>
      <c r="PID93" t="s">
        <v>440</v>
      </c>
      <c r="PIE93" t="s">
        <v>428</v>
      </c>
      <c r="PIG93" t="s">
        <v>114</v>
      </c>
      <c r="PIH93" t="s">
        <v>113</v>
      </c>
      <c r="PII93" t="s">
        <v>398</v>
      </c>
      <c r="PIJ93">
        <v>1</v>
      </c>
      <c r="PIK93" t="s">
        <v>438</v>
      </c>
      <c r="PIL93" t="s">
        <v>440</v>
      </c>
      <c r="PIM93" t="s">
        <v>428</v>
      </c>
      <c r="PIO93" t="s">
        <v>114</v>
      </c>
      <c r="PIP93" t="s">
        <v>113</v>
      </c>
      <c r="PIQ93" t="s">
        <v>398</v>
      </c>
      <c r="PIR93">
        <v>1</v>
      </c>
      <c r="PIS93" t="s">
        <v>438</v>
      </c>
      <c r="PIT93" t="s">
        <v>440</v>
      </c>
      <c r="PIU93" t="s">
        <v>428</v>
      </c>
      <c r="PIW93" t="s">
        <v>114</v>
      </c>
      <c r="PIX93" t="s">
        <v>113</v>
      </c>
      <c r="PIY93" t="s">
        <v>398</v>
      </c>
      <c r="PIZ93">
        <v>1</v>
      </c>
      <c r="PJA93" t="s">
        <v>438</v>
      </c>
      <c r="PJB93" t="s">
        <v>440</v>
      </c>
      <c r="PJC93" t="s">
        <v>428</v>
      </c>
      <c r="PJE93" t="s">
        <v>114</v>
      </c>
      <c r="PJF93" t="s">
        <v>113</v>
      </c>
      <c r="PJG93" t="s">
        <v>398</v>
      </c>
      <c r="PJH93">
        <v>1</v>
      </c>
      <c r="PJI93" t="s">
        <v>438</v>
      </c>
      <c r="PJJ93" t="s">
        <v>440</v>
      </c>
      <c r="PJK93" t="s">
        <v>428</v>
      </c>
      <c r="PJM93" t="s">
        <v>114</v>
      </c>
      <c r="PJN93" t="s">
        <v>113</v>
      </c>
      <c r="PJO93" t="s">
        <v>398</v>
      </c>
      <c r="PJP93">
        <v>1</v>
      </c>
      <c r="PJQ93" t="s">
        <v>438</v>
      </c>
      <c r="PJR93" t="s">
        <v>440</v>
      </c>
      <c r="PJS93" t="s">
        <v>428</v>
      </c>
      <c r="PJU93" t="s">
        <v>114</v>
      </c>
      <c r="PJV93" t="s">
        <v>113</v>
      </c>
      <c r="PJW93" t="s">
        <v>398</v>
      </c>
      <c r="PJX93">
        <v>1</v>
      </c>
      <c r="PJY93" t="s">
        <v>438</v>
      </c>
      <c r="PJZ93" t="s">
        <v>440</v>
      </c>
      <c r="PKA93" t="s">
        <v>428</v>
      </c>
      <c r="PKC93" t="s">
        <v>114</v>
      </c>
      <c r="PKD93" t="s">
        <v>113</v>
      </c>
      <c r="PKE93" t="s">
        <v>398</v>
      </c>
      <c r="PKF93">
        <v>1</v>
      </c>
      <c r="PKG93" t="s">
        <v>438</v>
      </c>
      <c r="PKH93" t="s">
        <v>440</v>
      </c>
      <c r="PKI93" t="s">
        <v>428</v>
      </c>
      <c r="PKK93" t="s">
        <v>114</v>
      </c>
      <c r="PKL93" t="s">
        <v>113</v>
      </c>
      <c r="PKM93" t="s">
        <v>398</v>
      </c>
      <c r="PKN93">
        <v>1</v>
      </c>
      <c r="PKO93" t="s">
        <v>438</v>
      </c>
      <c r="PKP93" t="s">
        <v>440</v>
      </c>
      <c r="PKQ93" t="s">
        <v>428</v>
      </c>
      <c r="PKS93" t="s">
        <v>114</v>
      </c>
      <c r="PKT93" t="s">
        <v>113</v>
      </c>
      <c r="PKU93" t="s">
        <v>398</v>
      </c>
      <c r="PKV93">
        <v>1</v>
      </c>
      <c r="PKW93" t="s">
        <v>438</v>
      </c>
      <c r="PKX93" t="s">
        <v>440</v>
      </c>
      <c r="PKY93" t="s">
        <v>428</v>
      </c>
      <c r="PLA93" t="s">
        <v>114</v>
      </c>
      <c r="PLB93" t="s">
        <v>113</v>
      </c>
      <c r="PLC93" t="s">
        <v>398</v>
      </c>
      <c r="PLD93">
        <v>1</v>
      </c>
      <c r="PLE93" t="s">
        <v>438</v>
      </c>
      <c r="PLF93" t="s">
        <v>440</v>
      </c>
      <c r="PLG93" t="s">
        <v>428</v>
      </c>
      <c r="PLI93" t="s">
        <v>114</v>
      </c>
      <c r="PLJ93" t="s">
        <v>113</v>
      </c>
      <c r="PLK93" t="s">
        <v>398</v>
      </c>
      <c r="PLL93">
        <v>1</v>
      </c>
      <c r="PLM93" t="s">
        <v>438</v>
      </c>
      <c r="PLN93" t="s">
        <v>440</v>
      </c>
      <c r="PLO93" t="s">
        <v>428</v>
      </c>
      <c r="PLQ93" t="s">
        <v>114</v>
      </c>
      <c r="PLR93" t="s">
        <v>113</v>
      </c>
      <c r="PLS93" t="s">
        <v>398</v>
      </c>
      <c r="PLT93">
        <v>1</v>
      </c>
      <c r="PLU93" t="s">
        <v>438</v>
      </c>
      <c r="PLV93" t="s">
        <v>440</v>
      </c>
      <c r="PLW93" t="s">
        <v>428</v>
      </c>
      <c r="PLY93" t="s">
        <v>114</v>
      </c>
      <c r="PLZ93" t="s">
        <v>113</v>
      </c>
      <c r="PMA93" t="s">
        <v>398</v>
      </c>
      <c r="PMB93">
        <v>1</v>
      </c>
      <c r="PMC93" t="s">
        <v>438</v>
      </c>
      <c r="PMD93" t="s">
        <v>440</v>
      </c>
      <c r="PME93" t="s">
        <v>428</v>
      </c>
      <c r="PMG93" t="s">
        <v>114</v>
      </c>
      <c r="PMH93" t="s">
        <v>113</v>
      </c>
      <c r="PMI93" t="s">
        <v>398</v>
      </c>
      <c r="PMJ93">
        <v>1</v>
      </c>
      <c r="PMK93" t="s">
        <v>438</v>
      </c>
      <c r="PML93" t="s">
        <v>440</v>
      </c>
      <c r="PMM93" t="s">
        <v>428</v>
      </c>
      <c r="PMO93" t="s">
        <v>114</v>
      </c>
      <c r="PMP93" t="s">
        <v>113</v>
      </c>
      <c r="PMQ93" t="s">
        <v>398</v>
      </c>
      <c r="PMR93">
        <v>1</v>
      </c>
      <c r="PMS93" t="s">
        <v>438</v>
      </c>
      <c r="PMT93" t="s">
        <v>440</v>
      </c>
      <c r="PMU93" t="s">
        <v>428</v>
      </c>
      <c r="PMW93" t="s">
        <v>114</v>
      </c>
      <c r="PMX93" t="s">
        <v>113</v>
      </c>
      <c r="PMY93" t="s">
        <v>398</v>
      </c>
      <c r="PMZ93">
        <v>1</v>
      </c>
      <c r="PNA93" t="s">
        <v>438</v>
      </c>
      <c r="PNB93" t="s">
        <v>440</v>
      </c>
      <c r="PNC93" t="s">
        <v>428</v>
      </c>
      <c r="PNE93" t="s">
        <v>114</v>
      </c>
      <c r="PNF93" t="s">
        <v>113</v>
      </c>
      <c r="PNG93" t="s">
        <v>398</v>
      </c>
      <c r="PNH93">
        <v>1</v>
      </c>
      <c r="PNI93" t="s">
        <v>438</v>
      </c>
      <c r="PNJ93" t="s">
        <v>440</v>
      </c>
      <c r="PNK93" t="s">
        <v>428</v>
      </c>
      <c r="PNM93" t="s">
        <v>114</v>
      </c>
      <c r="PNN93" t="s">
        <v>113</v>
      </c>
      <c r="PNO93" t="s">
        <v>398</v>
      </c>
      <c r="PNP93">
        <v>1</v>
      </c>
      <c r="PNQ93" t="s">
        <v>438</v>
      </c>
      <c r="PNR93" t="s">
        <v>440</v>
      </c>
      <c r="PNS93" t="s">
        <v>428</v>
      </c>
      <c r="PNU93" t="s">
        <v>114</v>
      </c>
      <c r="PNV93" t="s">
        <v>113</v>
      </c>
      <c r="PNW93" t="s">
        <v>398</v>
      </c>
      <c r="PNX93">
        <v>1</v>
      </c>
      <c r="PNY93" t="s">
        <v>438</v>
      </c>
      <c r="PNZ93" t="s">
        <v>440</v>
      </c>
      <c r="POA93" t="s">
        <v>428</v>
      </c>
      <c r="POC93" t="s">
        <v>114</v>
      </c>
      <c r="POD93" t="s">
        <v>113</v>
      </c>
      <c r="POE93" t="s">
        <v>398</v>
      </c>
      <c r="POF93">
        <v>1</v>
      </c>
      <c r="POG93" t="s">
        <v>438</v>
      </c>
      <c r="POH93" t="s">
        <v>440</v>
      </c>
      <c r="POI93" t="s">
        <v>428</v>
      </c>
      <c r="POK93" t="s">
        <v>114</v>
      </c>
      <c r="POL93" t="s">
        <v>113</v>
      </c>
      <c r="POM93" t="s">
        <v>398</v>
      </c>
      <c r="PON93">
        <v>1</v>
      </c>
      <c r="POO93" t="s">
        <v>438</v>
      </c>
      <c r="POP93" t="s">
        <v>440</v>
      </c>
      <c r="POQ93" t="s">
        <v>428</v>
      </c>
      <c r="POS93" t="s">
        <v>114</v>
      </c>
      <c r="POT93" t="s">
        <v>113</v>
      </c>
      <c r="POU93" t="s">
        <v>398</v>
      </c>
      <c r="POV93">
        <v>1</v>
      </c>
      <c r="POW93" t="s">
        <v>438</v>
      </c>
      <c r="POX93" t="s">
        <v>440</v>
      </c>
      <c r="POY93" t="s">
        <v>428</v>
      </c>
      <c r="PPA93" t="s">
        <v>114</v>
      </c>
      <c r="PPB93" t="s">
        <v>113</v>
      </c>
      <c r="PPC93" t="s">
        <v>398</v>
      </c>
      <c r="PPD93">
        <v>1</v>
      </c>
      <c r="PPE93" t="s">
        <v>438</v>
      </c>
      <c r="PPF93" t="s">
        <v>440</v>
      </c>
      <c r="PPG93" t="s">
        <v>428</v>
      </c>
      <c r="PPI93" t="s">
        <v>114</v>
      </c>
      <c r="PPJ93" t="s">
        <v>113</v>
      </c>
      <c r="PPK93" t="s">
        <v>398</v>
      </c>
      <c r="PPL93">
        <v>1</v>
      </c>
      <c r="PPM93" t="s">
        <v>438</v>
      </c>
      <c r="PPN93" t="s">
        <v>440</v>
      </c>
      <c r="PPO93" t="s">
        <v>428</v>
      </c>
      <c r="PPQ93" t="s">
        <v>114</v>
      </c>
      <c r="PPR93" t="s">
        <v>113</v>
      </c>
      <c r="PPS93" t="s">
        <v>398</v>
      </c>
      <c r="PPT93">
        <v>1</v>
      </c>
      <c r="PPU93" t="s">
        <v>438</v>
      </c>
      <c r="PPV93" t="s">
        <v>440</v>
      </c>
      <c r="PPW93" t="s">
        <v>428</v>
      </c>
      <c r="PPY93" t="s">
        <v>114</v>
      </c>
      <c r="PPZ93" t="s">
        <v>113</v>
      </c>
      <c r="PQA93" t="s">
        <v>398</v>
      </c>
      <c r="PQB93">
        <v>1</v>
      </c>
      <c r="PQC93" t="s">
        <v>438</v>
      </c>
      <c r="PQD93" t="s">
        <v>440</v>
      </c>
      <c r="PQE93" t="s">
        <v>428</v>
      </c>
      <c r="PQG93" t="s">
        <v>114</v>
      </c>
      <c r="PQH93" t="s">
        <v>113</v>
      </c>
      <c r="PQI93" t="s">
        <v>398</v>
      </c>
      <c r="PQJ93">
        <v>1</v>
      </c>
      <c r="PQK93" t="s">
        <v>438</v>
      </c>
      <c r="PQL93" t="s">
        <v>440</v>
      </c>
      <c r="PQM93" t="s">
        <v>428</v>
      </c>
      <c r="PQO93" t="s">
        <v>114</v>
      </c>
      <c r="PQP93" t="s">
        <v>113</v>
      </c>
      <c r="PQQ93" t="s">
        <v>398</v>
      </c>
      <c r="PQR93">
        <v>1</v>
      </c>
      <c r="PQS93" t="s">
        <v>438</v>
      </c>
      <c r="PQT93" t="s">
        <v>440</v>
      </c>
      <c r="PQU93" t="s">
        <v>428</v>
      </c>
      <c r="PQW93" t="s">
        <v>114</v>
      </c>
      <c r="PQX93" t="s">
        <v>113</v>
      </c>
      <c r="PQY93" t="s">
        <v>398</v>
      </c>
      <c r="PQZ93">
        <v>1</v>
      </c>
      <c r="PRA93" t="s">
        <v>438</v>
      </c>
      <c r="PRB93" t="s">
        <v>440</v>
      </c>
      <c r="PRC93" t="s">
        <v>428</v>
      </c>
      <c r="PRE93" t="s">
        <v>114</v>
      </c>
      <c r="PRF93" t="s">
        <v>113</v>
      </c>
      <c r="PRG93" t="s">
        <v>398</v>
      </c>
      <c r="PRH93">
        <v>1</v>
      </c>
      <c r="PRI93" t="s">
        <v>438</v>
      </c>
      <c r="PRJ93" t="s">
        <v>440</v>
      </c>
      <c r="PRK93" t="s">
        <v>428</v>
      </c>
      <c r="PRM93" t="s">
        <v>114</v>
      </c>
      <c r="PRN93" t="s">
        <v>113</v>
      </c>
      <c r="PRO93" t="s">
        <v>398</v>
      </c>
      <c r="PRP93">
        <v>1</v>
      </c>
      <c r="PRQ93" t="s">
        <v>438</v>
      </c>
      <c r="PRR93" t="s">
        <v>440</v>
      </c>
      <c r="PRS93" t="s">
        <v>428</v>
      </c>
      <c r="PRU93" t="s">
        <v>114</v>
      </c>
      <c r="PRV93" t="s">
        <v>113</v>
      </c>
      <c r="PRW93" t="s">
        <v>398</v>
      </c>
      <c r="PRX93">
        <v>1</v>
      </c>
      <c r="PRY93" t="s">
        <v>438</v>
      </c>
      <c r="PRZ93" t="s">
        <v>440</v>
      </c>
      <c r="PSA93" t="s">
        <v>428</v>
      </c>
      <c r="PSC93" t="s">
        <v>114</v>
      </c>
      <c r="PSD93" t="s">
        <v>113</v>
      </c>
      <c r="PSE93" t="s">
        <v>398</v>
      </c>
      <c r="PSF93">
        <v>1</v>
      </c>
      <c r="PSG93" t="s">
        <v>438</v>
      </c>
      <c r="PSH93" t="s">
        <v>440</v>
      </c>
      <c r="PSI93" t="s">
        <v>428</v>
      </c>
      <c r="PSK93" t="s">
        <v>114</v>
      </c>
      <c r="PSL93" t="s">
        <v>113</v>
      </c>
      <c r="PSM93" t="s">
        <v>398</v>
      </c>
      <c r="PSN93">
        <v>1</v>
      </c>
      <c r="PSO93" t="s">
        <v>438</v>
      </c>
      <c r="PSP93" t="s">
        <v>440</v>
      </c>
      <c r="PSQ93" t="s">
        <v>428</v>
      </c>
      <c r="PSS93" t="s">
        <v>114</v>
      </c>
      <c r="PST93" t="s">
        <v>113</v>
      </c>
      <c r="PSU93" t="s">
        <v>398</v>
      </c>
      <c r="PSV93">
        <v>1</v>
      </c>
      <c r="PSW93" t="s">
        <v>438</v>
      </c>
      <c r="PSX93" t="s">
        <v>440</v>
      </c>
      <c r="PSY93" t="s">
        <v>428</v>
      </c>
      <c r="PTA93" t="s">
        <v>114</v>
      </c>
      <c r="PTB93" t="s">
        <v>113</v>
      </c>
      <c r="PTC93" t="s">
        <v>398</v>
      </c>
      <c r="PTD93">
        <v>1</v>
      </c>
      <c r="PTE93" t="s">
        <v>438</v>
      </c>
      <c r="PTF93" t="s">
        <v>440</v>
      </c>
      <c r="PTG93" t="s">
        <v>428</v>
      </c>
      <c r="PTI93" t="s">
        <v>114</v>
      </c>
      <c r="PTJ93" t="s">
        <v>113</v>
      </c>
      <c r="PTK93" t="s">
        <v>398</v>
      </c>
      <c r="PTL93">
        <v>1</v>
      </c>
      <c r="PTM93" t="s">
        <v>438</v>
      </c>
      <c r="PTN93" t="s">
        <v>440</v>
      </c>
      <c r="PTO93" t="s">
        <v>428</v>
      </c>
      <c r="PTQ93" t="s">
        <v>114</v>
      </c>
      <c r="PTR93" t="s">
        <v>113</v>
      </c>
      <c r="PTS93" t="s">
        <v>398</v>
      </c>
      <c r="PTT93">
        <v>1</v>
      </c>
      <c r="PTU93" t="s">
        <v>438</v>
      </c>
      <c r="PTV93" t="s">
        <v>440</v>
      </c>
      <c r="PTW93" t="s">
        <v>428</v>
      </c>
      <c r="PTY93" t="s">
        <v>114</v>
      </c>
      <c r="PTZ93" t="s">
        <v>113</v>
      </c>
      <c r="PUA93" t="s">
        <v>398</v>
      </c>
      <c r="PUB93">
        <v>1</v>
      </c>
      <c r="PUC93" t="s">
        <v>438</v>
      </c>
      <c r="PUD93" t="s">
        <v>440</v>
      </c>
      <c r="PUE93" t="s">
        <v>428</v>
      </c>
      <c r="PUG93" t="s">
        <v>114</v>
      </c>
      <c r="PUH93" t="s">
        <v>113</v>
      </c>
      <c r="PUI93" t="s">
        <v>398</v>
      </c>
      <c r="PUJ93">
        <v>1</v>
      </c>
      <c r="PUK93" t="s">
        <v>438</v>
      </c>
      <c r="PUL93" t="s">
        <v>440</v>
      </c>
      <c r="PUM93" t="s">
        <v>428</v>
      </c>
      <c r="PUO93" t="s">
        <v>114</v>
      </c>
      <c r="PUP93" t="s">
        <v>113</v>
      </c>
      <c r="PUQ93" t="s">
        <v>398</v>
      </c>
      <c r="PUR93">
        <v>1</v>
      </c>
      <c r="PUS93" t="s">
        <v>438</v>
      </c>
      <c r="PUT93" t="s">
        <v>440</v>
      </c>
      <c r="PUU93" t="s">
        <v>428</v>
      </c>
      <c r="PUW93" t="s">
        <v>114</v>
      </c>
      <c r="PUX93" t="s">
        <v>113</v>
      </c>
      <c r="PUY93" t="s">
        <v>398</v>
      </c>
      <c r="PUZ93">
        <v>1</v>
      </c>
      <c r="PVA93" t="s">
        <v>438</v>
      </c>
      <c r="PVB93" t="s">
        <v>440</v>
      </c>
      <c r="PVC93" t="s">
        <v>428</v>
      </c>
      <c r="PVE93" t="s">
        <v>114</v>
      </c>
      <c r="PVF93" t="s">
        <v>113</v>
      </c>
      <c r="PVG93" t="s">
        <v>398</v>
      </c>
      <c r="PVH93">
        <v>1</v>
      </c>
      <c r="PVI93" t="s">
        <v>438</v>
      </c>
      <c r="PVJ93" t="s">
        <v>440</v>
      </c>
      <c r="PVK93" t="s">
        <v>428</v>
      </c>
      <c r="PVM93" t="s">
        <v>114</v>
      </c>
      <c r="PVN93" t="s">
        <v>113</v>
      </c>
      <c r="PVO93" t="s">
        <v>398</v>
      </c>
      <c r="PVP93">
        <v>1</v>
      </c>
      <c r="PVQ93" t="s">
        <v>438</v>
      </c>
      <c r="PVR93" t="s">
        <v>440</v>
      </c>
      <c r="PVS93" t="s">
        <v>428</v>
      </c>
      <c r="PVU93" t="s">
        <v>114</v>
      </c>
      <c r="PVV93" t="s">
        <v>113</v>
      </c>
      <c r="PVW93" t="s">
        <v>398</v>
      </c>
      <c r="PVX93">
        <v>1</v>
      </c>
      <c r="PVY93" t="s">
        <v>438</v>
      </c>
      <c r="PVZ93" t="s">
        <v>440</v>
      </c>
      <c r="PWA93" t="s">
        <v>428</v>
      </c>
      <c r="PWC93" t="s">
        <v>114</v>
      </c>
      <c r="PWD93" t="s">
        <v>113</v>
      </c>
      <c r="PWE93" t="s">
        <v>398</v>
      </c>
      <c r="PWF93">
        <v>1</v>
      </c>
      <c r="PWG93" t="s">
        <v>438</v>
      </c>
      <c r="PWH93" t="s">
        <v>440</v>
      </c>
      <c r="PWI93" t="s">
        <v>428</v>
      </c>
      <c r="PWK93" t="s">
        <v>114</v>
      </c>
      <c r="PWL93" t="s">
        <v>113</v>
      </c>
      <c r="PWM93" t="s">
        <v>398</v>
      </c>
      <c r="PWN93">
        <v>1</v>
      </c>
      <c r="PWO93" t="s">
        <v>438</v>
      </c>
      <c r="PWP93" t="s">
        <v>440</v>
      </c>
      <c r="PWQ93" t="s">
        <v>428</v>
      </c>
      <c r="PWS93" t="s">
        <v>114</v>
      </c>
      <c r="PWT93" t="s">
        <v>113</v>
      </c>
      <c r="PWU93" t="s">
        <v>398</v>
      </c>
      <c r="PWV93">
        <v>1</v>
      </c>
      <c r="PWW93" t="s">
        <v>438</v>
      </c>
      <c r="PWX93" t="s">
        <v>440</v>
      </c>
      <c r="PWY93" t="s">
        <v>428</v>
      </c>
      <c r="PXA93" t="s">
        <v>114</v>
      </c>
      <c r="PXB93" t="s">
        <v>113</v>
      </c>
      <c r="PXC93" t="s">
        <v>398</v>
      </c>
      <c r="PXD93">
        <v>1</v>
      </c>
      <c r="PXE93" t="s">
        <v>438</v>
      </c>
      <c r="PXF93" t="s">
        <v>440</v>
      </c>
      <c r="PXG93" t="s">
        <v>428</v>
      </c>
      <c r="PXI93" t="s">
        <v>114</v>
      </c>
      <c r="PXJ93" t="s">
        <v>113</v>
      </c>
      <c r="PXK93" t="s">
        <v>398</v>
      </c>
      <c r="PXL93">
        <v>1</v>
      </c>
      <c r="PXM93" t="s">
        <v>438</v>
      </c>
      <c r="PXN93" t="s">
        <v>440</v>
      </c>
      <c r="PXO93" t="s">
        <v>428</v>
      </c>
      <c r="PXQ93" t="s">
        <v>114</v>
      </c>
      <c r="PXR93" t="s">
        <v>113</v>
      </c>
      <c r="PXS93" t="s">
        <v>398</v>
      </c>
      <c r="PXT93">
        <v>1</v>
      </c>
      <c r="PXU93" t="s">
        <v>438</v>
      </c>
      <c r="PXV93" t="s">
        <v>440</v>
      </c>
      <c r="PXW93" t="s">
        <v>428</v>
      </c>
      <c r="PXY93" t="s">
        <v>114</v>
      </c>
      <c r="PXZ93" t="s">
        <v>113</v>
      </c>
      <c r="PYA93" t="s">
        <v>398</v>
      </c>
      <c r="PYB93">
        <v>1</v>
      </c>
      <c r="PYC93" t="s">
        <v>438</v>
      </c>
      <c r="PYD93" t="s">
        <v>440</v>
      </c>
      <c r="PYE93" t="s">
        <v>428</v>
      </c>
      <c r="PYG93" t="s">
        <v>114</v>
      </c>
      <c r="PYH93" t="s">
        <v>113</v>
      </c>
      <c r="PYI93" t="s">
        <v>398</v>
      </c>
      <c r="PYJ93">
        <v>1</v>
      </c>
      <c r="PYK93" t="s">
        <v>438</v>
      </c>
      <c r="PYL93" t="s">
        <v>440</v>
      </c>
      <c r="PYM93" t="s">
        <v>428</v>
      </c>
      <c r="PYO93" t="s">
        <v>114</v>
      </c>
      <c r="PYP93" t="s">
        <v>113</v>
      </c>
      <c r="PYQ93" t="s">
        <v>398</v>
      </c>
      <c r="PYR93">
        <v>1</v>
      </c>
      <c r="PYS93" t="s">
        <v>438</v>
      </c>
      <c r="PYT93" t="s">
        <v>440</v>
      </c>
      <c r="PYU93" t="s">
        <v>428</v>
      </c>
      <c r="PYW93" t="s">
        <v>114</v>
      </c>
      <c r="PYX93" t="s">
        <v>113</v>
      </c>
      <c r="PYY93" t="s">
        <v>398</v>
      </c>
      <c r="PYZ93">
        <v>1</v>
      </c>
      <c r="PZA93" t="s">
        <v>438</v>
      </c>
      <c r="PZB93" t="s">
        <v>440</v>
      </c>
      <c r="PZC93" t="s">
        <v>428</v>
      </c>
      <c r="PZE93" t="s">
        <v>114</v>
      </c>
      <c r="PZF93" t="s">
        <v>113</v>
      </c>
      <c r="PZG93" t="s">
        <v>398</v>
      </c>
      <c r="PZH93">
        <v>1</v>
      </c>
      <c r="PZI93" t="s">
        <v>438</v>
      </c>
      <c r="PZJ93" t="s">
        <v>440</v>
      </c>
      <c r="PZK93" t="s">
        <v>428</v>
      </c>
      <c r="PZM93" t="s">
        <v>114</v>
      </c>
      <c r="PZN93" t="s">
        <v>113</v>
      </c>
      <c r="PZO93" t="s">
        <v>398</v>
      </c>
      <c r="PZP93">
        <v>1</v>
      </c>
      <c r="PZQ93" t="s">
        <v>438</v>
      </c>
      <c r="PZR93" t="s">
        <v>440</v>
      </c>
      <c r="PZS93" t="s">
        <v>428</v>
      </c>
      <c r="PZU93" t="s">
        <v>114</v>
      </c>
      <c r="PZV93" t="s">
        <v>113</v>
      </c>
      <c r="PZW93" t="s">
        <v>398</v>
      </c>
      <c r="PZX93">
        <v>1</v>
      </c>
      <c r="PZY93" t="s">
        <v>438</v>
      </c>
      <c r="PZZ93" t="s">
        <v>440</v>
      </c>
      <c r="QAA93" t="s">
        <v>428</v>
      </c>
      <c r="QAC93" t="s">
        <v>114</v>
      </c>
      <c r="QAD93" t="s">
        <v>113</v>
      </c>
      <c r="QAE93" t="s">
        <v>398</v>
      </c>
      <c r="QAF93">
        <v>1</v>
      </c>
      <c r="QAG93" t="s">
        <v>438</v>
      </c>
      <c r="QAH93" t="s">
        <v>440</v>
      </c>
      <c r="QAI93" t="s">
        <v>428</v>
      </c>
      <c r="QAK93" t="s">
        <v>114</v>
      </c>
      <c r="QAL93" t="s">
        <v>113</v>
      </c>
      <c r="QAM93" t="s">
        <v>398</v>
      </c>
      <c r="QAN93">
        <v>1</v>
      </c>
      <c r="QAO93" t="s">
        <v>438</v>
      </c>
      <c r="QAP93" t="s">
        <v>440</v>
      </c>
      <c r="QAQ93" t="s">
        <v>428</v>
      </c>
      <c r="QAS93" t="s">
        <v>114</v>
      </c>
      <c r="QAT93" t="s">
        <v>113</v>
      </c>
      <c r="QAU93" t="s">
        <v>398</v>
      </c>
      <c r="QAV93">
        <v>1</v>
      </c>
      <c r="QAW93" t="s">
        <v>438</v>
      </c>
      <c r="QAX93" t="s">
        <v>440</v>
      </c>
      <c r="QAY93" t="s">
        <v>428</v>
      </c>
      <c r="QBA93" t="s">
        <v>114</v>
      </c>
      <c r="QBB93" t="s">
        <v>113</v>
      </c>
      <c r="QBC93" t="s">
        <v>398</v>
      </c>
      <c r="QBD93">
        <v>1</v>
      </c>
      <c r="QBE93" t="s">
        <v>438</v>
      </c>
      <c r="QBF93" t="s">
        <v>440</v>
      </c>
      <c r="QBG93" t="s">
        <v>428</v>
      </c>
      <c r="QBI93" t="s">
        <v>114</v>
      </c>
      <c r="QBJ93" t="s">
        <v>113</v>
      </c>
      <c r="QBK93" t="s">
        <v>398</v>
      </c>
      <c r="QBL93">
        <v>1</v>
      </c>
      <c r="QBM93" t="s">
        <v>438</v>
      </c>
      <c r="QBN93" t="s">
        <v>440</v>
      </c>
      <c r="QBO93" t="s">
        <v>428</v>
      </c>
      <c r="QBQ93" t="s">
        <v>114</v>
      </c>
      <c r="QBR93" t="s">
        <v>113</v>
      </c>
      <c r="QBS93" t="s">
        <v>398</v>
      </c>
      <c r="QBT93">
        <v>1</v>
      </c>
      <c r="QBU93" t="s">
        <v>438</v>
      </c>
      <c r="QBV93" t="s">
        <v>440</v>
      </c>
      <c r="QBW93" t="s">
        <v>428</v>
      </c>
      <c r="QBY93" t="s">
        <v>114</v>
      </c>
      <c r="QBZ93" t="s">
        <v>113</v>
      </c>
      <c r="QCA93" t="s">
        <v>398</v>
      </c>
      <c r="QCB93">
        <v>1</v>
      </c>
      <c r="QCC93" t="s">
        <v>438</v>
      </c>
      <c r="QCD93" t="s">
        <v>440</v>
      </c>
      <c r="QCE93" t="s">
        <v>428</v>
      </c>
      <c r="QCG93" t="s">
        <v>114</v>
      </c>
      <c r="QCH93" t="s">
        <v>113</v>
      </c>
      <c r="QCI93" t="s">
        <v>398</v>
      </c>
      <c r="QCJ93">
        <v>1</v>
      </c>
      <c r="QCK93" t="s">
        <v>438</v>
      </c>
      <c r="QCL93" t="s">
        <v>440</v>
      </c>
      <c r="QCM93" t="s">
        <v>428</v>
      </c>
      <c r="QCO93" t="s">
        <v>114</v>
      </c>
      <c r="QCP93" t="s">
        <v>113</v>
      </c>
      <c r="QCQ93" t="s">
        <v>398</v>
      </c>
      <c r="QCR93">
        <v>1</v>
      </c>
      <c r="QCS93" t="s">
        <v>438</v>
      </c>
      <c r="QCT93" t="s">
        <v>440</v>
      </c>
      <c r="QCU93" t="s">
        <v>428</v>
      </c>
      <c r="QCW93" t="s">
        <v>114</v>
      </c>
      <c r="QCX93" t="s">
        <v>113</v>
      </c>
      <c r="QCY93" t="s">
        <v>398</v>
      </c>
      <c r="QCZ93">
        <v>1</v>
      </c>
      <c r="QDA93" t="s">
        <v>438</v>
      </c>
      <c r="QDB93" t="s">
        <v>440</v>
      </c>
      <c r="QDC93" t="s">
        <v>428</v>
      </c>
      <c r="QDE93" t="s">
        <v>114</v>
      </c>
      <c r="QDF93" t="s">
        <v>113</v>
      </c>
      <c r="QDG93" t="s">
        <v>398</v>
      </c>
      <c r="QDH93">
        <v>1</v>
      </c>
      <c r="QDI93" t="s">
        <v>438</v>
      </c>
      <c r="QDJ93" t="s">
        <v>440</v>
      </c>
      <c r="QDK93" t="s">
        <v>428</v>
      </c>
      <c r="QDM93" t="s">
        <v>114</v>
      </c>
      <c r="QDN93" t="s">
        <v>113</v>
      </c>
      <c r="QDO93" t="s">
        <v>398</v>
      </c>
      <c r="QDP93">
        <v>1</v>
      </c>
      <c r="QDQ93" t="s">
        <v>438</v>
      </c>
      <c r="QDR93" t="s">
        <v>440</v>
      </c>
      <c r="QDS93" t="s">
        <v>428</v>
      </c>
      <c r="QDU93" t="s">
        <v>114</v>
      </c>
      <c r="QDV93" t="s">
        <v>113</v>
      </c>
      <c r="QDW93" t="s">
        <v>398</v>
      </c>
      <c r="QDX93">
        <v>1</v>
      </c>
      <c r="QDY93" t="s">
        <v>438</v>
      </c>
      <c r="QDZ93" t="s">
        <v>440</v>
      </c>
      <c r="QEA93" t="s">
        <v>428</v>
      </c>
      <c r="QEC93" t="s">
        <v>114</v>
      </c>
      <c r="QED93" t="s">
        <v>113</v>
      </c>
      <c r="QEE93" t="s">
        <v>398</v>
      </c>
      <c r="QEF93">
        <v>1</v>
      </c>
      <c r="QEG93" t="s">
        <v>438</v>
      </c>
      <c r="QEH93" t="s">
        <v>440</v>
      </c>
      <c r="QEI93" t="s">
        <v>428</v>
      </c>
      <c r="QEK93" t="s">
        <v>114</v>
      </c>
      <c r="QEL93" t="s">
        <v>113</v>
      </c>
      <c r="QEM93" t="s">
        <v>398</v>
      </c>
      <c r="QEN93">
        <v>1</v>
      </c>
      <c r="QEO93" t="s">
        <v>438</v>
      </c>
      <c r="QEP93" t="s">
        <v>440</v>
      </c>
      <c r="QEQ93" t="s">
        <v>428</v>
      </c>
      <c r="QES93" t="s">
        <v>114</v>
      </c>
      <c r="QET93" t="s">
        <v>113</v>
      </c>
      <c r="QEU93" t="s">
        <v>398</v>
      </c>
      <c r="QEV93">
        <v>1</v>
      </c>
      <c r="QEW93" t="s">
        <v>438</v>
      </c>
      <c r="QEX93" t="s">
        <v>440</v>
      </c>
      <c r="QEY93" t="s">
        <v>428</v>
      </c>
      <c r="QFA93" t="s">
        <v>114</v>
      </c>
      <c r="QFB93" t="s">
        <v>113</v>
      </c>
      <c r="QFC93" t="s">
        <v>398</v>
      </c>
      <c r="QFD93">
        <v>1</v>
      </c>
      <c r="QFE93" t="s">
        <v>438</v>
      </c>
      <c r="QFF93" t="s">
        <v>440</v>
      </c>
      <c r="QFG93" t="s">
        <v>428</v>
      </c>
      <c r="QFI93" t="s">
        <v>114</v>
      </c>
      <c r="QFJ93" t="s">
        <v>113</v>
      </c>
      <c r="QFK93" t="s">
        <v>398</v>
      </c>
      <c r="QFL93">
        <v>1</v>
      </c>
      <c r="QFM93" t="s">
        <v>438</v>
      </c>
      <c r="QFN93" t="s">
        <v>440</v>
      </c>
      <c r="QFO93" t="s">
        <v>428</v>
      </c>
      <c r="QFQ93" t="s">
        <v>114</v>
      </c>
      <c r="QFR93" t="s">
        <v>113</v>
      </c>
      <c r="QFS93" t="s">
        <v>398</v>
      </c>
      <c r="QFT93">
        <v>1</v>
      </c>
      <c r="QFU93" t="s">
        <v>438</v>
      </c>
      <c r="QFV93" t="s">
        <v>440</v>
      </c>
      <c r="QFW93" t="s">
        <v>428</v>
      </c>
      <c r="QFY93" t="s">
        <v>114</v>
      </c>
      <c r="QFZ93" t="s">
        <v>113</v>
      </c>
      <c r="QGA93" t="s">
        <v>398</v>
      </c>
      <c r="QGB93">
        <v>1</v>
      </c>
      <c r="QGC93" t="s">
        <v>438</v>
      </c>
      <c r="QGD93" t="s">
        <v>440</v>
      </c>
      <c r="QGE93" t="s">
        <v>428</v>
      </c>
      <c r="QGG93" t="s">
        <v>114</v>
      </c>
      <c r="QGH93" t="s">
        <v>113</v>
      </c>
      <c r="QGI93" t="s">
        <v>398</v>
      </c>
      <c r="QGJ93">
        <v>1</v>
      </c>
      <c r="QGK93" t="s">
        <v>438</v>
      </c>
      <c r="QGL93" t="s">
        <v>440</v>
      </c>
      <c r="QGM93" t="s">
        <v>428</v>
      </c>
      <c r="QGO93" t="s">
        <v>114</v>
      </c>
      <c r="QGP93" t="s">
        <v>113</v>
      </c>
      <c r="QGQ93" t="s">
        <v>398</v>
      </c>
      <c r="QGR93">
        <v>1</v>
      </c>
      <c r="QGS93" t="s">
        <v>438</v>
      </c>
      <c r="QGT93" t="s">
        <v>440</v>
      </c>
      <c r="QGU93" t="s">
        <v>428</v>
      </c>
      <c r="QGW93" t="s">
        <v>114</v>
      </c>
      <c r="QGX93" t="s">
        <v>113</v>
      </c>
      <c r="QGY93" t="s">
        <v>398</v>
      </c>
      <c r="QGZ93">
        <v>1</v>
      </c>
      <c r="QHA93" t="s">
        <v>438</v>
      </c>
      <c r="QHB93" t="s">
        <v>440</v>
      </c>
      <c r="QHC93" t="s">
        <v>428</v>
      </c>
      <c r="QHE93" t="s">
        <v>114</v>
      </c>
      <c r="QHF93" t="s">
        <v>113</v>
      </c>
      <c r="QHG93" t="s">
        <v>398</v>
      </c>
      <c r="QHH93">
        <v>1</v>
      </c>
      <c r="QHI93" t="s">
        <v>438</v>
      </c>
      <c r="QHJ93" t="s">
        <v>440</v>
      </c>
      <c r="QHK93" t="s">
        <v>428</v>
      </c>
      <c r="QHM93" t="s">
        <v>114</v>
      </c>
      <c r="QHN93" t="s">
        <v>113</v>
      </c>
      <c r="QHO93" t="s">
        <v>398</v>
      </c>
      <c r="QHP93">
        <v>1</v>
      </c>
      <c r="QHQ93" t="s">
        <v>438</v>
      </c>
      <c r="QHR93" t="s">
        <v>440</v>
      </c>
      <c r="QHS93" t="s">
        <v>428</v>
      </c>
      <c r="QHU93" t="s">
        <v>114</v>
      </c>
      <c r="QHV93" t="s">
        <v>113</v>
      </c>
      <c r="QHW93" t="s">
        <v>398</v>
      </c>
      <c r="QHX93">
        <v>1</v>
      </c>
      <c r="QHY93" t="s">
        <v>438</v>
      </c>
      <c r="QHZ93" t="s">
        <v>440</v>
      </c>
      <c r="QIA93" t="s">
        <v>428</v>
      </c>
      <c r="QIC93" t="s">
        <v>114</v>
      </c>
      <c r="QID93" t="s">
        <v>113</v>
      </c>
      <c r="QIE93" t="s">
        <v>398</v>
      </c>
      <c r="QIF93">
        <v>1</v>
      </c>
      <c r="QIG93" t="s">
        <v>438</v>
      </c>
      <c r="QIH93" t="s">
        <v>440</v>
      </c>
      <c r="QII93" t="s">
        <v>428</v>
      </c>
      <c r="QIK93" t="s">
        <v>114</v>
      </c>
      <c r="QIL93" t="s">
        <v>113</v>
      </c>
      <c r="QIM93" t="s">
        <v>398</v>
      </c>
      <c r="QIN93">
        <v>1</v>
      </c>
      <c r="QIO93" t="s">
        <v>438</v>
      </c>
      <c r="QIP93" t="s">
        <v>440</v>
      </c>
      <c r="QIQ93" t="s">
        <v>428</v>
      </c>
      <c r="QIS93" t="s">
        <v>114</v>
      </c>
      <c r="QIT93" t="s">
        <v>113</v>
      </c>
      <c r="QIU93" t="s">
        <v>398</v>
      </c>
      <c r="QIV93">
        <v>1</v>
      </c>
      <c r="QIW93" t="s">
        <v>438</v>
      </c>
      <c r="QIX93" t="s">
        <v>440</v>
      </c>
      <c r="QIY93" t="s">
        <v>428</v>
      </c>
      <c r="QJA93" t="s">
        <v>114</v>
      </c>
      <c r="QJB93" t="s">
        <v>113</v>
      </c>
      <c r="QJC93" t="s">
        <v>398</v>
      </c>
      <c r="QJD93">
        <v>1</v>
      </c>
      <c r="QJE93" t="s">
        <v>438</v>
      </c>
      <c r="QJF93" t="s">
        <v>440</v>
      </c>
      <c r="QJG93" t="s">
        <v>428</v>
      </c>
      <c r="QJI93" t="s">
        <v>114</v>
      </c>
      <c r="QJJ93" t="s">
        <v>113</v>
      </c>
      <c r="QJK93" t="s">
        <v>398</v>
      </c>
      <c r="QJL93">
        <v>1</v>
      </c>
      <c r="QJM93" t="s">
        <v>438</v>
      </c>
      <c r="QJN93" t="s">
        <v>440</v>
      </c>
      <c r="QJO93" t="s">
        <v>428</v>
      </c>
      <c r="QJQ93" t="s">
        <v>114</v>
      </c>
      <c r="QJR93" t="s">
        <v>113</v>
      </c>
      <c r="QJS93" t="s">
        <v>398</v>
      </c>
      <c r="QJT93">
        <v>1</v>
      </c>
      <c r="QJU93" t="s">
        <v>438</v>
      </c>
      <c r="QJV93" t="s">
        <v>440</v>
      </c>
      <c r="QJW93" t="s">
        <v>428</v>
      </c>
      <c r="QJY93" t="s">
        <v>114</v>
      </c>
      <c r="QJZ93" t="s">
        <v>113</v>
      </c>
      <c r="QKA93" t="s">
        <v>398</v>
      </c>
      <c r="QKB93">
        <v>1</v>
      </c>
      <c r="QKC93" t="s">
        <v>438</v>
      </c>
      <c r="QKD93" t="s">
        <v>440</v>
      </c>
      <c r="QKE93" t="s">
        <v>428</v>
      </c>
      <c r="QKG93" t="s">
        <v>114</v>
      </c>
      <c r="QKH93" t="s">
        <v>113</v>
      </c>
      <c r="QKI93" t="s">
        <v>398</v>
      </c>
      <c r="QKJ93">
        <v>1</v>
      </c>
      <c r="QKK93" t="s">
        <v>438</v>
      </c>
      <c r="QKL93" t="s">
        <v>440</v>
      </c>
      <c r="QKM93" t="s">
        <v>428</v>
      </c>
      <c r="QKO93" t="s">
        <v>114</v>
      </c>
      <c r="QKP93" t="s">
        <v>113</v>
      </c>
      <c r="QKQ93" t="s">
        <v>398</v>
      </c>
      <c r="QKR93">
        <v>1</v>
      </c>
      <c r="QKS93" t="s">
        <v>438</v>
      </c>
      <c r="QKT93" t="s">
        <v>440</v>
      </c>
      <c r="QKU93" t="s">
        <v>428</v>
      </c>
      <c r="QKW93" t="s">
        <v>114</v>
      </c>
      <c r="QKX93" t="s">
        <v>113</v>
      </c>
      <c r="QKY93" t="s">
        <v>398</v>
      </c>
      <c r="QKZ93">
        <v>1</v>
      </c>
      <c r="QLA93" t="s">
        <v>438</v>
      </c>
      <c r="QLB93" t="s">
        <v>440</v>
      </c>
      <c r="QLC93" t="s">
        <v>428</v>
      </c>
      <c r="QLE93" t="s">
        <v>114</v>
      </c>
      <c r="QLF93" t="s">
        <v>113</v>
      </c>
      <c r="QLG93" t="s">
        <v>398</v>
      </c>
      <c r="QLH93">
        <v>1</v>
      </c>
      <c r="QLI93" t="s">
        <v>438</v>
      </c>
      <c r="QLJ93" t="s">
        <v>440</v>
      </c>
      <c r="QLK93" t="s">
        <v>428</v>
      </c>
      <c r="QLM93" t="s">
        <v>114</v>
      </c>
      <c r="QLN93" t="s">
        <v>113</v>
      </c>
      <c r="QLO93" t="s">
        <v>398</v>
      </c>
      <c r="QLP93">
        <v>1</v>
      </c>
      <c r="QLQ93" t="s">
        <v>438</v>
      </c>
      <c r="QLR93" t="s">
        <v>440</v>
      </c>
      <c r="QLS93" t="s">
        <v>428</v>
      </c>
      <c r="QLU93" t="s">
        <v>114</v>
      </c>
      <c r="QLV93" t="s">
        <v>113</v>
      </c>
      <c r="QLW93" t="s">
        <v>398</v>
      </c>
      <c r="QLX93">
        <v>1</v>
      </c>
      <c r="QLY93" t="s">
        <v>438</v>
      </c>
      <c r="QLZ93" t="s">
        <v>440</v>
      </c>
      <c r="QMA93" t="s">
        <v>428</v>
      </c>
      <c r="QMC93" t="s">
        <v>114</v>
      </c>
      <c r="QMD93" t="s">
        <v>113</v>
      </c>
      <c r="QME93" t="s">
        <v>398</v>
      </c>
      <c r="QMF93">
        <v>1</v>
      </c>
      <c r="QMG93" t="s">
        <v>438</v>
      </c>
      <c r="QMH93" t="s">
        <v>440</v>
      </c>
      <c r="QMI93" t="s">
        <v>428</v>
      </c>
      <c r="QMK93" t="s">
        <v>114</v>
      </c>
      <c r="QML93" t="s">
        <v>113</v>
      </c>
      <c r="QMM93" t="s">
        <v>398</v>
      </c>
      <c r="QMN93">
        <v>1</v>
      </c>
      <c r="QMO93" t="s">
        <v>438</v>
      </c>
      <c r="QMP93" t="s">
        <v>440</v>
      </c>
      <c r="QMQ93" t="s">
        <v>428</v>
      </c>
      <c r="QMS93" t="s">
        <v>114</v>
      </c>
      <c r="QMT93" t="s">
        <v>113</v>
      </c>
      <c r="QMU93" t="s">
        <v>398</v>
      </c>
      <c r="QMV93">
        <v>1</v>
      </c>
      <c r="QMW93" t="s">
        <v>438</v>
      </c>
      <c r="QMX93" t="s">
        <v>440</v>
      </c>
      <c r="QMY93" t="s">
        <v>428</v>
      </c>
      <c r="QNA93" t="s">
        <v>114</v>
      </c>
      <c r="QNB93" t="s">
        <v>113</v>
      </c>
      <c r="QNC93" t="s">
        <v>398</v>
      </c>
      <c r="QND93">
        <v>1</v>
      </c>
      <c r="QNE93" t="s">
        <v>438</v>
      </c>
      <c r="QNF93" t="s">
        <v>440</v>
      </c>
      <c r="QNG93" t="s">
        <v>428</v>
      </c>
      <c r="QNI93" t="s">
        <v>114</v>
      </c>
      <c r="QNJ93" t="s">
        <v>113</v>
      </c>
      <c r="QNK93" t="s">
        <v>398</v>
      </c>
      <c r="QNL93">
        <v>1</v>
      </c>
      <c r="QNM93" t="s">
        <v>438</v>
      </c>
      <c r="QNN93" t="s">
        <v>440</v>
      </c>
      <c r="QNO93" t="s">
        <v>428</v>
      </c>
      <c r="QNQ93" t="s">
        <v>114</v>
      </c>
      <c r="QNR93" t="s">
        <v>113</v>
      </c>
      <c r="QNS93" t="s">
        <v>398</v>
      </c>
      <c r="QNT93">
        <v>1</v>
      </c>
      <c r="QNU93" t="s">
        <v>438</v>
      </c>
      <c r="QNV93" t="s">
        <v>440</v>
      </c>
      <c r="QNW93" t="s">
        <v>428</v>
      </c>
      <c r="QNY93" t="s">
        <v>114</v>
      </c>
      <c r="QNZ93" t="s">
        <v>113</v>
      </c>
      <c r="QOA93" t="s">
        <v>398</v>
      </c>
      <c r="QOB93">
        <v>1</v>
      </c>
      <c r="QOC93" t="s">
        <v>438</v>
      </c>
      <c r="QOD93" t="s">
        <v>440</v>
      </c>
      <c r="QOE93" t="s">
        <v>428</v>
      </c>
      <c r="QOG93" t="s">
        <v>114</v>
      </c>
      <c r="QOH93" t="s">
        <v>113</v>
      </c>
      <c r="QOI93" t="s">
        <v>398</v>
      </c>
      <c r="QOJ93">
        <v>1</v>
      </c>
      <c r="QOK93" t="s">
        <v>438</v>
      </c>
      <c r="QOL93" t="s">
        <v>440</v>
      </c>
      <c r="QOM93" t="s">
        <v>428</v>
      </c>
      <c r="QOO93" t="s">
        <v>114</v>
      </c>
      <c r="QOP93" t="s">
        <v>113</v>
      </c>
      <c r="QOQ93" t="s">
        <v>398</v>
      </c>
      <c r="QOR93">
        <v>1</v>
      </c>
      <c r="QOS93" t="s">
        <v>438</v>
      </c>
      <c r="QOT93" t="s">
        <v>440</v>
      </c>
      <c r="QOU93" t="s">
        <v>428</v>
      </c>
      <c r="QOW93" t="s">
        <v>114</v>
      </c>
      <c r="QOX93" t="s">
        <v>113</v>
      </c>
      <c r="QOY93" t="s">
        <v>398</v>
      </c>
      <c r="QOZ93">
        <v>1</v>
      </c>
      <c r="QPA93" t="s">
        <v>438</v>
      </c>
      <c r="QPB93" t="s">
        <v>440</v>
      </c>
      <c r="QPC93" t="s">
        <v>428</v>
      </c>
      <c r="QPE93" t="s">
        <v>114</v>
      </c>
      <c r="QPF93" t="s">
        <v>113</v>
      </c>
      <c r="QPG93" t="s">
        <v>398</v>
      </c>
      <c r="QPH93">
        <v>1</v>
      </c>
      <c r="QPI93" t="s">
        <v>438</v>
      </c>
      <c r="QPJ93" t="s">
        <v>440</v>
      </c>
      <c r="QPK93" t="s">
        <v>428</v>
      </c>
      <c r="QPM93" t="s">
        <v>114</v>
      </c>
      <c r="QPN93" t="s">
        <v>113</v>
      </c>
      <c r="QPO93" t="s">
        <v>398</v>
      </c>
      <c r="QPP93">
        <v>1</v>
      </c>
      <c r="QPQ93" t="s">
        <v>438</v>
      </c>
      <c r="QPR93" t="s">
        <v>440</v>
      </c>
      <c r="QPS93" t="s">
        <v>428</v>
      </c>
      <c r="QPU93" t="s">
        <v>114</v>
      </c>
      <c r="QPV93" t="s">
        <v>113</v>
      </c>
      <c r="QPW93" t="s">
        <v>398</v>
      </c>
      <c r="QPX93">
        <v>1</v>
      </c>
      <c r="QPY93" t="s">
        <v>438</v>
      </c>
      <c r="QPZ93" t="s">
        <v>440</v>
      </c>
      <c r="QQA93" t="s">
        <v>428</v>
      </c>
      <c r="QQC93" t="s">
        <v>114</v>
      </c>
      <c r="QQD93" t="s">
        <v>113</v>
      </c>
      <c r="QQE93" t="s">
        <v>398</v>
      </c>
      <c r="QQF93">
        <v>1</v>
      </c>
      <c r="QQG93" t="s">
        <v>438</v>
      </c>
      <c r="QQH93" t="s">
        <v>440</v>
      </c>
      <c r="QQI93" t="s">
        <v>428</v>
      </c>
      <c r="QQK93" t="s">
        <v>114</v>
      </c>
      <c r="QQL93" t="s">
        <v>113</v>
      </c>
      <c r="QQM93" t="s">
        <v>398</v>
      </c>
      <c r="QQN93">
        <v>1</v>
      </c>
      <c r="QQO93" t="s">
        <v>438</v>
      </c>
      <c r="QQP93" t="s">
        <v>440</v>
      </c>
      <c r="QQQ93" t="s">
        <v>428</v>
      </c>
      <c r="QQS93" t="s">
        <v>114</v>
      </c>
      <c r="QQT93" t="s">
        <v>113</v>
      </c>
      <c r="QQU93" t="s">
        <v>398</v>
      </c>
      <c r="QQV93">
        <v>1</v>
      </c>
      <c r="QQW93" t="s">
        <v>438</v>
      </c>
      <c r="QQX93" t="s">
        <v>440</v>
      </c>
      <c r="QQY93" t="s">
        <v>428</v>
      </c>
      <c r="QRA93" t="s">
        <v>114</v>
      </c>
      <c r="QRB93" t="s">
        <v>113</v>
      </c>
      <c r="QRC93" t="s">
        <v>398</v>
      </c>
      <c r="QRD93">
        <v>1</v>
      </c>
      <c r="QRE93" t="s">
        <v>438</v>
      </c>
      <c r="QRF93" t="s">
        <v>440</v>
      </c>
      <c r="QRG93" t="s">
        <v>428</v>
      </c>
      <c r="QRI93" t="s">
        <v>114</v>
      </c>
      <c r="QRJ93" t="s">
        <v>113</v>
      </c>
      <c r="QRK93" t="s">
        <v>398</v>
      </c>
      <c r="QRL93">
        <v>1</v>
      </c>
      <c r="QRM93" t="s">
        <v>438</v>
      </c>
      <c r="QRN93" t="s">
        <v>440</v>
      </c>
      <c r="QRO93" t="s">
        <v>428</v>
      </c>
      <c r="QRQ93" t="s">
        <v>114</v>
      </c>
      <c r="QRR93" t="s">
        <v>113</v>
      </c>
      <c r="QRS93" t="s">
        <v>398</v>
      </c>
      <c r="QRT93">
        <v>1</v>
      </c>
      <c r="QRU93" t="s">
        <v>438</v>
      </c>
      <c r="QRV93" t="s">
        <v>440</v>
      </c>
      <c r="QRW93" t="s">
        <v>428</v>
      </c>
      <c r="QRY93" t="s">
        <v>114</v>
      </c>
      <c r="QRZ93" t="s">
        <v>113</v>
      </c>
      <c r="QSA93" t="s">
        <v>398</v>
      </c>
      <c r="QSB93">
        <v>1</v>
      </c>
      <c r="QSC93" t="s">
        <v>438</v>
      </c>
      <c r="QSD93" t="s">
        <v>440</v>
      </c>
      <c r="QSE93" t="s">
        <v>428</v>
      </c>
      <c r="QSG93" t="s">
        <v>114</v>
      </c>
      <c r="QSH93" t="s">
        <v>113</v>
      </c>
      <c r="QSI93" t="s">
        <v>398</v>
      </c>
      <c r="QSJ93">
        <v>1</v>
      </c>
      <c r="QSK93" t="s">
        <v>438</v>
      </c>
      <c r="QSL93" t="s">
        <v>440</v>
      </c>
      <c r="QSM93" t="s">
        <v>428</v>
      </c>
      <c r="QSO93" t="s">
        <v>114</v>
      </c>
      <c r="QSP93" t="s">
        <v>113</v>
      </c>
      <c r="QSQ93" t="s">
        <v>398</v>
      </c>
      <c r="QSR93">
        <v>1</v>
      </c>
      <c r="QSS93" t="s">
        <v>438</v>
      </c>
      <c r="QST93" t="s">
        <v>440</v>
      </c>
      <c r="QSU93" t="s">
        <v>428</v>
      </c>
      <c r="QSW93" t="s">
        <v>114</v>
      </c>
      <c r="QSX93" t="s">
        <v>113</v>
      </c>
      <c r="QSY93" t="s">
        <v>398</v>
      </c>
      <c r="QSZ93">
        <v>1</v>
      </c>
      <c r="QTA93" t="s">
        <v>438</v>
      </c>
      <c r="QTB93" t="s">
        <v>440</v>
      </c>
      <c r="QTC93" t="s">
        <v>428</v>
      </c>
      <c r="QTE93" t="s">
        <v>114</v>
      </c>
      <c r="QTF93" t="s">
        <v>113</v>
      </c>
      <c r="QTG93" t="s">
        <v>398</v>
      </c>
      <c r="QTH93">
        <v>1</v>
      </c>
      <c r="QTI93" t="s">
        <v>438</v>
      </c>
      <c r="QTJ93" t="s">
        <v>440</v>
      </c>
      <c r="QTK93" t="s">
        <v>428</v>
      </c>
      <c r="QTM93" t="s">
        <v>114</v>
      </c>
      <c r="QTN93" t="s">
        <v>113</v>
      </c>
      <c r="QTO93" t="s">
        <v>398</v>
      </c>
      <c r="QTP93">
        <v>1</v>
      </c>
      <c r="QTQ93" t="s">
        <v>438</v>
      </c>
      <c r="QTR93" t="s">
        <v>440</v>
      </c>
      <c r="QTS93" t="s">
        <v>428</v>
      </c>
      <c r="QTU93" t="s">
        <v>114</v>
      </c>
      <c r="QTV93" t="s">
        <v>113</v>
      </c>
      <c r="QTW93" t="s">
        <v>398</v>
      </c>
      <c r="QTX93">
        <v>1</v>
      </c>
      <c r="QTY93" t="s">
        <v>438</v>
      </c>
      <c r="QTZ93" t="s">
        <v>440</v>
      </c>
      <c r="QUA93" t="s">
        <v>428</v>
      </c>
      <c r="QUC93" t="s">
        <v>114</v>
      </c>
      <c r="QUD93" t="s">
        <v>113</v>
      </c>
      <c r="QUE93" t="s">
        <v>398</v>
      </c>
      <c r="QUF93">
        <v>1</v>
      </c>
      <c r="QUG93" t="s">
        <v>438</v>
      </c>
      <c r="QUH93" t="s">
        <v>440</v>
      </c>
      <c r="QUI93" t="s">
        <v>428</v>
      </c>
      <c r="QUK93" t="s">
        <v>114</v>
      </c>
      <c r="QUL93" t="s">
        <v>113</v>
      </c>
      <c r="QUM93" t="s">
        <v>398</v>
      </c>
      <c r="QUN93">
        <v>1</v>
      </c>
      <c r="QUO93" t="s">
        <v>438</v>
      </c>
      <c r="QUP93" t="s">
        <v>440</v>
      </c>
      <c r="QUQ93" t="s">
        <v>428</v>
      </c>
      <c r="QUS93" t="s">
        <v>114</v>
      </c>
      <c r="QUT93" t="s">
        <v>113</v>
      </c>
      <c r="QUU93" t="s">
        <v>398</v>
      </c>
      <c r="QUV93">
        <v>1</v>
      </c>
      <c r="QUW93" t="s">
        <v>438</v>
      </c>
      <c r="QUX93" t="s">
        <v>440</v>
      </c>
      <c r="QUY93" t="s">
        <v>428</v>
      </c>
      <c r="QVA93" t="s">
        <v>114</v>
      </c>
      <c r="QVB93" t="s">
        <v>113</v>
      </c>
      <c r="QVC93" t="s">
        <v>398</v>
      </c>
      <c r="QVD93">
        <v>1</v>
      </c>
      <c r="QVE93" t="s">
        <v>438</v>
      </c>
      <c r="QVF93" t="s">
        <v>440</v>
      </c>
      <c r="QVG93" t="s">
        <v>428</v>
      </c>
      <c r="QVI93" t="s">
        <v>114</v>
      </c>
      <c r="QVJ93" t="s">
        <v>113</v>
      </c>
      <c r="QVK93" t="s">
        <v>398</v>
      </c>
      <c r="QVL93">
        <v>1</v>
      </c>
      <c r="QVM93" t="s">
        <v>438</v>
      </c>
      <c r="QVN93" t="s">
        <v>440</v>
      </c>
      <c r="QVO93" t="s">
        <v>428</v>
      </c>
      <c r="QVQ93" t="s">
        <v>114</v>
      </c>
      <c r="QVR93" t="s">
        <v>113</v>
      </c>
      <c r="QVS93" t="s">
        <v>398</v>
      </c>
      <c r="QVT93">
        <v>1</v>
      </c>
      <c r="QVU93" t="s">
        <v>438</v>
      </c>
      <c r="QVV93" t="s">
        <v>440</v>
      </c>
      <c r="QVW93" t="s">
        <v>428</v>
      </c>
      <c r="QVY93" t="s">
        <v>114</v>
      </c>
      <c r="QVZ93" t="s">
        <v>113</v>
      </c>
      <c r="QWA93" t="s">
        <v>398</v>
      </c>
      <c r="QWB93">
        <v>1</v>
      </c>
      <c r="QWC93" t="s">
        <v>438</v>
      </c>
      <c r="QWD93" t="s">
        <v>440</v>
      </c>
      <c r="QWE93" t="s">
        <v>428</v>
      </c>
      <c r="QWG93" t="s">
        <v>114</v>
      </c>
      <c r="QWH93" t="s">
        <v>113</v>
      </c>
      <c r="QWI93" t="s">
        <v>398</v>
      </c>
      <c r="QWJ93">
        <v>1</v>
      </c>
      <c r="QWK93" t="s">
        <v>438</v>
      </c>
      <c r="QWL93" t="s">
        <v>440</v>
      </c>
      <c r="QWM93" t="s">
        <v>428</v>
      </c>
      <c r="QWO93" t="s">
        <v>114</v>
      </c>
      <c r="QWP93" t="s">
        <v>113</v>
      </c>
      <c r="QWQ93" t="s">
        <v>398</v>
      </c>
      <c r="QWR93">
        <v>1</v>
      </c>
      <c r="QWS93" t="s">
        <v>438</v>
      </c>
      <c r="QWT93" t="s">
        <v>440</v>
      </c>
      <c r="QWU93" t="s">
        <v>428</v>
      </c>
      <c r="QWW93" t="s">
        <v>114</v>
      </c>
      <c r="QWX93" t="s">
        <v>113</v>
      </c>
      <c r="QWY93" t="s">
        <v>398</v>
      </c>
      <c r="QWZ93">
        <v>1</v>
      </c>
      <c r="QXA93" t="s">
        <v>438</v>
      </c>
      <c r="QXB93" t="s">
        <v>440</v>
      </c>
      <c r="QXC93" t="s">
        <v>428</v>
      </c>
      <c r="QXE93" t="s">
        <v>114</v>
      </c>
      <c r="QXF93" t="s">
        <v>113</v>
      </c>
      <c r="QXG93" t="s">
        <v>398</v>
      </c>
      <c r="QXH93">
        <v>1</v>
      </c>
      <c r="QXI93" t="s">
        <v>438</v>
      </c>
      <c r="QXJ93" t="s">
        <v>440</v>
      </c>
      <c r="QXK93" t="s">
        <v>428</v>
      </c>
      <c r="QXM93" t="s">
        <v>114</v>
      </c>
      <c r="QXN93" t="s">
        <v>113</v>
      </c>
      <c r="QXO93" t="s">
        <v>398</v>
      </c>
      <c r="QXP93">
        <v>1</v>
      </c>
      <c r="QXQ93" t="s">
        <v>438</v>
      </c>
      <c r="QXR93" t="s">
        <v>440</v>
      </c>
      <c r="QXS93" t="s">
        <v>428</v>
      </c>
      <c r="QXU93" t="s">
        <v>114</v>
      </c>
      <c r="QXV93" t="s">
        <v>113</v>
      </c>
      <c r="QXW93" t="s">
        <v>398</v>
      </c>
      <c r="QXX93">
        <v>1</v>
      </c>
      <c r="QXY93" t="s">
        <v>438</v>
      </c>
      <c r="QXZ93" t="s">
        <v>440</v>
      </c>
      <c r="QYA93" t="s">
        <v>428</v>
      </c>
      <c r="QYC93" t="s">
        <v>114</v>
      </c>
      <c r="QYD93" t="s">
        <v>113</v>
      </c>
      <c r="QYE93" t="s">
        <v>398</v>
      </c>
      <c r="QYF93">
        <v>1</v>
      </c>
      <c r="QYG93" t="s">
        <v>438</v>
      </c>
      <c r="QYH93" t="s">
        <v>440</v>
      </c>
      <c r="QYI93" t="s">
        <v>428</v>
      </c>
      <c r="QYK93" t="s">
        <v>114</v>
      </c>
      <c r="QYL93" t="s">
        <v>113</v>
      </c>
      <c r="QYM93" t="s">
        <v>398</v>
      </c>
      <c r="QYN93">
        <v>1</v>
      </c>
      <c r="QYO93" t="s">
        <v>438</v>
      </c>
      <c r="QYP93" t="s">
        <v>440</v>
      </c>
      <c r="QYQ93" t="s">
        <v>428</v>
      </c>
      <c r="QYS93" t="s">
        <v>114</v>
      </c>
      <c r="QYT93" t="s">
        <v>113</v>
      </c>
      <c r="QYU93" t="s">
        <v>398</v>
      </c>
      <c r="QYV93">
        <v>1</v>
      </c>
      <c r="QYW93" t="s">
        <v>438</v>
      </c>
      <c r="QYX93" t="s">
        <v>440</v>
      </c>
      <c r="QYY93" t="s">
        <v>428</v>
      </c>
      <c r="QZA93" t="s">
        <v>114</v>
      </c>
      <c r="QZB93" t="s">
        <v>113</v>
      </c>
      <c r="QZC93" t="s">
        <v>398</v>
      </c>
      <c r="QZD93">
        <v>1</v>
      </c>
      <c r="QZE93" t="s">
        <v>438</v>
      </c>
      <c r="QZF93" t="s">
        <v>440</v>
      </c>
      <c r="QZG93" t="s">
        <v>428</v>
      </c>
      <c r="QZI93" t="s">
        <v>114</v>
      </c>
      <c r="QZJ93" t="s">
        <v>113</v>
      </c>
      <c r="QZK93" t="s">
        <v>398</v>
      </c>
      <c r="QZL93">
        <v>1</v>
      </c>
      <c r="QZM93" t="s">
        <v>438</v>
      </c>
      <c r="QZN93" t="s">
        <v>440</v>
      </c>
      <c r="QZO93" t="s">
        <v>428</v>
      </c>
      <c r="QZQ93" t="s">
        <v>114</v>
      </c>
      <c r="QZR93" t="s">
        <v>113</v>
      </c>
      <c r="QZS93" t="s">
        <v>398</v>
      </c>
      <c r="QZT93">
        <v>1</v>
      </c>
      <c r="QZU93" t="s">
        <v>438</v>
      </c>
      <c r="QZV93" t="s">
        <v>440</v>
      </c>
      <c r="QZW93" t="s">
        <v>428</v>
      </c>
      <c r="QZY93" t="s">
        <v>114</v>
      </c>
      <c r="QZZ93" t="s">
        <v>113</v>
      </c>
      <c r="RAA93" t="s">
        <v>398</v>
      </c>
      <c r="RAB93">
        <v>1</v>
      </c>
      <c r="RAC93" t="s">
        <v>438</v>
      </c>
      <c r="RAD93" t="s">
        <v>440</v>
      </c>
      <c r="RAE93" t="s">
        <v>428</v>
      </c>
      <c r="RAG93" t="s">
        <v>114</v>
      </c>
      <c r="RAH93" t="s">
        <v>113</v>
      </c>
      <c r="RAI93" t="s">
        <v>398</v>
      </c>
      <c r="RAJ93">
        <v>1</v>
      </c>
      <c r="RAK93" t="s">
        <v>438</v>
      </c>
      <c r="RAL93" t="s">
        <v>440</v>
      </c>
      <c r="RAM93" t="s">
        <v>428</v>
      </c>
      <c r="RAO93" t="s">
        <v>114</v>
      </c>
      <c r="RAP93" t="s">
        <v>113</v>
      </c>
      <c r="RAQ93" t="s">
        <v>398</v>
      </c>
      <c r="RAR93">
        <v>1</v>
      </c>
      <c r="RAS93" t="s">
        <v>438</v>
      </c>
      <c r="RAT93" t="s">
        <v>440</v>
      </c>
      <c r="RAU93" t="s">
        <v>428</v>
      </c>
      <c r="RAW93" t="s">
        <v>114</v>
      </c>
      <c r="RAX93" t="s">
        <v>113</v>
      </c>
      <c r="RAY93" t="s">
        <v>398</v>
      </c>
      <c r="RAZ93">
        <v>1</v>
      </c>
      <c r="RBA93" t="s">
        <v>438</v>
      </c>
      <c r="RBB93" t="s">
        <v>440</v>
      </c>
      <c r="RBC93" t="s">
        <v>428</v>
      </c>
      <c r="RBE93" t="s">
        <v>114</v>
      </c>
      <c r="RBF93" t="s">
        <v>113</v>
      </c>
      <c r="RBG93" t="s">
        <v>398</v>
      </c>
      <c r="RBH93">
        <v>1</v>
      </c>
      <c r="RBI93" t="s">
        <v>438</v>
      </c>
      <c r="RBJ93" t="s">
        <v>440</v>
      </c>
      <c r="RBK93" t="s">
        <v>428</v>
      </c>
      <c r="RBM93" t="s">
        <v>114</v>
      </c>
      <c r="RBN93" t="s">
        <v>113</v>
      </c>
      <c r="RBO93" t="s">
        <v>398</v>
      </c>
      <c r="RBP93">
        <v>1</v>
      </c>
      <c r="RBQ93" t="s">
        <v>438</v>
      </c>
      <c r="RBR93" t="s">
        <v>440</v>
      </c>
      <c r="RBS93" t="s">
        <v>428</v>
      </c>
      <c r="RBU93" t="s">
        <v>114</v>
      </c>
      <c r="RBV93" t="s">
        <v>113</v>
      </c>
      <c r="RBW93" t="s">
        <v>398</v>
      </c>
      <c r="RBX93">
        <v>1</v>
      </c>
      <c r="RBY93" t="s">
        <v>438</v>
      </c>
      <c r="RBZ93" t="s">
        <v>440</v>
      </c>
      <c r="RCA93" t="s">
        <v>428</v>
      </c>
      <c r="RCC93" t="s">
        <v>114</v>
      </c>
      <c r="RCD93" t="s">
        <v>113</v>
      </c>
      <c r="RCE93" t="s">
        <v>398</v>
      </c>
      <c r="RCF93">
        <v>1</v>
      </c>
      <c r="RCG93" t="s">
        <v>438</v>
      </c>
      <c r="RCH93" t="s">
        <v>440</v>
      </c>
      <c r="RCI93" t="s">
        <v>428</v>
      </c>
      <c r="RCK93" t="s">
        <v>114</v>
      </c>
      <c r="RCL93" t="s">
        <v>113</v>
      </c>
      <c r="RCM93" t="s">
        <v>398</v>
      </c>
      <c r="RCN93">
        <v>1</v>
      </c>
      <c r="RCO93" t="s">
        <v>438</v>
      </c>
      <c r="RCP93" t="s">
        <v>440</v>
      </c>
      <c r="RCQ93" t="s">
        <v>428</v>
      </c>
      <c r="RCS93" t="s">
        <v>114</v>
      </c>
      <c r="RCT93" t="s">
        <v>113</v>
      </c>
      <c r="RCU93" t="s">
        <v>398</v>
      </c>
      <c r="RCV93">
        <v>1</v>
      </c>
      <c r="RCW93" t="s">
        <v>438</v>
      </c>
      <c r="RCX93" t="s">
        <v>440</v>
      </c>
      <c r="RCY93" t="s">
        <v>428</v>
      </c>
      <c r="RDA93" t="s">
        <v>114</v>
      </c>
      <c r="RDB93" t="s">
        <v>113</v>
      </c>
      <c r="RDC93" t="s">
        <v>398</v>
      </c>
      <c r="RDD93">
        <v>1</v>
      </c>
      <c r="RDE93" t="s">
        <v>438</v>
      </c>
      <c r="RDF93" t="s">
        <v>440</v>
      </c>
      <c r="RDG93" t="s">
        <v>428</v>
      </c>
      <c r="RDI93" t="s">
        <v>114</v>
      </c>
      <c r="RDJ93" t="s">
        <v>113</v>
      </c>
      <c r="RDK93" t="s">
        <v>398</v>
      </c>
      <c r="RDL93">
        <v>1</v>
      </c>
      <c r="RDM93" t="s">
        <v>438</v>
      </c>
      <c r="RDN93" t="s">
        <v>440</v>
      </c>
      <c r="RDO93" t="s">
        <v>428</v>
      </c>
      <c r="RDQ93" t="s">
        <v>114</v>
      </c>
      <c r="RDR93" t="s">
        <v>113</v>
      </c>
      <c r="RDS93" t="s">
        <v>398</v>
      </c>
      <c r="RDT93">
        <v>1</v>
      </c>
      <c r="RDU93" t="s">
        <v>438</v>
      </c>
      <c r="RDV93" t="s">
        <v>440</v>
      </c>
      <c r="RDW93" t="s">
        <v>428</v>
      </c>
      <c r="RDY93" t="s">
        <v>114</v>
      </c>
      <c r="RDZ93" t="s">
        <v>113</v>
      </c>
      <c r="REA93" t="s">
        <v>398</v>
      </c>
      <c r="REB93">
        <v>1</v>
      </c>
      <c r="REC93" t="s">
        <v>438</v>
      </c>
      <c r="RED93" t="s">
        <v>440</v>
      </c>
      <c r="REE93" t="s">
        <v>428</v>
      </c>
      <c r="REG93" t="s">
        <v>114</v>
      </c>
      <c r="REH93" t="s">
        <v>113</v>
      </c>
      <c r="REI93" t="s">
        <v>398</v>
      </c>
      <c r="REJ93">
        <v>1</v>
      </c>
      <c r="REK93" t="s">
        <v>438</v>
      </c>
      <c r="REL93" t="s">
        <v>440</v>
      </c>
      <c r="REM93" t="s">
        <v>428</v>
      </c>
      <c r="REO93" t="s">
        <v>114</v>
      </c>
      <c r="REP93" t="s">
        <v>113</v>
      </c>
      <c r="REQ93" t="s">
        <v>398</v>
      </c>
      <c r="RER93">
        <v>1</v>
      </c>
      <c r="RES93" t="s">
        <v>438</v>
      </c>
      <c r="RET93" t="s">
        <v>440</v>
      </c>
      <c r="REU93" t="s">
        <v>428</v>
      </c>
      <c r="REW93" t="s">
        <v>114</v>
      </c>
      <c r="REX93" t="s">
        <v>113</v>
      </c>
      <c r="REY93" t="s">
        <v>398</v>
      </c>
      <c r="REZ93">
        <v>1</v>
      </c>
      <c r="RFA93" t="s">
        <v>438</v>
      </c>
      <c r="RFB93" t="s">
        <v>440</v>
      </c>
      <c r="RFC93" t="s">
        <v>428</v>
      </c>
      <c r="RFE93" t="s">
        <v>114</v>
      </c>
      <c r="RFF93" t="s">
        <v>113</v>
      </c>
      <c r="RFG93" t="s">
        <v>398</v>
      </c>
      <c r="RFH93">
        <v>1</v>
      </c>
      <c r="RFI93" t="s">
        <v>438</v>
      </c>
      <c r="RFJ93" t="s">
        <v>440</v>
      </c>
      <c r="RFK93" t="s">
        <v>428</v>
      </c>
      <c r="RFM93" t="s">
        <v>114</v>
      </c>
      <c r="RFN93" t="s">
        <v>113</v>
      </c>
      <c r="RFO93" t="s">
        <v>398</v>
      </c>
      <c r="RFP93">
        <v>1</v>
      </c>
      <c r="RFQ93" t="s">
        <v>438</v>
      </c>
      <c r="RFR93" t="s">
        <v>440</v>
      </c>
      <c r="RFS93" t="s">
        <v>428</v>
      </c>
      <c r="RFU93" t="s">
        <v>114</v>
      </c>
      <c r="RFV93" t="s">
        <v>113</v>
      </c>
      <c r="RFW93" t="s">
        <v>398</v>
      </c>
      <c r="RFX93">
        <v>1</v>
      </c>
      <c r="RFY93" t="s">
        <v>438</v>
      </c>
      <c r="RFZ93" t="s">
        <v>440</v>
      </c>
      <c r="RGA93" t="s">
        <v>428</v>
      </c>
      <c r="RGC93" t="s">
        <v>114</v>
      </c>
      <c r="RGD93" t="s">
        <v>113</v>
      </c>
      <c r="RGE93" t="s">
        <v>398</v>
      </c>
      <c r="RGF93">
        <v>1</v>
      </c>
      <c r="RGG93" t="s">
        <v>438</v>
      </c>
      <c r="RGH93" t="s">
        <v>440</v>
      </c>
      <c r="RGI93" t="s">
        <v>428</v>
      </c>
      <c r="RGK93" t="s">
        <v>114</v>
      </c>
      <c r="RGL93" t="s">
        <v>113</v>
      </c>
      <c r="RGM93" t="s">
        <v>398</v>
      </c>
      <c r="RGN93">
        <v>1</v>
      </c>
      <c r="RGO93" t="s">
        <v>438</v>
      </c>
      <c r="RGP93" t="s">
        <v>440</v>
      </c>
      <c r="RGQ93" t="s">
        <v>428</v>
      </c>
      <c r="RGS93" t="s">
        <v>114</v>
      </c>
      <c r="RGT93" t="s">
        <v>113</v>
      </c>
      <c r="RGU93" t="s">
        <v>398</v>
      </c>
      <c r="RGV93">
        <v>1</v>
      </c>
      <c r="RGW93" t="s">
        <v>438</v>
      </c>
      <c r="RGX93" t="s">
        <v>440</v>
      </c>
      <c r="RGY93" t="s">
        <v>428</v>
      </c>
      <c r="RHA93" t="s">
        <v>114</v>
      </c>
      <c r="RHB93" t="s">
        <v>113</v>
      </c>
      <c r="RHC93" t="s">
        <v>398</v>
      </c>
      <c r="RHD93">
        <v>1</v>
      </c>
      <c r="RHE93" t="s">
        <v>438</v>
      </c>
      <c r="RHF93" t="s">
        <v>440</v>
      </c>
      <c r="RHG93" t="s">
        <v>428</v>
      </c>
      <c r="RHI93" t="s">
        <v>114</v>
      </c>
      <c r="RHJ93" t="s">
        <v>113</v>
      </c>
      <c r="RHK93" t="s">
        <v>398</v>
      </c>
      <c r="RHL93">
        <v>1</v>
      </c>
      <c r="RHM93" t="s">
        <v>438</v>
      </c>
      <c r="RHN93" t="s">
        <v>440</v>
      </c>
      <c r="RHO93" t="s">
        <v>428</v>
      </c>
      <c r="RHQ93" t="s">
        <v>114</v>
      </c>
      <c r="RHR93" t="s">
        <v>113</v>
      </c>
      <c r="RHS93" t="s">
        <v>398</v>
      </c>
      <c r="RHT93">
        <v>1</v>
      </c>
      <c r="RHU93" t="s">
        <v>438</v>
      </c>
      <c r="RHV93" t="s">
        <v>440</v>
      </c>
      <c r="RHW93" t="s">
        <v>428</v>
      </c>
      <c r="RHY93" t="s">
        <v>114</v>
      </c>
      <c r="RHZ93" t="s">
        <v>113</v>
      </c>
      <c r="RIA93" t="s">
        <v>398</v>
      </c>
      <c r="RIB93">
        <v>1</v>
      </c>
      <c r="RIC93" t="s">
        <v>438</v>
      </c>
      <c r="RID93" t="s">
        <v>440</v>
      </c>
      <c r="RIE93" t="s">
        <v>428</v>
      </c>
      <c r="RIG93" t="s">
        <v>114</v>
      </c>
      <c r="RIH93" t="s">
        <v>113</v>
      </c>
      <c r="RII93" t="s">
        <v>398</v>
      </c>
      <c r="RIJ93">
        <v>1</v>
      </c>
      <c r="RIK93" t="s">
        <v>438</v>
      </c>
      <c r="RIL93" t="s">
        <v>440</v>
      </c>
      <c r="RIM93" t="s">
        <v>428</v>
      </c>
      <c r="RIO93" t="s">
        <v>114</v>
      </c>
      <c r="RIP93" t="s">
        <v>113</v>
      </c>
      <c r="RIQ93" t="s">
        <v>398</v>
      </c>
      <c r="RIR93">
        <v>1</v>
      </c>
      <c r="RIS93" t="s">
        <v>438</v>
      </c>
      <c r="RIT93" t="s">
        <v>440</v>
      </c>
      <c r="RIU93" t="s">
        <v>428</v>
      </c>
      <c r="RIW93" t="s">
        <v>114</v>
      </c>
      <c r="RIX93" t="s">
        <v>113</v>
      </c>
      <c r="RIY93" t="s">
        <v>398</v>
      </c>
      <c r="RIZ93">
        <v>1</v>
      </c>
      <c r="RJA93" t="s">
        <v>438</v>
      </c>
      <c r="RJB93" t="s">
        <v>440</v>
      </c>
      <c r="RJC93" t="s">
        <v>428</v>
      </c>
      <c r="RJE93" t="s">
        <v>114</v>
      </c>
      <c r="RJF93" t="s">
        <v>113</v>
      </c>
      <c r="RJG93" t="s">
        <v>398</v>
      </c>
      <c r="RJH93">
        <v>1</v>
      </c>
      <c r="RJI93" t="s">
        <v>438</v>
      </c>
      <c r="RJJ93" t="s">
        <v>440</v>
      </c>
      <c r="RJK93" t="s">
        <v>428</v>
      </c>
      <c r="RJM93" t="s">
        <v>114</v>
      </c>
      <c r="RJN93" t="s">
        <v>113</v>
      </c>
      <c r="RJO93" t="s">
        <v>398</v>
      </c>
      <c r="RJP93">
        <v>1</v>
      </c>
      <c r="RJQ93" t="s">
        <v>438</v>
      </c>
      <c r="RJR93" t="s">
        <v>440</v>
      </c>
      <c r="RJS93" t="s">
        <v>428</v>
      </c>
      <c r="RJU93" t="s">
        <v>114</v>
      </c>
      <c r="RJV93" t="s">
        <v>113</v>
      </c>
      <c r="RJW93" t="s">
        <v>398</v>
      </c>
      <c r="RJX93">
        <v>1</v>
      </c>
      <c r="RJY93" t="s">
        <v>438</v>
      </c>
      <c r="RJZ93" t="s">
        <v>440</v>
      </c>
      <c r="RKA93" t="s">
        <v>428</v>
      </c>
      <c r="RKC93" t="s">
        <v>114</v>
      </c>
      <c r="RKD93" t="s">
        <v>113</v>
      </c>
      <c r="RKE93" t="s">
        <v>398</v>
      </c>
      <c r="RKF93">
        <v>1</v>
      </c>
      <c r="RKG93" t="s">
        <v>438</v>
      </c>
      <c r="RKH93" t="s">
        <v>440</v>
      </c>
      <c r="RKI93" t="s">
        <v>428</v>
      </c>
      <c r="RKK93" t="s">
        <v>114</v>
      </c>
      <c r="RKL93" t="s">
        <v>113</v>
      </c>
      <c r="RKM93" t="s">
        <v>398</v>
      </c>
      <c r="RKN93">
        <v>1</v>
      </c>
      <c r="RKO93" t="s">
        <v>438</v>
      </c>
      <c r="RKP93" t="s">
        <v>440</v>
      </c>
      <c r="RKQ93" t="s">
        <v>428</v>
      </c>
      <c r="RKS93" t="s">
        <v>114</v>
      </c>
      <c r="RKT93" t="s">
        <v>113</v>
      </c>
      <c r="RKU93" t="s">
        <v>398</v>
      </c>
      <c r="RKV93">
        <v>1</v>
      </c>
      <c r="RKW93" t="s">
        <v>438</v>
      </c>
      <c r="RKX93" t="s">
        <v>440</v>
      </c>
      <c r="RKY93" t="s">
        <v>428</v>
      </c>
      <c r="RLA93" t="s">
        <v>114</v>
      </c>
      <c r="RLB93" t="s">
        <v>113</v>
      </c>
      <c r="RLC93" t="s">
        <v>398</v>
      </c>
      <c r="RLD93">
        <v>1</v>
      </c>
      <c r="RLE93" t="s">
        <v>438</v>
      </c>
      <c r="RLF93" t="s">
        <v>440</v>
      </c>
      <c r="RLG93" t="s">
        <v>428</v>
      </c>
      <c r="RLI93" t="s">
        <v>114</v>
      </c>
      <c r="RLJ93" t="s">
        <v>113</v>
      </c>
      <c r="RLK93" t="s">
        <v>398</v>
      </c>
      <c r="RLL93">
        <v>1</v>
      </c>
      <c r="RLM93" t="s">
        <v>438</v>
      </c>
      <c r="RLN93" t="s">
        <v>440</v>
      </c>
      <c r="RLO93" t="s">
        <v>428</v>
      </c>
      <c r="RLQ93" t="s">
        <v>114</v>
      </c>
      <c r="RLR93" t="s">
        <v>113</v>
      </c>
      <c r="RLS93" t="s">
        <v>398</v>
      </c>
      <c r="RLT93">
        <v>1</v>
      </c>
      <c r="RLU93" t="s">
        <v>438</v>
      </c>
      <c r="RLV93" t="s">
        <v>440</v>
      </c>
      <c r="RLW93" t="s">
        <v>428</v>
      </c>
      <c r="RLY93" t="s">
        <v>114</v>
      </c>
      <c r="RLZ93" t="s">
        <v>113</v>
      </c>
      <c r="RMA93" t="s">
        <v>398</v>
      </c>
      <c r="RMB93">
        <v>1</v>
      </c>
      <c r="RMC93" t="s">
        <v>438</v>
      </c>
      <c r="RMD93" t="s">
        <v>440</v>
      </c>
      <c r="RME93" t="s">
        <v>428</v>
      </c>
      <c r="RMG93" t="s">
        <v>114</v>
      </c>
      <c r="RMH93" t="s">
        <v>113</v>
      </c>
      <c r="RMI93" t="s">
        <v>398</v>
      </c>
      <c r="RMJ93">
        <v>1</v>
      </c>
      <c r="RMK93" t="s">
        <v>438</v>
      </c>
      <c r="RML93" t="s">
        <v>440</v>
      </c>
      <c r="RMM93" t="s">
        <v>428</v>
      </c>
      <c r="RMO93" t="s">
        <v>114</v>
      </c>
      <c r="RMP93" t="s">
        <v>113</v>
      </c>
      <c r="RMQ93" t="s">
        <v>398</v>
      </c>
      <c r="RMR93">
        <v>1</v>
      </c>
      <c r="RMS93" t="s">
        <v>438</v>
      </c>
      <c r="RMT93" t="s">
        <v>440</v>
      </c>
      <c r="RMU93" t="s">
        <v>428</v>
      </c>
      <c r="RMW93" t="s">
        <v>114</v>
      </c>
      <c r="RMX93" t="s">
        <v>113</v>
      </c>
      <c r="RMY93" t="s">
        <v>398</v>
      </c>
      <c r="RMZ93">
        <v>1</v>
      </c>
      <c r="RNA93" t="s">
        <v>438</v>
      </c>
      <c r="RNB93" t="s">
        <v>440</v>
      </c>
      <c r="RNC93" t="s">
        <v>428</v>
      </c>
      <c r="RNE93" t="s">
        <v>114</v>
      </c>
      <c r="RNF93" t="s">
        <v>113</v>
      </c>
      <c r="RNG93" t="s">
        <v>398</v>
      </c>
      <c r="RNH93">
        <v>1</v>
      </c>
      <c r="RNI93" t="s">
        <v>438</v>
      </c>
      <c r="RNJ93" t="s">
        <v>440</v>
      </c>
      <c r="RNK93" t="s">
        <v>428</v>
      </c>
      <c r="RNM93" t="s">
        <v>114</v>
      </c>
      <c r="RNN93" t="s">
        <v>113</v>
      </c>
      <c r="RNO93" t="s">
        <v>398</v>
      </c>
      <c r="RNP93">
        <v>1</v>
      </c>
      <c r="RNQ93" t="s">
        <v>438</v>
      </c>
      <c r="RNR93" t="s">
        <v>440</v>
      </c>
      <c r="RNS93" t="s">
        <v>428</v>
      </c>
      <c r="RNU93" t="s">
        <v>114</v>
      </c>
      <c r="RNV93" t="s">
        <v>113</v>
      </c>
      <c r="RNW93" t="s">
        <v>398</v>
      </c>
      <c r="RNX93">
        <v>1</v>
      </c>
      <c r="RNY93" t="s">
        <v>438</v>
      </c>
      <c r="RNZ93" t="s">
        <v>440</v>
      </c>
      <c r="ROA93" t="s">
        <v>428</v>
      </c>
      <c r="ROC93" t="s">
        <v>114</v>
      </c>
      <c r="ROD93" t="s">
        <v>113</v>
      </c>
      <c r="ROE93" t="s">
        <v>398</v>
      </c>
      <c r="ROF93">
        <v>1</v>
      </c>
      <c r="ROG93" t="s">
        <v>438</v>
      </c>
      <c r="ROH93" t="s">
        <v>440</v>
      </c>
      <c r="ROI93" t="s">
        <v>428</v>
      </c>
      <c r="ROK93" t="s">
        <v>114</v>
      </c>
      <c r="ROL93" t="s">
        <v>113</v>
      </c>
      <c r="ROM93" t="s">
        <v>398</v>
      </c>
      <c r="RON93">
        <v>1</v>
      </c>
      <c r="ROO93" t="s">
        <v>438</v>
      </c>
      <c r="ROP93" t="s">
        <v>440</v>
      </c>
      <c r="ROQ93" t="s">
        <v>428</v>
      </c>
      <c r="ROS93" t="s">
        <v>114</v>
      </c>
      <c r="ROT93" t="s">
        <v>113</v>
      </c>
      <c r="ROU93" t="s">
        <v>398</v>
      </c>
      <c r="ROV93">
        <v>1</v>
      </c>
      <c r="ROW93" t="s">
        <v>438</v>
      </c>
      <c r="ROX93" t="s">
        <v>440</v>
      </c>
      <c r="ROY93" t="s">
        <v>428</v>
      </c>
      <c r="RPA93" t="s">
        <v>114</v>
      </c>
      <c r="RPB93" t="s">
        <v>113</v>
      </c>
      <c r="RPC93" t="s">
        <v>398</v>
      </c>
      <c r="RPD93">
        <v>1</v>
      </c>
      <c r="RPE93" t="s">
        <v>438</v>
      </c>
      <c r="RPF93" t="s">
        <v>440</v>
      </c>
      <c r="RPG93" t="s">
        <v>428</v>
      </c>
      <c r="RPI93" t="s">
        <v>114</v>
      </c>
      <c r="RPJ93" t="s">
        <v>113</v>
      </c>
      <c r="RPK93" t="s">
        <v>398</v>
      </c>
      <c r="RPL93">
        <v>1</v>
      </c>
      <c r="RPM93" t="s">
        <v>438</v>
      </c>
      <c r="RPN93" t="s">
        <v>440</v>
      </c>
      <c r="RPO93" t="s">
        <v>428</v>
      </c>
      <c r="RPQ93" t="s">
        <v>114</v>
      </c>
      <c r="RPR93" t="s">
        <v>113</v>
      </c>
      <c r="RPS93" t="s">
        <v>398</v>
      </c>
      <c r="RPT93">
        <v>1</v>
      </c>
      <c r="RPU93" t="s">
        <v>438</v>
      </c>
      <c r="RPV93" t="s">
        <v>440</v>
      </c>
      <c r="RPW93" t="s">
        <v>428</v>
      </c>
      <c r="RPY93" t="s">
        <v>114</v>
      </c>
      <c r="RPZ93" t="s">
        <v>113</v>
      </c>
      <c r="RQA93" t="s">
        <v>398</v>
      </c>
      <c r="RQB93">
        <v>1</v>
      </c>
      <c r="RQC93" t="s">
        <v>438</v>
      </c>
      <c r="RQD93" t="s">
        <v>440</v>
      </c>
      <c r="RQE93" t="s">
        <v>428</v>
      </c>
      <c r="RQG93" t="s">
        <v>114</v>
      </c>
      <c r="RQH93" t="s">
        <v>113</v>
      </c>
      <c r="RQI93" t="s">
        <v>398</v>
      </c>
      <c r="RQJ93">
        <v>1</v>
      </c>
      <c r="RQK93" t="s">
        <v>438</v>
      </c>
      <c r="RQL93" t="s">
        <v>440</v>
      </c>
      <c r="RQM93" t="s">
        <v>428</v>
      </c>
      <c r="RQO93" t="s">
        <v>114</v>
      </c>
      <c r="RQP93" t="s">
        <v>113</v>
      </c>
      <c r="RQQ93" t="s">
        <v>398</v>
      </c>
      <c r="RQR93">
        <v>1</v>
      </c>
      <c r="RQS93" t="s">
        <v>438</v>
      </c>
      <c r="RQT93" t="s">
        <v>440</v>
      </c>
      <c r="RQU93" t="s">
        <v>428</v>
      </c>
      <c r="RQW93" t="s">
        <v>114</v>
      </c>
      <c r="RQX93" t="s">
        <v>113</v>
      </c>
      <c r="RQY93" t="s">
        <v>398</v>
      </c>
      <c r="RQZ93">
        <v>1</v>
      </c>
      <c r="RRA93" t="s">
        <v>438</v>
      </c>
      <c r="RRB93" t="s">
        <v>440</v>
      </c>
      <c r="RRC93" t="s">
        <v>428</v>
      </c>
      <c r="RRE93" t="s">
        <v>114</v>
      </c>
      <c r="RRF93" t="s">
        <v>113</v>
      </c>
      <c r="RRG93" t="s">
        <v>398</v>
      </c>
      <c r="RRH93">
        <v>1</v>
      </c>
      <c r="RRI93" t="s">
        <v>438</v>
      </c>
      <c r="RRJ93" t="s">
        <v>440</v>
      </c>
      <c r="RRK93" t="s">
        <v>428</v>
      </c>
      <c r="RRM93" t="s">
        <v>114</v>
      </c>
      <c r="RRN93" t="s">
        <v>113</v>
      </c>
      <c r="RRO93" t="s">
        <v>398</v>
      </c>
      <c r="RRP93">
        <v>1</v>
      </c>
      <c r="RRQ93" t="s">
        <v>438</v>
      </c>
      <c r="RRR93" t="s">
        <v>440</v>
      </c>
      <c r="RRS93" t="s">
        <v>428</v>
      </c>
      <c r="RRU93" t="s">
        <v>114</v>
      </c>
      <c r="RRV93" t="s">
        <v>113</v>
      </c>
      <c r="RRW93" t="s">
        <v>398</v>
      </c>
      <c r="RRX93">
        <v>1</v>
      </c>
      <c r="RRY93" t="s">
        <v>438</v>
      </c>
      <c r="RRZ93" t="s">
        <v>440</v>
      </c>
      <c r="RSA93" t="s">
        <v>428</v>
      </c>
      <c r="RSC93" t="s">
        <v>114</v>
      </c>
      <c r="RSD93" t="s">
        <v>113</v>
      </c>
      <c r="RSE93" t="s">
        <v>398</v>
      </c>
      <c r="RSF93">
        <v>1</v>
      </c>
      <c r="RSG93" t="s">
        <v>438</v>
      </c>
      <c r="RSH93" t="s">
        <v>440</v>
      </c>
      <c r="RSI93" t="s">
        <v>428</v>
      </c>
      <c r="RSK93" t="s">
        <v>114</v>
      </c>
      <c r="RSL93" t="s">
        <v>113</v>
      </c>
      <c r="RSM93" t="s">
        <v>398</v>
      </c>
      <c r="RSN93">
        <v>1</v>
      </c>
      <c r="RSO93" t="s">
        <v>438</v>
      </c>
      <c r="RSP93" t="s">
        <v>440</v>
      </c>
      <c r="RSQ93" t="s">
        <v>428</v>
      </c>
      <c r="RSS93" t="s">
        <v>114</v>
      </c>
      <c r="RST93" t="s">
        <v>113</v>
      </c>
      <c r="RSU93" t="s">
        <v>398</v>
      </c>
      <c r="RSV93">
        <v>1</v>
      </c>
      <c r="RSW93" t="s">
        <v>438</v>
      </c>
      <c r="RSX93" t="s">
        <v>440</v>
      </c>
      <c r="RSY93" t="s">
        <v>428</v>
      </c>
      <c r="RTA93" t="s">
        <v>114</v>
      </c>
      <c r="RTB93" t="s">
        <v>113</v>
      </c>
      <c r="RTC93" t="s">
        <v>398</v>
      </c>
      <c r="RTD93">
        <v>1</v>
      </c>
      <c r="RTE93" t="s">
        <v>438</v>
      </c>
      <c r="RTF93" t="s">
        <v>440</v>
      </c>
      <c r="RTG93" t="s">
        <v>428</v>
      </c>
      <c r="RTI93" t="s">
        <v>114</v>
      </c>
      <c r="RTJ93" t="s">
        <v>113</v>
      </c>
      <c r="RTK93" t="s">
        <v>398</v>
      </c>
      <c r="RTL93">
        <v>1</v>
      </c>
      <c r="RTM93" t="s">
        <v>438</v>
      </c>
      <c r="RTN93" t="s">
        <v>440</v>
      </c>
      <c r="RTO93" t="s">
        <v>428</v>
      </c>
      <c r="RTQ93" t="s">
        <v>114</v>
      </c>
      <c r="RTR93" t="s">
        <v>113</v>
      </c>
      <c r="RTS93" t="s">
        <v>398</v>
      </c>
      <c r="RTT93">
        <v>1</v>
      </c>
      <c r="RTU93" t="s">
        <v>438</v>
      </c>
      <c r="RTV93" t="s">
        <v>440</v>
      </c>
      <c r="RTW93" t="s">
        <v>428</v>
      </c>
      <c r="RTY93" t="s">
        <v>114</v>
      </c>
      <c r="RTZ93" t="s">
        <v>113</v>
      </c>
      <c r="RUA93" t="s">
        <v>398</v>
      </c>
      <c r="RUB93">
        <v>1</v>
      </c>
      <c r="RUC93" t="s">
        <v>438</v>
      </c>
      <c r="RUD93" t="s">
        <v>440</v>
      </c>
      <c r="RUE93" t="s">
        <v>428</v>
      </c>
      <c r="RUG93" t="s">
        <v>114</v>
      </c>
      <c r="RUH93" t="s">
        <v>113</v>
      </c>
      <c r="RUI93" t="s">
        <v>398</v>
      </c>
      <c r="RUJ93">
        <v>1</v>
      </c>
      <c r="RUK93" t="s">
        <v>438</v>
      </c>
      <c r="RUL93" t="s">
        <v>440</v>
      </c>
      <c r="RUM93" t="s">
        <v>428</v>
      </c>
      <c r="RUO93" t="s">
        <v>114</v>
      </c>
      <c r="RUP93" t="s">
        <v>113</v>
      </c>
      <c r="RUQ93" t="s">
        <v>398</v>
      </c>
      <c r="RUR93">
        <v>1</v>
      </c>
      <c r="RUS93" t="s">
        <v>438</v>
      </c>
      <c r="RUT93" t="s">
        <v>440</v>
      </c>
      <c r="RUU93" t="s">
        <v>428</v>
      </c>
      <c r="RUW93" t="s">
        <v>114</v>
      </c>
      <c r="RUX93" t="s">
        <v>113</v>
      </c>
      <c r="RUY93" t="s">
        <v>398</v>
      </c>
      <c r="RUZ93">
        <v>1</v>
      </c>
      <c r="RVA93" t="s">
        <v>438</v>
      </c>
      <c r="RVB93" t="s">
        <v>440</v>
      </c>
      <c r="RVC93" t="s">
        <v>428</v>
      </c>
      <c r="RVE93" t="s">
        <v>114</v>
      </c>
      <c r="RVF93" t="s">
        <v>113</v>
      </c>
      <c r="RVG93" t="s">
        <v>398</v>
      </c>
      <c r="RVH93">
        <v>1</v>
      </c>
      <c r="RVI93" t="s">
        <v>438</v>
      </c>
      <c r="RVJ93" t="s">
        <v>440</v>
      </c>
      <c r="RVK93" t="s">
        <v>428</v>
      </c>
      <c r="RVM93" t="s">
        <v>114</v>
      </c>
      <c r="RVN93" t="s">
        <v>113</v>
      </c>
      <c r="RVO93" t="s">
        <v>398</v>
      </c>
      <c r="RVP93">
        <v>1</v>
      </c>
      <c r="RVQ93" t="s">
        <v>438</v>
      </c>
      <c r="RVR93" t="s">
        <v>440</v>
      </c>
      <c r="RVS93" t="s">
        <v>428</v>
      </c>
      <c r="RVU93" t="s">
        <v>114</v>
      </c>
      <c r="RVV93" t="s">
        <v>113</v>
      </c>
      <c r="RVW93" t="s">
        <v>398</v>
      </c>
      <c r="RVX93">
        <v>1</v>
      </c>
      <c r="RVY93" t="s">
        <v>438</v>
      </c>
      <c r="RVZ93" t="s">
        <v>440</v>
      </c>
      <c r="RWA93" t="s">
        <v>428</v>
      </c>
      <c r="RWC93" t="s">
        <v>114</v>
      </c>
      <c r="RWD93" t="s">
        <v>113</v>
      </c>
      <c r="RWE93" t="s">
        <v>398</v>
      </c>
      <c r="RWF93">
        <v>1</v>
      </c>
      <c r="RWG93" t="s">
        <v>438</v>
      </c>
      <c r="RWH93" t="s">
        <v>440</v>
      </c>
      <c r="RWI93" t="s">
        <v>428</v>
      </c>
      <c r="RWK93" t="s">
        <v>114</v>
      </c>
      <c r="RWL93" t="s">
        <v>113</v>
      </c>
      <c r="RWM93" t="s">
        <v>398</v>
      </c>
      <c r="RWN93">
        <v>1</v>
      </c>
      <c r="RWO93" t="s">
        <v>438</v>
      </c>
      <c r="RWP93" t="s">
        <v>440</v>
      </c>
      <c r="RWQ93" t="s">
        <v>428</v>
      </c>
      <c r="RWS93" t="s">
        <v>114</v>
      </c>
      <c r="RWT93" t="s">
        <v>113</v>
      </c>
      <c r="RWU93" t="s">
        <v>398</v>
      </c>
      <c r="RWV93">
        <v>1</v>
      </c>
      <c r="RWW93" t="s">
        <v>438</v>
      </c>
      <c r="RWX93" t="s">
        <v>440</v>
      </c>
      <c r="RWY93" t="s">
        <v>428</v>
      </c>
      <c r="RXA93" t="s">
        <v>114</v>
      </c>
      <c r="RXB93" t="s">
        <v>113</v>
      </c>
      <c r="RXC93" t="s">
        <v>398</v>
      </c>
      <c r="RXD93">
        <v>1</v>
      </c>
      <c r="RXE93" t="s">
        <v>438</v>
      </c>
      <c r="RXF93" t="s">
        <v>440</v>
      </c>
      <c r="RXG93" t="s">
        <v>428</v>
      </c>
      <c r="RXI93" t="s">
        <v>114</v>
      </c>
      <c r="RXJ93" t="s">
        <v>113</v>
      </c>
      <c r="RXK93" t="s">
        <v>398</v>
      </c>
      <c r="RXL93">
        <v>1</v>
      </c>
      <c r="RXM93" t="s">
        <v>438</v>
      </c>
      <c r="RXN93" t="s">
        <v>440</v>
      </c>
      <c r="RXO93" t="s">
        <v>428</v>
      </c>
      <c r="RXQ93" t="s">
        <v>114</v>
      </c>
      <c r="RXR93" t="s">
        <v>113</v>
      </c>
      <c r="RXS93" t="s">
        <v>398</v>
      </c>
      <c r="RXT93">
        <v>1</v>
      </c>
      <c r="RXU93" t="s">
        <v>438</v>
      </c>
      <c r="RXV93" t="s">
        <v>440</v>
      </c>
      <c r="RXW93" t="s">
        <v>428</v>
      </c>
      <c r="RXY93" t="s">
        <v>114</v>
      </c>
      <c r="RXZ93" t="s">
        <v>113</v>
      </c>
      <c r="RYA93" t="s">
        <v>398</v>
      </c>
      <c r="RYB93">
        <v>1</v>
      </c>
      <c r="RYC93" t="s">
        <v>438</v>
      </c>
      <c r="RYD93" t="s">
        <v>440</v>
      </c>
      <c r="RYE93" t="s">
        <v>428</v>
      </c>
      <c r="RYG93" t="s">
        <v>114</v>
      </c>
      <c r="RYH93" t="s">
        <v>113</v>
      </c>
      <c r="RYI93" t="s">
        <v>398</v>
      </c>
      <c r="RYJ93">
        <v>1</v>
      </c>
      <c r="RYK93" t="s">
        <v>438</v>
      </c>
      <c r="RYL93" t="s">
        <v>440</v>
      </c>
      <c r="RYM93" t="s">
        <v>428</v>
      </c>
      <c r="RYO93" t="s">
        <v>114</v>
      </c>
      <c r="RYP93" t="s">
        <v>113</v>
      </c>
      <c r="RYQ93" t="s">
        <v>398</v>
      </c>
      <c r="RYR93">
        <v>1</v>
      </c>
      <c r="RYS93" t="s">
        <v>438</v>
      </c>
      <c r="RYT93" t="s">
        <v>440</v>
      </c>
      <c r="RYU93" t="s">
        <v>428</v>
      </c>
      <c r="RYW93" t="s">
        <v>114</v>
      </c>
      <c r="RYX93" t="s">
        <v>113</v>
      </c>
      <c r="RYY93" t="s">
        <v>398</v>
      </c>
      <c r="RYZ93">
        <v>1</v>
      </c>
      <c r="RZA93" t="s">
        <v>438</v>
      </c>
      <c r="RZB93" t="s">
        <v>440</v>
      </c>
      <c r="RZC93" t="s">
        <v>428</v>
      </c>
      <c r="RZE93" t="s">
        <v>114</v>
      </c>
      <c r="RZF93" t="s">
        <v>113</v>
      </c>
      <c r="RZG93" t="s">
        <v>398</v>
      </c>
      <c r="RZH93">
        <v>1</v>
      </c>
      <c r="RZI93" t="s">
        <v>438</v>
      </c>
      <c r="RZJ93" t="s">
        <v>440</v>
      </c>
      <c r="RZK93" t="s">
        <v>428</v>
      </c>
      <c r="RZM93" t="s">
        <v>114</v>
      </c>
      <c r="RZN93" t="s">
        <v>113</v>
      </c>
      <c r="RZO93" t="s">
        <v>398</v>
      </c>
      <c r="RZP93">
        <v>1</v>
      </c>
      <c r="RZQ93" t="s">
        <v>438</v>
      </c>
      <c r="RZR93" t="s">
        <v>440</v>
      </c>
      <c r="RZS93" t="s">
        <v>428</v>
      </c>
      <c r="RZU93" t="s">
        <v>114</v>
      </c>
      <c r="RZV93" t="s">
        <v>113</v>
      </c>
      <c r="RZW93" t="s">
        <v>398</v>
      </c>
      <c r="RZX93">
        <v>1</v>
      </c>
      <c r="RZY93" t="s">
        <v>438</v>
      </c>
      <c r="RZZ93" t="s">
        <v>440</v>
      </c>
      <c r="SAA93" t="s">
        <v>428</v>
      </c>
      <c r="SAC93" t="s">
        <v>114</v>
      </c>
      <c r="SAD93" t="s">
        <v>113</v>
      </c>
      <c r="SAE93" t="s">
        <v>398</v>
      </c>
      <c r="SAF93">
        <v>1</v>
      </c>
      <c r="SAG93" t="s">
        <v>438</v>
      </c>
      <c r="SAH93" t="s">
        <v>440</v>
      </c>
      <c r="SAI93" t="s">
        <v>428</v>
      </c>
      <c r="SAK93" t="s">
        <v>114</v>
      </c>
      <c r="SAL93" t="s">
        <v>113</v>
      </c>
      <c r="SAM93" t="s">
        <v>398</v>
      </c>
      <c r="SAN93">
        <v>1</v>
      </c>
      <c r="SAO93" t="s">
        <v>438</v>
      </c>
      <c r="SAP93" t="s">
        <v>440</v>
      </c>
      <c r="SAQ93" t="s">
        <v>428</v>
      </c>
      <c r="SAS93" t="s">
        <v>114</v>
      </c>
      <c r="SAT93" t="s">
        <v>113</v>
      </c>
      <c r="SAU93" t="s">
        <v>398</v>
      </c>
      <c r="SAV93">
        <v>1</v>
      </c>
      <c r="SAW93" t="s">
        <v>438</v>
      </c>
      <c r="SAX93" t="s">
        <v>440</v>
      </c>
      <c r="SAY93" t="s">
        <v>428</v>
      </c>
      <c r="SBA93" t="s">
        <v>114</v>
      </c>
      <c r="SBB93" t="s">
        <v>113</v>
      </c>
      <c r="SBC93" t="s">
        <v>398</v>
      </c>
      <c r="SBD93">
        <v>1</v>
      </c>
      <c r="SBE93" t="s">
        <v>438</v>
      </c>
      <c r="SBF93" t="s">
        <v>440</v>
      </c>
      <c r="SBG93" t="s">
        <v>428</v>
      </c>
      <c r="SBI93" t="s">
        <v>114</v>
      </c>
      <c r="SBJ93" t="s">
        <v>113</v>
      </c>
      <c r="SBK93" t="s">
        <v>398</v>
      </c>
      <c r="SBL93">
        <v>1</v>
      </c>
      <c r="SBM93" t="s">
        <v>438</v>
      </c>
      <c r="SBN93" t="s">
        <v>440</v>
      </c>
      <c r="SBO93" t="s">
        <v>428</v>
      </c>
      <c r="SBQ93" t="s">
        <v>114</v>
      </c>
      <c r="SBR93" t="s">
        <v>113</v>
      </c>
      <c r="SBS93" t="s">
        <v>398</v>
      </c>
      <c r="SBT93">
        <v>1</v>
      </c>
      <c r="SBU93" t="s">
        <v>438</v>
      </c>
      <c r="SBV93" t="s">
        <v>440</v>
      </c>
      <c r="SBW93" t="s">
        <v>428</v>
      </c>
      <c r="SBY93" t="s">
        <v>114</v>
      </c>
      <c r="SBZ93" t="s">
        <v>113</v>
      </c>
      <c r="SCA93" t="s">
        <v>398</v>
      </c>
      <c r="SCB93">
        <v>1</v>
      </c>
      <c r="SCC93" t="s">
        <v>438</v>
      </c>
      <c r="SCD93" t="s">
        <v>440</v>
      </c>
      <c r="SCE93" t="s">
        <v>428</v>
      </c>
      <c r="SCG93" t="s">
        <v>114</v>
      </c>
      <c r="SCH93" t="s">
        <v>113</v>
      </c>
      <c r="SCI93" t="s">
        <v>398</v>
      </c>
      <c r="SCJ93">
        <v>1</v>
      </c>
      <c r="SCK93" t="s">
        <v>438</v>
      </c>
      <c r="SCL93" t="s">
        <v>440</v>
      </c>
      <c r="SCM93" t="s">
        <v>428</v>
      </c>
      <c r="SCO93" t="s">
        <v>114</v>
      </c>
      <c r="SCP93" t="s">
        <v>113</v>
      </c>
      <c r="SCQ93" t="s">
        <v>398</v>
      </c>
      <c r="SCR93">
        <v>1</v>
      </c>
      <c r="SCS93" t="s">
        <v>438</v>
      </c>
      <c r="SCT93" t="s">
        <v>440</v>
      </c>
      <c r="SCU93" t="s">
        <v>428</v>
      </c>
      <c r="SCW93" t="s">
        <v>114</v>
      </c>
      <c r="SCX93" t="s">
        <v>113</v>
      </c>
      <c r="SCY93" t="s">
        <v>398</v>
      </c>
      <c r="SCZ93">
        <v>1</v>
      </c>
      <c r="SDA93" t="s">
        <v>438</v>
      </c>
      <c r="SDB93" t="s">
        <v>440</v>
      </c>
      <c r="SDC93" t="s">
        <v>428</v>
      </c>
      <c r="SDE93" t="s">
        <v>114</v>
      </c>
      <c r="SDF93" t="s">
        <v>113</v>
      </c>
      <c r="SDG93" t="s">
        <v>398</v>
      </c>
      <c r="SDH93">
        <v>1</v>
      </c>
      <c r="SDI93" t="s">
        <v>438</v>
      </c>
      <c r="SDJ93" t="s">
        <v>440</v>
      </c>
      <c r="SDK93" t="s">
        <v>428</v>
      </c>
      <c r="SDM93" t="s">
        <v>114</v>
      </c>
      <c r="SDN93" t="s">
        <v>113</v>
      </c>
      <c r="SDO93" t="s">
        <v>398</v>
      </c>
      <c r="SDP93">
        <v>1</v>
      </c>
      <c r="SDQ93" t="s">
        <v>438</v>
      </c>
      <c r="SDR93" t="s">
        <v>440</v>
      </c>
      <c r="SDS93" t="s">
        <v>428</v>
      </c>
      <c r="SDU93" t="s">
        <v>114</v>
      </c>
      <c r="SDV93" t="s">
        <v>113</v>
      </c>
      <c r="SDW93" t="s">
        <v>398</v>
      </c>
      <c r="SDX93">
        <v>1</v>
      </c>
      <c r="SDY93" t="s">
        <v>438</v>
      </c>
      <c r="SDZ93" t="s">
        <v>440</v>
      </c>
      <c r="SEA93" t="s">
        <v>428</v>
      </c>
      <c r="SEC93" t="s">
        <v>114</v>
      </c>
      <c r="SED93" t="s">
        <v>113</v>
      </c>
      <c r="SEE93" t="s">
        <v>398</v>
      </c>
      <c r="SEF93">
        <v>1</v>
      </c>
      <c r="SEG93" t="s">
        <v>438</v>
      </c>
      <c r="SEH93" t="s">
        <v>440</v>
      </c>
      <c r="SEI93" t="s">
        <v>428</v>
      </c>
      <c r="SEK93" t="s">
        <v>114</v>
      </c>
      <c r="SEL93" t="s">
        <v>113</v>
      </c>
      <c r="SEM93" t="s">
        <v>398</v>
      </c>
      <c r="SEN93">
        <v>1</v>
      </c>
      <c r="SEO93" t="s">
        <v>438</v>
      </c>
      <c r="SEP93" t="s">
        <v>440</v>
      </c>
      <c r="SEQ93" t="s">
        <v>428</v>
      </c>
      <c r="SES93" t="s">
        <v>114</v>
      </c>
      <c r="SET93" t="s">
        <v>113</v>
      </c>
      <c r="SEU93" t="s">
        <v>398</v>
      </c>
      <c r="SEV93">
        <v>1</v>
      </c>
      <c r="SEW93" t="s">
        <v>438</v>
      </c>
      <c r="SEX93" t="s">
        <v>440</v>
      </c>
      <c r="SEY93" t="s">
        <v>428</v>
      </c>
      <c r="SFA93" t="s">
        <v>114</v>
      </c>
      <c r="SFB93" t="s">
        <v>113</v>
      </c>
      <c r="SFC93" t="s">
        <v>398</v>
      </c>
      <c r="SFD93">
        <v>1</v>
      </c>
      <c r="SFE93" t="s">
        <v>438</v>
      </c>
      <c r="SFF93" t="s">
        <v>440</v>
      </c>
      <c r="SFG93" t="s">
        <v>428</v>
      </c>
      <c r="SFI93" t="s">
        <v>114</v>
      </c>
      <c r="SFJ93" t="s">
        <v>113</v>
      </c>
      <c r="SFK93" t="s">
        <v>398</v>
      </c>
      <c r="SFL93">
        <v>1</v>
      </c>
      <c r="SFM93" t="s">
        <v>438</v>
      </c>
      <c r="SFN93" t="s">
        <v>440</v>
      </c>
      <c r="SFO93" t="s">
        <v>428</v>
      </c>
      <c r="SFQ93" t="s">
        <v>114</v>
      </c>
      <c r="SFR93" t="s">
        <v>113</v>
      </c>
      <c r="SFS93" t="s">
        <v>398</v>
      </c>
      <c r="SFT93">
        <v>1</v>
      </c>
      <c r="SFU93" t="s">
        <v>438</v>
      </c>
      <c r="SFV93" t="s">
        <v>440</v>
      </c>
      <c r="SFW93" t="s">
        <v>428</v>
      </c>
      <c r="SFY93" t="s">
        <v>114</v>
      </c>
      <c r="SFZ93" t="s">
        <v>113</v>
      </c>
      <c r="SGA93" t="s">
        <v>398</v>
      </c>
      <c r="SGB93">
        <v>1</v>
      </c>
      <c r="SGC93" t="s">
        <v>438</v>
      </c>
      <c r="SGD93" t="s">
        <v>440</v>
      </c>
      <c r="SGE93" t="s">
        <v>428</v>
      </c>
      <c r="SGG93" t="s">
        <v>114</v>
      </c>
      <c r="SGH93" t="s">
        <v>113</v>
      </c>
      <c r="SGI93" t="s">
        <v>398</v>
      </c>
      <c r="SGJ93">
        <v>1</v>
      </c>
      <c r="SGK93" t="s">
        <v>438</v>
      </c>
      <c r="SGL93" t="s">
        <v>440</v>
      </c>
      <c r="SGM93" t="s">
        <v>428</v>
      </c>
      <c r="SGO93" t="s">
        <v>114</v>
      </c>
      <c r="SGP93" t="s">
        <v>113</v>
      </c>
      <c r="SGQ93" t="s">
        <v>398</v>
      </c>
      <c r="SGR93">
        <v>1</v>
      </c>
      <c r="SGS93" t="s">
        <v>438</v>
      </c>
      <c r="SGT93" t="s">
        <v>440</v>
      </c>
      <c r="SGU93" t="s">
        <v>428</v>
      </c>
      <c r="SGW93" t="s">
        <v>114</v>
      </c>
      <c r="SGX93" t="s">
        <v>113</v>
      </c>
      <c r="SGY93" t="s">
        <v>398</v>
      </c>
      <c r="SGZ93">
        <v>1</v>
      </c>
      <c r="SHA93" t="s">
        <v>438</v>
      </c>
      <c r="SHB93" t="s">
        <v>440</v>
      </c>
      <c r="SHC93" t="s">
        <v>428</v>
      </c>
      <c r="SHE93" t="s">
        <v>114</v>
      </c>
      <c r="SHF93" t="s">
        <v>113</v>
      </c>
      <c r="SHG93" t="s">
        <v>398</v>
      </c>
      <c r="SHH93">
        <v>1</v>
      </c>
      <c r="SHI93" t="s">
        <v>438</v>
      </c>
      <c r="SHJ93" t="s">
        <v>440</v>
      </c>
      <c r="SHK93" t="s">
        <v>428</v>
      </c>
      <c r="SHM93" t="s">
        <v>114</v>
      </c>
      <c r="SHN93" t="s">
        <v>113</v>
      </c>
      <c r="SHO93" t="s">
        <v>398</v>
      </c>
      <c r="SHP93">
        <v>1</v>
      </c>
      <c r="SHQ93" t="s">
        <v>438</v>
      </c>
      <c r="SHR93" t="s">
        <v>440</v>
      </c>
      <c r="SHS93" t="s">
        <v>428</v>
      </c>
      <c r="SHU93" t="s">
        <v>114</v>
      </c>
      <c r="SHV93" t="s">
        <v>113</v>
      </c>
      <c r="SHW93" t="s">
        <v>398</v>
      </c>
      <c r="SHX93">
        <v>1</v>
      </c>
      <c r="SHY93" t="s">
        <v>438</v>
      </c>
      <c r="SHZ93" t="s">
        <v>440</v>
      </c>
      <c r="SIA93" t="s">
        <v>428</v>
      </c>
      <c r="SIC93" t="s">
        <v>114</v>
      </c>
      <c r="SID93" t="s">
        <v>113</v>
      </c>
      <c r="SIE93" t="s">
        <v>398</v>
      </c>
      <c r="SIF93">
        <v>1</v>
      </c>
      <c r="SIG93" t="s">
        <v>438</v>
      </c>
      <c r="SIH93" t="s">
        <v>440</v>
      </c>
      <c r="SII93" t="s">
        <v>428</v>
      </c>
      <c r="SIK93" t="s">
        <v>114</v>
      </c>
      <c r="SIL93" t="s">
        <v>113</v>
      </c>
      <c r="SIM93" t="s">
        <v>398</v>
      </c>
      <c r="SIN93">
        <v>1</v>
      </c>
      <c r="SIO93" t="s">
        <v>438</v>
      </c>
      <c r="SIP93" t="s">
        <v>440</v>
      </c>
      <c r="SIQ93" t="s">
        <v>428</v>
      </c>
      <c r="SIS93" t="s">
        <v>114</v>
      </c>
      <c r="SIT93" t="s">
        <v>113</v>
      </c>
      <c r="SIU93" t="s">
        <v>398</v>
      </c>
      <c r="SIV93">
        <v>1</v>
      </c>
      <c r="SIW93" t="s">
        <v>438</v>
      </c>
      <c r="SIX93" t="s">
        <v>440</v>
      </c>
      <c r="SIY93" t="s">
        <v>428</v>
      </c>
      <c r="SJA93" t="s">
        <v>114</v>
      </c>
      <c r="SJB93" t="s">
        <v>113</v>
      </c>
      <c r="SJC93" t="s">
        <v>398</v>
      </c>
      <c r="SJD93">
        <v>1</v>
      </c>
      <c r="SJE93" t="s">
        <v>438</v>
      </c>
      <c r="SJF93" t="s">
        <v>440</v>
      </c>
      <c r="SJG93" t="s">
        <v>428</v>
      </c>
      <c r="SJI93" t="s">
        <v>114</v>
      </c>
      <c r="SJJ93" t="s">
        <v>113</v>
      </c>
      <c r="SJK93" t="s">
        <v>398</v>
      </c>
      <c r="SJL93">
        <v>1</v>
      </c>
      <c r="SJM93" t="s">
        <v>438</v>
      </c>
      <c r="SJN93" t="s">
        <v>440</v>
      </c>
      <c r="SJO93" t="s">
        <v>428</v>
      </c>
      <c r="SJQ93" t="s">
        <v>114</v>
      </c>
      <c r="SJR93" t="s">
        <v>113</v>
      </c>
      <c r="SJS93" t="s">
        <v>398</v>
      </c>
      <c r="SJT93">
        <v>1</v>
      </c>
      <c r="SJU93" t="s">
        <v>438</v>
      </c>
      <c r="SJV93" t="s">
        <v>440</v>
      </c>
      <c r="SJW93" t="s">
        <v>428</v>
      </c>
      <c r="SJY93" t="s">
        <v>114</v>
      </c>
      <c r="SJZ93" t="s">
        <v>113</v>
      </c>
      <c r="SKA93" t="s">
        <v>398</v>
      </c>
      <c r="SKB93">
        <v>1</v>
      </c>
      <c r="SKC93" t="s">
        <v>438</v>
      </c>
      <c r="SKD93" t="s">
        <v>440</v>
      </c>
      <c r="SKE93" t="s">
        <v>428</v>
      </c>
      <c r="SKG93" t="s">
        <v>114</v>
      </c>
      <c r="SKH93" t="s">
        <v>113</v>
      </c>
      <c r="SKI93" t="s">
        <v>398</v>
      </c>
      <c r="SKJ93">
        <v>1</v>
      </c>
      <c r="SKK93" t="s">
        <v>438</v>
      </c>
      <c r="SKL93" t="s">
        <v>440</v>
      </c>
      <c r="SKM93" t="s">
        <v>428</v>
      </c>
      <c r="SKO93" t="s">
        <v>114</v>
      </c>
      <c r="SKP93" t="s">
        <v>113</v>
      </c>
      <c r="SKQ93" t="s">
        <v>398</v>
      </c>
      <c r="SKR93">
        <v>1</v>
      </c>
      <c r="SKS93" t="s">
        <v>438</v>
      </c>
      <c r="SKT93" t="s">
        <v>440</v>
      </c>
      <c r="SKU93" t="s">
        <v>428</v>
      </c>
      <c r="SKW93" t="s">
        <v>114</v>
      </c>
      <c r="SKX93" t="s">
        <v>113</v>
      </c>
      <c r="SKY93" t="s">
        <v>398</v>
      </c>
      <c r="SKZ93">
        <v>1</v>
      </c>
      <c r="SLA93" t="s">
        <v>438</v>
      </c>
      <c r="SLB93" t="s">
        <v>440</v>
      </c>
      <c r="SLC93" t="s">
        <v>428</v>
      </c>
      <c r="SLE93" t="s">
        <v>114</v>
      </c>
      <c r="SLF93" t="s">
        <v>113</v>
      </c>
      <c r="SLG93" t="s">
        <v>398</v>
      </c>
      <c r="SLH93">
        <v>1</v>
      </c>
      <c r="SLI93" t="s">
        <v>438</v>
      </c>
      <c r="SLJ93" t="s">
        <v>440</v>
      </c>
      <c r="SLK93" t="s">
        <v>428</v>
      </c>
      <c r="SLM93" t="s">
        <v>114</v>
      </c>
      <c r="SLN93" t="s">
        <v>113</v>
      </c>
      <c r="SLO93" t="s">
        <v>398</v>
      </c>
      <c r="SLP93">
        <v>1</v>
      </c>
      <c r="SLQ93" t="s">
        <v>438</v>
      </c>
      <c r="SLR93" t="s">
        <v>440</v>
      </c>
      <c r="SLS93" t="s">
        <v>428</v>
      </c>
      <c r="SLU93" t="s">
        <v>114</v>
      </c>
      <c r="SLV93" t="s">
        <v>113</v>
      </c>
      <c r="SLW93" t="s">
        <v>398</v>
      </c>
      <c r="SLX93">
        <v>1</v>
      </c>
      <c r="SLY93" t="s">
        <v>438</v>
      </c>
      <c r="SLZ93" t="s">
        <v>440</v>
      </c>
      <c r="SMA93" t="s">
        <v>428</v>
      </c>
      <c r="SMC93" t="s">
        <v>114</v>
      </c>
      <c r="SMD93" t="s">
        <v>113</v>
      </c>
      <c r="SME93" t="s">
        <v>398</v>
      </c>
      <c r="SMF93">
        <v>1</v>
      </c>
      <c r="SMG93" t="s">
        <v>438</v>
      </c>
      <c r="SMH93" t="s">
        <v>440</v>
      </c>
      <c r="SMI93" t="s">
        <v>428</v>
      </c>
      <c r="SMK93" t="s">
        <v>114</v>
      </c>
      <c r="SML93" t="s">
        <v>113</v>
      </c>
      <c r="SMM93" t="s">
        <v>398</v>
      </c>
      <c r="SMN93">
        <v>1</v>
      </c>
      <c r="SMO93" t="s">
        <v>438</v>
      </c>
      <c r="SMP93" t="s">
        <v>440</v>
      </c>
      <c r="SMQ93" t="s">
        <v>428</v>
      </c>
      <c r="SMS93" t="s">
        <v>114</v>
      </c>
      <c r="SMT93" t="s">
        <v>113</v>
      </c>
      <c r="SMU93" t="s">
        <v>398</v>
      </c>
      <c r="SMV93">
        <v>1</v>
      </c>
      <c r="SMW93" t="s">
        <v>438</v>
      </c>
      <c r="SMX93" t="s">
        <v>440</v>
      </c>
      <c r="SMY93" t="s">
        <v>428</v>
      </c>
      <c r="SNA93" t="s">
        <v>114</v>
      </c>
      <c r="SNB93" t="s">
        <v>113</v>
      </c>
      <c r="SNC93" t="s">
        <v>398</v>
      </c>
      <c r="SND93">
        <v>1</v>
      </c>
      <c r="SNE93" t="s">
        <v>438</v>
      </c>
      <c r="SNF93" t="s">
        <v>440</v>
      </c>
      <c r="SNG93" t="s">
        <v>428</v>
      </c>
      <c r="SNI93" t="s">
        <v>114</v>
      </c>
      <c r="SNJ93" t="s">
        <v>113</v>
      </c>
      <c r="SNK93" t="s">
        <v>398</v>
      </c>
      <c r="SNL93">
        <v>1</v>
      </c>
      <c r="SNM93" t="s">
        <v>438</v>
      </c>
      <c r="SNN93" t="s">
        <v>440</v>
      </c>
      <c r="SNO93" t="s">
        <v>428</v>
      </c>
      <c r="SNQ93" t="s">
        <v>114</v>
      </c>
      <c r="SNR93" t="s">
        <v>113</v>
      </c>
      <c r="SNS93" t="s">
        <v>398</v>
      </c>
      <c r="SNT93">
        <v>1</v>
      </c>
      <c r="SNU93" t="s">
        <v>438</v>
      </c>
      <c r="SNV93" t="s">
        <v>440</v>
      </c>
      <c r="SNW93" t="s">
        <v>428</v>
      </c>
      <c r="SNY93" t="s">
        <v>114</v>
      </c>
      <c r="SNZ93" t="s">
        <v>113</v>
      </c>
      <c r="SOA93" t="s">
        <v>398</v>
      </c>
      <c r="SOB93">
        <v>1</v>
      </c>
      <c r="SOC93" t="s">
        <v>438</v>
      </c>
      <c r="SOD93" t="s">
        <v>440</v>
      </c>
      <c r="SOE93" t="s">
        <v>428</v>
      </c>
      <c r="SOG93" t="s">
        <v>114</v>
      </c>
      <c r="SOH93" t="s">
        <v>113</v>
      </c>
      <c r="SOI93" t="s">
        <v>398</v>
      </c>
      <c r="SOJ93">
        <v>1</v>
      </c>
      <c r="SOK93" t="s">
        <v>438</v>
      </c>
      <c r="SOL93" t="s">
        <v>440</v>
      </c>
      <c r="SOM93" t="s">
        <v>428</v>
      </c>
      <c r="SOO93" t="s">
        <v>114</v>
      </c>
      <c r="SOP93" t="s">
        <v>113</v>
      </c>
      <c r="SOQ93" t="s">
        <v>398</v>
      </c>
      <c r="SOR93">
        <v>1</v>
      </c>
      <c r="SOS93" t="s">
        <v>438</v>
      </c>
      <c r="SOT93" t="s">
        <v>440</v>
      </c>
      <c r="SOU93" t="s">
        <v>428</v>
      </c>
      <c r="SOW93" t="s">
        <v>114</v>
      </c>
      <c r="SOX93" t="s">
        <v>113</v>
      </c>
      <c r="SOY93" t="s">
        <v>398</v>
      </c>
      <c r="SOZ93">
        <v>1</v>
      </c>
      <c r="SPA93" t="s">
        <v>438</v>
      </c>
      <c r="SPB93" t="s">
        <v>440</v>
      </c>
      <c r="SPC93" t="s">
        <v>428</v>
      </c>
      <c r="SPE93" t="s">
        <v>114</v>
      </c>
      <c r="SPF93" t="s">
        <v>113</v>
      </c>
      <c r="SPG93" t="s">
        <v>398</v>
      </c>
      <c r="SPH93">
        <v>1</v>
      </c>
      <c r="SPI93" t="s">
        <v>438</v>
      </c>
      <c r="SPJ93" t="s">
        <v>440</v>
      </c>
      <c r="SPK93" t="s">
        <v>428</v>
      </c>
      <c r="SPM93" t="s">
        <v>114</v>
      </c>
      <c r="SPN93" t="s">
        <v>113</v>
      </c>
      <c r="SPO93" t="s">
        <v>398</v>
      </c>
      <c r="SPP93">
        <v>1</v>
      </c>
      <c r="SPQ93" t="s">
        <v>438</v>
      </c>
      <c r="SPR93" t="s">
        <v>440</v>
      </c>
      <c r="SPS93" t="s">
        <v>428</v>
      </c>
      <c r="SPU93" t="s">
        <v>114</v>
      </c>
      <c r="SPV93" t="s">
        <v>113</v>
      </c>
      <c r="SPW93" t="s">
        <v>398</v>
      </c>
      <c r="SPX93">
        <v>1</v>
      </c>
      <c r="SPY93" t="s">
        <v>438</v>
      </c>
      <c r="SPZ93" t="s">
        <v>440</v>
      </c>
      <c r="SQA93" t="s">
        <v>428</v>
      </c>
      <c r="SQC93" t="s">
        <v>114</v>
      </c>
      <c r="SQD93" t="s">
        <v>113</v>
      </c>
      <c r="SQE93" t="s">
        <v>398</v>
      </c>
      <c r="SQF93">
        <v>1</v>
      </c>
      <c r="SQG93" t="s">
        <v>438</v>
      </c>
      <c r="SQH93" t="s">
        <v>440</v>
      </c>
      <c r="SQI93" t="s">
        <v>428</v>
      </c>
      <c r="SQK93" t="s">
        <v>114</v>
      </c>
      <c r="SQL93" t="s">
        <v>113</v>
      </c>
      <c r="SQM93" t="s">
        <v>398</v>
      </c>
      <c r="SQN93">
        <v>1</v>
      </c>
      <c r="SQO93" t="s">
        <v>438</v>
      </c>
      <c r="SQP93" t="s">
        <v>440</v>
      </c>
      <c r="SQQ93" t="s">
        <v>428</v>
      </c>
      <c r="SQS93" t="s">
        <v>114</v>
      </c>
      <c r="SQT93" t="s">
        <v>113</v>
      </c>
      <c r="SQU93" t="s">
        <v>398</v>
      </c>
      <c r="SQV93">
        <v>1</v>
      </c>
      <c r="SQW93" t="s">
        <v>438</v>
      </c>
      <c r="SQX93" t="s">
        <v>440</v>
      </c>
      <c r="SQY93" t="s">
        <v>428</v>
      </c>
      <c r="SRA93" t="s">
        <v>114</v>
      </c>
      <c r="SRB93" t="s">
        <v>113</v>
      </c>
      <c r="SRC93" t="s">
        <v>398</v>
      </c>
      <c r="SRD93">
        <v>1</v>
      </c>
      <c r="SRE93" t="s">
        <v>438</v>
      </c>
      <c r="SRF93" t="s">
        <v>440</v>
      </c>
      <c r="SRG93" t="s">
        <v>428</v>
      </c>
      <c r="SRI93" t="s">
        <v>114</v>
      </c>
      <c r="SRJ93" t="s">
        <v>113</v>
      </c>
      <c r="SRK93" t="s">
        <v>398</v>
      </c>
      <c r="SRL93">
        <v>1</v>
      </c>
      <c r="SRM93" t="s">
        <v>438</v>
      </c>
      <c r="SRN93" t="s">
        <v>440</v>
      </c>
      <c r="SRO93" t="s">
        <v>428</v>
      </c>
      <c r="SRQ93" t="s">
        <v>114</v>
      </c>
      <c r="SRR93" t="s">
        <v>113</v>
      </c>
      <c r="SRS93" t="s">
        <v>398</v>
      </c>
      <c r="SRT93">
        <v>1</v>
      </c>
      <c r="SRU93" t="s">
        <v>438</v>
      </c>
      <c r="SRV93" t="s">
        <v>440</v>
      </c>
      <c r="SRW93" t="s">
        <v>428</v>
      </c>
      <c r="SRY93" t="s">
        <v>114</v>
      </c>
      <c r="SRZ93" t="s">
        <v>113</v>
      </c>
      <c r="SSA93" t="s">
        <v>398</v>
      </c>
      <c r="SSB93">
        <v>1</v>
      </c>
      <c r="SSC93" t="s">
        <v>438</v>
      </c>
      <c r="SSD93" t="s">
        <v>440</v>
      </c>
      <c r="SSE93" t="s">
        <v>428</v>
      </c>
      <c r="SSG93" t="s">
        <v>114</v>
      </c>
      <c r="SSH93" t="s">
        <v>113</v>
      </c>
      <c r="SSI93" t="s">
        <v>398</v>
      </c>
      <c r="SSJ93">
        <v>1</v>
      </c>
      <c r="SSK93" t="s">
        <v>438</v>
      </c>
      <c r="SSL93" t="s">
        <v>440</v>
      </c>
      <c r="SSM93" t="s">
        <v>428</v>
      </c>
      <c r="SSO93" t="s">
        <v>114</v>
      </c>
      <c r="SSP93" t="s">
        <v>113</v>
      </c>
      <c r="SSQ93" t="s">
        <v>398</v>
      </c>
      <c r="SSR93">
        <v>1</v>
      </c>
      <c r="SSS93" t="s">
        <v>438</v>
      </c>
      <c r="SST93" t="s">
        <v>440</v>
      </c>
      <c r="SSU93" t="s">
        <v>428</v>
      </c>
      <c r="SSW93" t="s">
        <v>114</v>
      </c>
      <c r="SSX93" t="s">
        <v>113</v>
      </c>
      <c r="SSY93" t="s">
        <v>398</v>
      </c>
      <c r="SSZ93">
        <v>1</v>
      </c>
      <c r="STA93" t="s">
        <v>438</v>
      </c>
      <c r="STB93" t="s">
        <v>440</v>
      </c>
      <c r="STC93" t="s">
        <v>428</v>
      </c>
      <c r="STE93" t="s">
        <v>114</v>
      </c>
      <c r="STF93" t="s">
        <v>113</v>
      </c>
      <c r="STG93" t="s">
        <v>398</v>
      </c>
      <c r="STH93">
        <v>1</v>
      </c>
      <c r="STI93" t="s">
        <v>438</v>
      </c>
      <c r="STJ93" t="s">
        <v>440</v>
      </c>
      <c r="STK93" t="s">
        <v>428</v>
      </c>
      <c r="STM93" t="s">
        <v>114</v>
      </c>
      <c r="STN93" t="s">
        <v>113</v>
      </c>
      <c r="STO93" t="s">
        <v>398</v>
      </c>
      <c r="STP93">
        <v>1</v>
      </c>
      <c r="STQ93" t="s">
        <v>438</v>
      </c>
      <c r="STR93" t="s">
        <v>440</v>
      </c>
      <c r="STS93" t="s">
        <v>428</v>
      </c>
      <c r="STU93" t="s">
        <v>114</v>
      </c>
      <c r="STV93" t="s">
        <v>113</v>
      </c>
      <c r="STW93" t="s">
        <v>398</v>
      </c>
      <c r="STX93">
        <v>1</v>
      </c>
      <c r="STY93" t="s">
        <v>438</v>
      </c>
      <c r="STZ93" t="s">
        <v>440</v>
      </c>
      <c r="SUA93" t="s">
        <v>428</v>
      </c>
      <c r="SUC93" t="s">
        <v>114</v>
      </c>
      <c r="SUD93" t="s">
        <v>113</v>
      </c>
      <c r="SUE93" t="s">
        <v>398</v>
      </c>
      <c r="SUF93">
        <v>1</v>
      </c>
      <c r="SUG93" t="s">
        <v>438</v>
      </c>
      <c r="SUH93" t="s">
        <v>440</v>
      </c>
      <c r="SUI93" t="s">
        <v>428</v>
      </c>
      <c r="SUK93" t="s">
        <v>114</v>
      </c>
      <c r="SUL93" t="s">
        <v>113</v>
      </c>
      <c r="SUM93" t="s">
        <v>398</v>
      </c>
      <c r="SUN93">
        <v>1</v>
      </c>
      <c r="SUO93" t="s">
        <v>438</v>
      </c>
      <c r="SUP93" t="s">
        <v>440</v>
      </c>
      <c r="SUQ93" t="s">
        <v>428</v>
      </c>
      <c r="SUS93" t="s">
        <v>114</v>
      </c>
      <c r="SUT93" t="s">
        <v>113</v>
      </c>
      <c r="SUU93" t="s">
        <v>398</v>
      </c>
      <c r="SUV93">
        <v>1</v>
      </c>
      <c r="SUW93" t="s">
        <v>438</v>
      </c>
      <c r="SUX93" t="s">
        <v>440</v>
      </c>
      <c r="SUY93" t="s">
        <v>428</v>
      </c>
      <c r="SVA93" t="s">
        <v>114</v>
      </c>
      <c r="SVB93" t="s">
        <v>113</v>
      </c>
      <c r="SVC93" t="s">
        <v>398</v>
      </c>
      <c r="SVD93">
        <v>1</v>
      </c>
      <c r="SVE93" t="s">
        <v>438</v>
      </c>
      <c r="SVF93" t="s">
        <v>440</v>
      </c>
      <c r="SVG93" t="s">
        <v>428</v>
      </c>
      <c r="SVI93" t="s">
        <v>114</v>
      </c>
      <c r="SVJ93" t="s">
        <v>113</v>
      </c>
      <c r="SVK93" t="s">
        <v>398</v>
      </c>
      <c r="SVL93">
        <v>1</v>
      </c>
      <c r="SVM93" t="s">
        <v>438</v>
      </c>
      <c r="SVN93" t="s">
        <v>440</v>
      </c>
      <c r="SVO93" t="s">
        <v>428</v>
      </c>
      <c r="SVQ93" t="s">
        <v>114</v>
      </c>
      <c r="SVR93" t="s">
        <v>113</v>
      </c>
      <c r="SVS93" t="s">
        <v>398</v>
      </c>
      <c r="SVT93">
        <v>1</v>
      </c>
      <c r="SVU93" t="s">
        <v>438</v>
      </c>
      <c r="SVV93" t="s">
        <v>440</v>
      </c>
      <c r="SVW93" t="s">
        <v>428</v>
      </c>
      <c r="SVY93" t="s">
        <v>114</v>
      </c>
      <c r="SVZ93" t="s">
        <v>113</v>
      </c>
      <c r="SWA93" t="s">
        <v>398</v>
      </c>
      <c r="SWB93">
        <v>1</v>
      </c>
      <c r="SWC93" t="s">
        <v>438</v>
      </c>
      <c r="SWD93" t="s">
        <v>440</v>
      </c>
      <c r="SWE93" t="s">
        <v>428</v>
      </c>
      <c r="SWG93" t="s">
        <v>114</v>
      </c>
      <c r="SWH93" t="s">
        <v>113</v>
      </c>
      <c r="SWI93" t="s">
        <v>398</v>
      </c>
      <c r="SWJ93">
        <v>1</v>
      </c>
      <c r="SWK93" t="s">
        <v>438</v>
      </c>
      <c r="SWL93" t="s">
        <v>440</v>
      </c>
      <c r="SWM93" t="s">
        <v>428</v>
      </c>
      <c r="SWO93" t="s">
        <v>114</v>
      </c>
      <c r="SWP93" t="s">
        <v>113</v>
      </c>
      <c r="SWQ93" t="s">
        <v>398</v>
      </c>
      <c r="SWR93">
        <v>1</v>
      </c>
      <c r="SWS93" t="s">
        <v>438</v>
      </c>
      <c r="SWT93" t="s">
        <v>440</v>
      </c>
      <c r="SWU93" t="s">
        <v>428</v>
      </c>
      <c r="SWW93" t="s">
        <v>114</v>
      </c>
      <c r="SWX93" t="s">
        <v>113</v>
      </c>
      <c r="SWY93" t="s">
        <v>398</v>
      </c>
      <c r="SWZ93">
        <v>1</v>
      </c>
      <c r="SXA93" t="s">
        <v>438</v>
      </c>
      <c r="SXB93" t="s">
        <v>440</v>
      </c>
      <c r="SXC93" t="s">
        <v>428</v>
      </c>
      <c r="SXE93" t="s">
        <v>114</v>
      </c>
      <c r="SXF93" t="s">
        <v>113</v>
      </c>
      <c r="SXG93" t="s">
        <v>398</v>
      </c>
      <c r="SXH93">
        <v>1</v>
      </c>
      <c r="SXI93" t="s">
        <v>438</v>
      </c>
      <c r="SXJ93" t="s">
        <v>440</v>
      </c>
      <c r="SXK93" t="s">
        <v>428</v>
      </c>
      <c r="SXM93" t="s">
        <v>114</v>
      </c>
      <c r="SXN93" t="s">
        <v>113</v>
      </c>
      <c r="SXO93" t="s">
        <v>398</v>
      </c>
      <c r="SXP93">
        <v>1</v>
      </c>
      <c r="SXQ93" t="s">
        <v>438</v>
      </c>
      <c r="SXR93" t="s">
        <v>440</v>
      </c>
      <c r="SXS93" t="s">
        <v>428</v>
      </c>
      <c r="SXU93" t="s">
        <v>114</v>
      </c>
      <c r="SXV93" t="s">
        <v>113</v>
      </c>
      <c r="SXW93" t="s">
        <v>398</v>
      </c>
      <c r="SXX93">
        <v>1</v>
      </c>
      <c r="SXY93" t="s">
        <v>438</v>
      </c>
      <c r="SXZ93" t="s">
        <v>440</v>
      </c>
      <c r="SYA93" t="s">
        <v>428</v>
      </c>
      <c r="SYC93" t="s">
        <v>114</v>
      </c>
      <c r="SYD93" t="s">
        <v>113</v>
      </c>
      <c r="SYE93" t="s">
        <v>398</v>
      </c>
      <c r="SYF93">
        <v>1</v>
      </c>
      <c r="SYG93" t="s">
        <v>438</v>
      </c>
      <c r="SYH93" t="s">
        <v>440</v>
      </c>
      <c r="SYI93" t="s">
        <v>428</v>
      </c>
      <c r="SYK93" t="s">
        <v>114</v>
      </c>
      <c r="SYL93" t="s">
        <v>113</v>
      </c>
      <c r="SYM93" t="s">
        <v>398</v>
      </c>
      <c r="SYN93">
        <v>1</v>
      </c>
      <c r="SYO93" t="s">
        <v>438</v>
      </c>
      <c r="SYP93" t="s">
        <v>440</v>
      </c>
      <c r="SYQ93" t="s">
        <v>428</v>
      </c>
      <c r="SYS93" t="s">
        <v>114</v>
      </c>
      <c r="SYT93" t="s">
        <v>113</v>
      </c>
      <c r="SYU93" t="s">
        <v>398</v>
      </c>
      <c r="SYV93">
        <v>1</v>
      </c>
      <c r="SYW93" t="s">
        <v>438</v>
      </c>
      <c r="SYX93" t="s">
        <v>440</v>
      </c>
      <c r="SYY93" t="s">
        <v>428</v>
      </c>
      <c r="SZA93" t="s">
        <v>114</v>
      </c>
      <c r="SZB93" t="s">
        <v>113</v>
      </c>
      <c r="SZC93" t="s">
        <v>398</v>
      </c>
      <c r="SZD93">
        <v>1</v>
      </c>
      <c r="SZE93" t="s">
        <v>438</v>
      </c>
      <c r="SZF93" t="s">
        <v>440</v>
      </c>
      <c r="SZG93" t="s">
        <v>428</v>
      </c>
      <c r="SZI93" t="s">
        <v>114</v>
      </c>
      <c r="SZJ93" t="s">
        <v>113</v>
      </c>
      <c r="SZK93" t="s">
        <v>398</v>
      </c>
      <c r="SZL93">
        <v>1</v>
      </c>
      <c r="SZM93" t="s">
        <v>438</v>
      </c>
      <c r="SZN93" t="s">
        <v>440</v>
      </c>
      <c r="SZO93" t="s">
        <v>428</v>
      </c>
      <c r="SZQ93" t="s">
        <v>114</v>
      </c>
      <c r="SZR93" t="s">
        <v>113</v>
      </c>
      <c r="SZS93" t="s">
        <v>398</v>
      </c>
      <c r="SZT93">
        <v>1</v>
      </c>
      <c r="SZU93" t="s">
        <v>438</v>
      </c>
      <c r="SZV93" t="s">
        <v>440</v>
      </c>
      <c r="SZW93" t="s">
        <v>428</v>
      </c>
      <c r="SZY93" t="s">
        <v>114</v>
      </c>
      <c r="SZZ93" t="s">
        <v>113</v>
      </c>
      <c r="TAA93" t="s">
        <v>398</v>
      </c>
      <c r="TAB93">
        <v>1</v>
      </c>
      <c r="TAC93" t="s">
        <v>438</v>
      </c>
      <c r="TAD93" t="s">
        <v>440</v>
      </c>
      <c r="TAE93" t="s">
        <v>428</v>
      </c>
      <c r="TAG93" t="s">
        <v>114</v>
      </c>
      <c r="TAH93" t="s">
        <v>113</v>
      </c>
      <c r="TAI93" t="s">
        <v>398</v>
      </c>
      <c r="TAJ93">
        <v>1</v>
      </c>
      <c r="TAK93" t="s">
        <v>438</v>
      </c>
      <c r="TAL93" t="s">
        <v>440</v>
      </c>
      <c r="TAM93" t="s">
        <v>428</v>
      </c>
      <c r="TAO93" t="s">
        <v>114</v>
      </c>
      <c r="TAP93" t="s">
        <v>113</v>
      </c>
      <c r="TAQ93" t="s">
        <v>398</v>
      </c>
      <c r="TAR93">
        <v>1</v>
      </c>
      <c r="TAS93" t="s">
        <v>438</v>
      </c>
      <c r="TAT93" t="s">
        <v>440</v>
      </c>
      <c r="TAU93" t="s">
        <v>428</v>
      </c>
      <c r="TAW93" t="s">
        <v>114</v>
      </c>
      <c r="TAX93" t="s">
        <v>113</v>
      </c>
      <c r="TAY93" t="s">
        <v>398</v>
      </c>
      <c r="TAZ93">
        <v>1</v>
      </c>
      <c r="TBA93" t="s">
        <v>438</v>
      </c>
      <c r="TBB93" t="s">
        <v>440</v>
      </c>
      <c r="TBC93" t="s">
        <v>428</v>
      </c>
      <c r="TBE93" t="s">
        <v>114</v>
      </c>
      <c r="TBF93" t="s">
        <v>113</v>
      </c>
      <c r="TBG93" t="s">
        <v>398</v>
      </c>
      <c r="TBH93">
        <v>1</v>
      </c>
      <c r="TBI93" t="s">
        <v>438</v>
      </c>
      <c r="TBJ93" t="s">
        <v>440</v>
      </c>
      <c r="TBK93" t="s">
        <v>428</v>
      </c>
      <c r="TBM93" t="s">
        <v>114</v>
      </c>
      <c r="TBN93" t="s">
        <v>113</v>
      </c>
      <c r="TBO93" t="s">
        <v>398</v>
      </c>
      <c r="TBP93">
        <v>1</v>
      </c>
      <c r="TBQ93" t="s">
        <v>438</v>
      </c>
      <c r="TBR93" t="s">
        <v>440</v>
      </c>
      <c r="TBS93" t="s">
        <v>428</v>
      </c>
      <c r="TBU93" t="s">
        <v>114</v>
      </c>
      <c r="TBV93" t="s">
        <v>113</v>
      </c>
      <c r="TBW93" t="s">
        <v>398</v>
      </c>
      <c r="TBX93">
        <v>1</v>
      </c>
      <c r="TBY93" t="s">
        <v>438</v>
      </c>
      <c r="TBZ93" t="s">
        <v>440</v>
      </c>
      <c r="TCA93" t="s">
        <v>428</v>
      </c>
      <c r="TCC93" t="s">
        <v>114</v>
      </c>
      <c r="TCD93" t="s">
        <v>113</v>
      </c>
      <c r="TCE93" t="s">
        <v>398</v>
      </c>
      <c r="TCF93">
        <v>1</v>
      </c>
      <c r="TCG93" t="s">
        <v>438</v>
      </c>
      <c r="TCH93" t="s">
        <v>440</v>
      </c>
      <c r="TCI93" t="s">
        <v>428</v>
      </c>
      <c r="TCK93" t="s">
        <v>114</v>
      </c>
      <c r="TCL93" t="s">
        <v>113</v>
      </c>
      <c r="TCM93" t="s">
        <v>398</v>
      </c>
      <c r="TCN93">
        <v>1</v>
      </c>
      <c r="TCO93" t="s">
        <v>438</v>
      </c>
      <c r="TCP93" t="s">
        <v>440</v>
      </c>
      <c r="TCQ93" t="s">
        <v>428</v>
      </c>
      <c r="TCS93" t="s">
        <v>114</v>
      </c>
      <c r="TCT93" t="s">
        <v>113</v>
      </c>
      <c r="TCU93" t="s">
        <v>398</v>
      </c>
      <c r="TCV93">
        <v>1</v>
      </c>
      <c r="TCW93" t="s">
        <v>438</v>
      </c>
      <c r="TCX93" t="s">
        <v>440</v>
      </c>
      <c r="TCY93" t="s">
        <v>428</v>
      </c>
      <c r="TDA93" t="s">
        <v>114</v>
      </c>
      <c r="TDB93" t="s">
        <v>113</v>
      </c>
      <c r="TDC93" t="s">
        <v>398</v>
      </c>
      <c r="TDD93">
        <v>1</v>
      </c>
      <c r="TDE93" t="s">
        <v>438</v>
      </c>
      <c r="TDF93" t="s">
        <v>440</v>
      </c>
      <c r="TDG93" t="s">
        <v>428</v>
      </c>
      <c r="TDI93" t="s">
        <v>114</v>
      </c>
      <c r="TDJ93" t="s">
        <v>113</v>
      </c>
      <c r="TDK93" t="s">
        <v>398</v>
      </c>
      <c r="TDL93">
        <v>1</v>
      </c>
      <c r="TDM93" t="s">
        <v>438</v>
      </c>
      <c r="TDN93" t="s">
        <v>440</v>
      </c>
      <c r="TDO93" t="s">
        <v>428</v>
      </c>
      <c r="TDQ93" t="s">
        <v>114</v>
      </c>
      <c r="TDR93" t="s">
        <v>113</v>
      </c>
      <c r="TDS93" t="s">
        <v>398</v>
      </c>
      <c r="TDT93">
        <v>1</v>
      </c>
      <c r="TDU93" t="s">
        <v>438</v>
      </c>
      <c r="TDV93" t="s">
        <v>440</v>
      </c>
      <c r="TDW93" t="s">
        <v>428</v>
      </c>
      <c r="TDY93" t="s">
        <v>114</v>
      </c>
      <c r="TDZ93" t="s">
        <v>113</v>
      </c>
      <c r="TEA93" t="s">
        <v>398</v>
      </c>
      <c r="TEB93">
        <v>1</v>
      </c>
      <c r="TEC93" t="s">
        <v>438</v>
      </c>
      <c r="TED93" t="s">
        <v>440</v>
      </c>
      <c r="TEE93" t="s">
        <v>428</v>
      </c>
      <c r="TEG93" t="s">
        <v>114</v>
      </c>
      <c r="TEH93" t="s">
        <v>113</v>
      </c>
      <c r="TEI93" t="s">
        <v>398</v>
      </c>
      <c r="TEJ93">
        <v>1</v>
      </c>
      <c r="TEK93" t="s">
        <v>438</v>
      </c>
      <c r="TEL93" t="s">
        <v>440</v>
      </c>
      <c r="TEM93" t="s">
        <v>428</v>
      </c>
      <c r="TEO93" t="s">
        <v>114</v>
      </c>
      <c r="TEP93" t="s">
        <v>113</v>
      </c>
      <c r="TEQ93" t="s">
        <v>398</v>
      </c>
      <c r="TER93">
        <v>1</v>
      </c>
      <c r="TES93" t="s">
        <v>438</v>
      </c>
      <c r="TET93" t="s">
        <v>440</v>
      </c>
      <c r="TEU93" t="s">
        <v>428</v>
      </c>
      <c r="TEW93" t="s">
        <v>114</v>
      </c>
      <c r="TEX93" t="s">
        <v>113</v>
      </c>
      <c r="TEY93" t="s">
        <v>398</v>
      </c>
      <c r="TEZ93">
        <v>1</v>
      </c>
      <c r="TFA93" t="s">
        <v>438</v>
      </c>
      <c r="TFB93" t="s">
        <v>440</v>
      </c>
      <c r="TFC93" t="s">
        <v>428</v>
      </c>
      <c r="TFE93" t="s">
        <v>114</v>
      </c>
      <c r="TFF93" t="s">
        <v>113</v>
      </c>
      <c r="TFG93" t="s">
        <v>398</v>
      </c>
      <c r="TFH93">
        <v>1</v>
      </c>
      <c r="TFI93" t="s">
        <v>438</v>
      </c>
      <c r="TFJ93" t="s">
        <v>440</v>
      </c>
      <c r="TFK93" t="s">
        <v>428</v>
      </c>
      <c r="TFM93" t="s">
        <v>114</v>
      </c>
      <c r="TFN93" t="s">
        <v>113</v>
      </c>
      <c r="TFO93" t="s">
        <v>398</v>
      </c>
      <c r="TFP93">
        <v>1</v>
      </c>
      <c r="TFQ93" t="s">
        <v>438</v>
      </c>
      <c r="TFR93" t="s">
        <v>440</v>
      </c>
      <c r="TFS93" t="s">
        <v>428</v>
      </c>
      <c r="TFU93" t="s">
        <v>114</v>
      </c>
      <c r="TFV93" t="s">
        <v>113</v>
      </c>
      <c r="TFW93" t="s">
        <v>398</v>
      </c>
      <c r="TFX93">
        <v>1</v>
      </c>
      <c r="TFY93" t="s">
        <v>438</v>
      </c>
      <c r="TFZ93" t="s">
        <v>440</v>
      </c>
      <c r="TGA93" t="s">
        <v>428</v>
      </c>
      <c r="TGC93" t="s">
        <v>114</v>
      </c>
      <c r="TGD93" t="s">
        <v>113</v>
      </c>
      <c r="TGE93" t="s">
        <v>398</v>
      </c>
      <c r="TGF93">
        <v>1</v>
      </c>
      <c r="TGG93" t="s">
        <v>438</v>
      </c>
      <c r="TGH93" t="s">
        <v>440</v>
      </c>
      <c r="TGI93" t="s">
        <v>428</v>
      </c>
      <c r="TGK93" t="s">
        <v>114</v>
      </c>
      <c r="TGL93" t="s">
        <v>113</v>
      </c>
      <c r="TGM93" t="s">
        <v>398</v>
      </c>
      <c r="TGN93">
        <v>1</v>
      </c>
      <c r="TGO93" t="s">
        <v>438</v>
      </c>
      <c r="TGP93" t="s">
        <v>440</v>
      </c>
      <c r="TGQ93" t="s">
        <v>428</v>
      </c>
      <c r="TGS93" t="s">
        <v>114</v>
      </c>
      <c r="TGT93" t="s">
        <v>113</v>
      </c>
      <c r="TGU93" t="s">
        <v>398</v>
      </c>
      <c r="TGV93">
        <v>1</v>
      </c>
      <c r="TGW93" t="s">
        <v>438</v>
      </c>
      <c r="TGX93" t="s">
        <v>440</v>
      </c>
      <c r="TGY93" t="s">
        <v>428</v>
      </c>
      <c r="THA93" t="s">
        <v>114</v>
      </c>
      <c r="THB93" t="s">
        <v>113</v>
      </c>
      <c r="THC93" t="s">
        <v>398</v>
      </c>
      <c r="THD93">
        <v>1</v>
      </c>
      <c r="THE93" t="s">
        <v>438</v>
      </c>
      <c r="THF93" t="s">
        <v>440</v>
      </c>
      <c r="THG93" t="s">
        <v>428</v>
      </c>
      <c r="THI93" t="s">
        <v>114</v>
      </c>
      <c r="THJ93" t="s">
        <v>113</v>
      </c>
      <c r="THK93" t="s">
        <v>398</v>
      </c>
      <c r="THL93">
        <v>1</v>
      </c>
      <c r="THM93" t="s">
        <v>438</v>
      </c>
      <c r="THN93" t="s">
        <v>440</v>
      </c>
      <c r="THO93" t="s">
        <v>428</v>
      </c>
      <c r="THQ93" t="s">
        <v>114</v>
      </c>
      <c r="THR93" t="s">
        <v>113</v>
      </c>
      <c r="THS93" t="s">
        <v>398</v>
      </c>
      <c r="THT93">
        <v>1</v>
      </c>
      <c r="THU93" t="s">
        <v>438</v>
      </c>
      <c r="THV93" t="s">
        <v>440</v>
      </c>
      <c r="THW93" t="s">
        <v>428</v>
      </c>
      <c r="THY93" t="s">
        <v>114</v>
      </c>
      <c r="THZ93" t="s">
        <v>113</v>
      </c>
      <c r="TIA93" t="s">
        <v>398</v>
      </c>
      <c r="TIB93">
        <v>1</v>
      </c>
      <c r="TIC93" t="s">
        <v>438</v>
      </c>
      <c r="TID93" t="s">
        <v>440</v>
      </c>
      <c r="TIE93" t="s">
        <v>428</v>
      </c>
      <c r="TIG93" t="s">
        <v>114</v>
      </c>
      <c r="TIH93" t="s">
        <v>113</v>
      </c>
      <c r="TII93" t="s">
        <v>398</v>
      </c>
      <c r="TIJ93">
        <v>1</v>
      </c>
      <c r="TIK93" t="s">
        <v>438</v>
      </c>
      <c r="TIL93" t="s">
        <v>440</v>
      </c>
      <c r="TIM93" t="s">
        <v>428</v>
      </c>
      <c r="TIO93" t="s">
        <v>114</v>
      </c>
      <c r="TIP93" t="s">
        <v>113</v>
      </c>
      <c r="TIQ93" t="s">
        <v>398</v>
      </c>
      <c r="TIR93">
        <v>1</v>
      </c>
      <c r="TIS93" t="s">
        <v>438</v>
      </c>
      <c r="TIT93" t="s">
        <v>440</v>
      </c>
      <c r="TIU93" t="s">
        <v>428</v>
      </c>
      <c r="TIW93" t="s">
        <v>114</v>
      </c>
      <c r="TIX93" t="s">
        <v>113</v>
      </c>
      <c r="TIY93" t="s">
        <v>398</v>
      </c>
      <c r="TIZ93">
        <v>1</v>
      </c>
      <c r="TJA93" t="s">
        <v>438</v>
      </c>
      <c r="TJB93" t="s">
        <v>440</v>
      </c>
      <c r="TJC93" t="s">
        <v>428</v>
      </c>
      <c r="TJE93" t="s">
        <v>114</v>
      </c>
      <c r="TJF93" t="s">
        <v>113</v>
      </c>
      <c r="TJG93" t="s">
        <v>398</v>
      </c>
      <c r="TJH93">
        <v>1</v>
      </c>
      <c r="TJI93" t="s">
        <v>438</v>
      </c>
      <c r="TJJ93" t="s">
        <v>440</v>
      </c>
      <c r="TJK93" t="s">
        <v>428</v>
      </c>
      <c r="TJM93" t="s">
        <v>114</v>
      </c>
      <c r="TJN93" t="s">
        <v>113</v>
      </c>
      <c r="TJO93" t="s">
        <v>398</v>
      </c>
      <c r="TJP93">
        <v>1</v>
      </c>
      <c r="TJQ93" t="s">
        <v>438</v>
      </c>
      <c r="TJR93" t="s">
        <v>440</v>
      </c>
      <c r="TJS93" t="s">
        <v>428</v>
      </c>
      <c r="TJU93" t="s">
        <v>114</v>
      </c>
      <c r="TJV93" t="s">
        <v>113</v>
      </c>
      <c r="TJW93" t="s">
        <v>398</v>
      </c>
      <c r="TJX93">
        <v>1</v>
      </c>
      <c r="TJY93" t="s">
        <v>438</v>
      </c>
      <c r="TJZ93" t="s">
        <v>440</v>
      </c>
      <c r="TKA93" t="s">
        <v>428</v>
      </c>
      <c r="TKC93" t="s">
        <v>114</v>
      </c>
      <c r="TKD93" t="s">
        <v>113</v>
      </c>
      <c r="TKE93" t="s">
        <v>398</v>
      </c>
      <c r="TKF93">
        <v>1</v>
      </c>
      <c r="TKG93" t="s">
        <v>438</v>
      </c>
      <c r="TKH93" t="s">
        <v>440</v>
      </c>
      <c r="TKI93" t="s">
        <v>428</v>
      </c>
      <c r="TKK93" t="s">
        <v>114</v>
      </c>
      <c r="TKL93" t="s">
        <v>113</v>
      </c>
      <c r="TKM93" t="s">
        <v>398</v>
      </c>
      <c r="TKN93">
        <v>1</v>
      </c>
      <c r="TKO93" t="s">
        <v>438</v>
      </c>
      <c r="TKP93" t="s">
        <v>440</v>
      </c>
      <c r="TKQ93" t="s">
        <v>428</v>
      </c>
      <c r="TKS93" t="s">
        <v>114</v>
      </c>
      <c r="TKT93" t="s">
        <v>113</v>
      </c>
      <c r="TKU93" t="s">
        <v>398</v>
      </c>
      <c r="TKV93">
        <v>1</v>
      </c>
      <c r="TKW93" t="s">
        <v>438</v>
      </c>
      <c r="TKX93" t="s">
        <v>440</v>
      </c>
      <c r="TKY93" t="s">
        <v>428</v>
      </c>
      <c r="TLA93" t="s">
        <v>114</v>
      </c>
      <c r="TLB93" t="s">
        <v>113</v>
      </c>
      <c r="TLC93" t="s">
        <v>398</v>
      </c>
      <c r="TLD93">
        <v>1</v>
      </c>
      <c r="TLE93" t="s">
        <v>438</v>
      </c>
      <c r="TLF93" t="s">
        <v>440</v>
      </c>
      <c r="TLG93" t="s">
        <v>428</v>
      </c>
      <c r="TLI93" t="s">
        <v>114</v>
      </c>
      <c r="TLJ93" t="s">
        <v>113</v>
      </c>
      <c r="TLK93" t="s">
        <v>398</v>
      </c>
      <c r="TLL93">
        <v>1</v>
      </c>
      <c r="TLM93" t="s">
        <v>438</v>
      </c>
      <c r="TLN93" t="s">
        <v>440</v>
      </c>
      <c r="TLO93" t="s">
        <v>428</v>
      </c>
      <c r="TLQ93" t="s">
        <v>114</v>
      </c>
      <c r="TLR93" t="s">
        <v>113</v>
      </c>
      <c r="TLS93" t="s">
        <v>398</v>
      </c>
      <c r="TLT93">
        <v>1</v>
      </c>
      <c r="TLU93" t="s">
        <v>438</v>
      </c>
      <c r="TLV93" t="s">
        <v>440</v>
      </c>
      <c r="TLW93" t="s">
        <v>428</v>
      </c>
      <c r="TLY93" t="s">
        <v>114</v>
      </c>
      <c r="TLZ93" t="s">
        <v>113</v>
      </c>
      <c r="TMA93" t="s">
        <v>398</v>
      </c>
      <c r="TMB93">
        <v>1</v>
      </c>
      <c r="TMC93" t="s">
        <v>438</v>
      </c>
      <c r="TMD93" t="s">
        <v>440</v>
      </c>
      <c r="TME93" t="s">
        <v>428</v>
      </c>
      <c r="TMG93" t="s">
        <v>114</v>
      </c>
      <c r="TMH93" t="s">
        <v>113</v>
      </c>
      <c r="TMI93" t="s">
        <v>398</v>
      </c>
      <c r="TMJ93">
        <v>1</v>
      </c>
      <c r="TMK93" t="s">
        <v>438</v>
      </c>
      <c r="TML93" t="s">
        <v>440</v>
      </c>
      <c r="TMM93" t="s">
        <v>428</v>
      </c>
      <c r="TMO93" t="s">
        <v>114</v>
      </c>
      <c r="TMP93" t="s">
        <v>113</v>
      </c>
      <c r="TMQ93" t="s">
        <v>398</v>
      </c>
      <c r="TMR93">
        <v>1</v>
      </c>
      <c r="TMS93" t="s">
        <v>438</v>
      </c>
      <c r="TMT93" t="s">
        <v>440</v>
      </c>
      <c r="TMU93" t="s">
        <v>428</v>
      </c>
      <c r="TMW93" t="s">
        <v>114</v>
      </c>
      <c r="TMX93" t="s">
        <v>113</v>
      </c>
      <c r="TMY93" t="s">
        <v>398</v>
      </c>
      <c r="TMZ93">
        <v>1</v>
      </c>
      <c r="TNA93" t="s">
        <v>438</v>
      </c>
      <c r="TNB93" t="s">
        <v>440</v>
      </c>
      <c r="TNC93" t="s">
        <v>428</v>
      </c>
      <c r="TNE93" t="s">
        <v>114</v>
      </c>
      <c r="TNF93" t="s">
        <v>113</v>
      </c>
      <c r="TNG93" t="s">
        <v>398</v>
      </c>
      <c r="TNH93">
        <v>1</v>
      </c>
      <c r="TNI93" t="s">
        <v>438</v>
      </c>
      <c r="TNJ93" t="s">
        <v>440</v>
      </c>
      <c r="TNK93" t="s">
        <v>428</v>
      </c>
      <c r="TNM93" t="s">
        <v>114</v>
      </c>
      <c r="TNN93" t="s">
        <v>113</v>
      </c>
      <c r="TNO93" t="s">
        <v>398</v>
      </c>
      <c r="TNP93">
        <v>1</v>
      </c>
      <c r="TNQ93" t="s">
        <v>438</v>
      </c>
      <c r="TNR93" t="s">
        <v>440</v>
      </c>
      <c r="TNS93" t="s">
        <v>428</v>
      </c>
      <c r="TNU93" t="s">
        <v>114</v>
      </c>
      <c r="TNV93" t="s">
        <v>113</v>
      </c>
      <c r="TNW93" t="s">
        <v>398</v>
      </c>
      <c r="TNX93">
        <v>1</v>
      </c>
      <c r="TNY93" t="s">
        <v>438</v>
      </c>
      <c r="TNZ93" t="s">
        <v>440</v>
      </c>
      <c r="TOA93" t="s">
        <v>428</v>
      </c>
      <c r="TOC93" t="s">
        <v>114</v>
      </c>
      <c r="TOD93" t="s">
        <v>113</v>
      </c>
      <c r="TOE93" t="s">
        <v>398</v>
      </c>
      <c r="TOF93">
        <v>1</v>
      </c>
      <c r="TOG93" t="s">
        <v>438</v>
      </c>
      <c r="TOH93" t="s">
        <v>440</v>
      </c>
      <c r="TOI93" t="s">
        <v>428</v>
      </c>
      <c r="TOK93" t="s">
        <v>114</v>
      </c>
      <c r="TOL93" t="s">
        <v>113</v>
      </c>
      <c r="TOM93" t="s">
        <v>398</v>
      </c>
      <c r="TON93">
        <v>1</v>
      </c>
      <c r="TOO93" t="s">
        <v>438</v>
      </c>
      <c r="TOP93" t="s">
        <v>440</v>
      </c>
      <c r="TOQ93" t="s">
        <v>428</v>
      </c>
      <c r="TOS93" t="s">
        <v>114</v>
      </c>
      <c r="TOT93" t="s">
        <v>113</v>
      </c>
      <c r="TOU93" t="s">
        <v>398</v>
      </c>
      <c r="TOV93">
        <v>1</v>
      </c>
      <c r="TOW93" t="s">
        <v>438</v>
      </c>
      <c r="TOX93" t="s">
        <v>440</v>
      </c>
      <c r="TOY93" t="s">
        <v>428</v>
      </c>
      <c r="TPA93" t="s">
        <v>114</v>
      </c>
      <c r="TPB93" t="s">
        <v>113</v>
      </c>
      <c r="TPC93" t="s">
        <v>398</v>
      </c>
      <c r="TPD93">
        <v>1</v>
      </c>
      <c r="TPE93" t="s">
        <v>438</v>
      </c>
      <c r="TPF93" t="s">
        <v>440</v>
      </c>
      <c r="TPG93" t="s">
        <v>428</v>
      </c>
      <c r="TPI93" t="s">
        <v>114</v>
      </c>
      <c r="TPJ93" t="s">
        <v>113</v>
      </c>
      <c r="TPK93" t="s">
        <v>398</v>
      </c>
      <c r="TPL93">
        <v>1</v>
      </c>
      <c r="TPM93" t="s">
        <v>438</v>
      </c>
      <c r="TPN93" t="s">
        <v>440</v>
      </c>
      <c r="TPO93" t="s">
        <v>428</v>
      </c>
      <c r="TPQ93" t="s">
        <v>114</v>
      </c>
      <c r="TPR93" t="s">
        <v>113</v>
      </c>
      <c r="TPS93" t="s">
        <v>398</v>
      </c>
      <c r="TPT93">
        <v>1</v>
      </c>
      <c r="TPU93" t="s">
        <v>438</v>
      </c>
      <c r="TPV93" t="s">
        <v>440</v>
      </c>
      <c r="TPW93" t="s">
        <v>428</v>
      </c>
      <c r="TPY93" t="s">
        <v>114</v>
      </c>
      <c r="TPZ93" t="s">
        <v>113</v>
      </c>
      <c r="TQA93" t="s">
        <v>398</v>
      </c>
      <c r="TQB93">
        <v>1</v>
      </c>
      <c r="TQC93" t="s">
        <v>438</v>
      </c>
      <c r="TQD93" t="s">
        <v>440</v>
      </c>
      <c r="TQE93" t="s">
        <v>428</v>
      </c>
      <c r="TQG93" t="s">
        <v>114</v>
      </c>
      <c r="TQH93" t="s">
        <v>113</v>
      </c>
      <c r="TQI93" t="s">
        <v>398</v>
      </c>
      <c r="TQJ93">
        <v>1</v>
      </c>
      <c r="TQK93" t="s">
        <v>438</v>
      </c>
      <c r="TQL93" t="s">
        <v>440</v>
      </c>
      <c r="TQM93" t="s">
        <v>428</v>
      </c>
      <c r="TQO93" t="s">
        <v>114</v>
      </c>
      <c r="TQP93" t="s">
        <v>113</v>
      </c>
      <c r="TQQ93" t="s">
        <v>398</v>
      </c>
      <c r="TQR93">
        <v>1</v>
      </c>
      <c r="TQS93" t="s">
        <v>438</v>
      </c>
      <c r="TQT93" t="s">
        <v>440</v>
      </c>
      <c r="TQU93" t="s">
        <v>428</v>
      </c>
      <c r="TQW93" t="s">
        <v>114</v>
      </c>
      <c r="TQX93" t="s">
        <v>113</v>
      </c>
      <c r="TQY93" t="s">
        <v>398</v>
      </c>
      <c r="TQZ93">
        <v>1</v>
      </c>
      <c r="TRA93" t="s">
        <v>438</v>
      </c>
      <c r="TRB93" t="s">
        <v>440</v>
      </c>
      <c r="TRC93" t="s">
        <v>428</v>
      </c>
      <c r="TRE93" t="s">
        <v>114</v>
      </c>
      <c r="TRF93" t="s">
        <v>113</v>
      </c>
      <c r="TRG93" t="s">
        <v>398</v>
      </c>
      <c r="TRH93">
        <v>1</v>
      </c>
      <c r="TRI93" t="s">
        <v>438</v>
      </c>
      <c r="TRJ93" t="s">
        <v>440</v>
      </c>
      <c r="TRK93" t="s">
        <v>428</v>
      </c>
      <c r="TRM93" t="s">
        <v>114</v>
      </c>
      <c r="TRN93" t="s">
        <v>113</v>
      </c>
      <c r="TRO93" t="s">
        <v>398</v>
      </c>
      <c r="TRP93">
        <v>1</v>
      </c>
      <c r="TRQ93" t="s">
        <v>438</v>
      </c>
      <c r="TRR93" t="s">
        <v>440</v>
      </c>
      <c r="TRS93" t="s">
        <v>428</v>
      </c>
      <c r="TRU93" t="s">
        <v>114</v>
      </c>
      <c r="TRV93" t="s">
        <v>113</v>
      </c>
      <c r="TRW93" t="s">
        <v>398</v>
      </c>
      <c r="TRX93">
        <v>1</v>
      </c>
      <c r="TRY93" t="s">
        <v>438</v>
      </c>
      <c r="TRZ93" t="s">
        <v>440</v>
      </c>
      <c r="TSA93" t="s">
        <v>428</v>
      </c>
      <c r="TSC93" t="s">
        <v>114</v>
      </c>
      <c r="TSD93" t="s">
        <v>113</v>
      </c>
      <c r="TSE93" t="s">
        <v>398</v>
      </c>
      <c r="TSF93">
        <v>1</v>
      </c>
      <c r="TSG93" t="s">
        <v>438</v>
      </c>
      <c r="TSH93" t="s">
        <v>440</v>
      </c>
      <c r="TSI93" t="s">
        <v>428</v>
      </c>
      <c r="TSK93" t="s">
        <v>114</v>
      </c>
      <c r="TSL93" t="s">
        <v>113</v>
      </c>
      <c r="TSM93" t="s">
        <v>398</v>
      </c>
      <c r="TSN93">
        <v>1</v>
      </c>
      <c r="TSO93" t="s">
        <v>438</v>
      </c>
      <c r="TSP93" t="s">
        <v>440</v>
      </c>
      <c r="TSQ93" t="s">
        <v>428</v>
      </c>
      <c r="TSS93" t="s">
        <v>114</v>
      </c>
      <c r="TST93" t="s">
        <v>113</v>
      </c>
      <c r="TSU93" t="s">
        <v>398</v>
      </c>
      <c r="TSV93">
        <v>1</v>
      </c>
      <c r="TSW93" t="s">
        <v>438</v>
      </c>
      <c r="TSX93" t="s">
        <v>440</v>
      </c>
      <c r="TSY93" t="s">
        <v>428</v>
      </c>
      <c r="TTA93" t="s">
        <v>114</v>
      </c>
      <c r="TTB93" t="s">
        <v>113</v>
      </c>
      <c r="TTC93" t="s">
        <v>398</v>
      </c>
      <c r="TTD93">
        <v>1</v>
      </c>
      <c r="TTE93" t="s">
        <v>438</v>
      </c>
      <c r="TTF93" t="s">
        <v>440</v>
      </c>
      <c r="TTG93" t="s">
        <v>428</v>
      </c>
      <c r="TTI93" t="s">
        <v>114</v>
      </c>
      <c r="TTJ93" t="s">
        <v>113</v>
      </c>
      <c r="TTK93" t="s">
        <v>398</v>
      </c>
      <c r="TTL93">
        <v>1</v>
      </c>
      <c r="TTM93" t="s">
        <v>438</v>
      </c>
      <c r="TTN93" t="s">
        <v>440</v>
      </c>
      <c r="TTO93" t="s">
        <v>428</v>
      </c>
      <c r="TTQ93" t="s">
        <v>114</v>
      </c>
      <c r="TTR93" t="s">
        <v>113</v>
      </c>
      <c r="TTS93" t="s">
        <v>398</v>
      </c>
      <c r="TTT93">
        <v>1</v>
      </c>
      <c r="TTU93" t="s">
        <v>438</v>
      </c>
      <c r="TTV93" t="s">
        <v>440</v>
      </c>
      <c r="TTW93" t="s">
        <v>428</v>
      </c>
      <c r="TTY93" t="s">
        <v>114</v>
      </c>
      <c r="TTZ93" t="s">
        <v>113</v>
      </c>
      <c r="TUA93" t="s">
        <v>398</v>
      </c>
      <c r="TUB93">
        <v>1</v>
      </c>
      <c r="TUC93" t="s">
        <v>438</v>
      </c>
      <c r="TUD93" t="s">
        <v>440</v>
      </c>
      <c r="TUE93" t="s">
        <v>428</v>
      </c>
      <c r="TUG93" t="s">
        <v>114</v>
      </c>
      <c r="TUH93" t="s">
        <v>113</v>
      </c>
      <c r="TUI93" t="s">
        <v>398</v>
      </c>
      <c r="TUJ93">
        <v>1</v>
      </c>
      <c r="TUK93" t="s">
        <v>438</v>
      </c>
      <c r="TUL93" t="s">
        <v>440</v>
      </c>
      <c r="TUM93" t="s">
        <v>428</v>
      </c>
      <c r="TUO93" t="s">
        <v>114</v>
      </c>
      <c r="TUP93" t="s">
        <v>113</v>
      </c>
      <c r="TUQ93" t="s">
        <v>398</v>
      </c>
      <c r="TUR93">
        <v>1</v>
      </c>
      <c r="TUS93" t="s">
        <v>438</v>
      </c>
      <c r="TUT93" t="s">
        <v>440</v>
      </c>
      <c r="TUU93" t="s">
        <v>428</v>
      </c>
      <c r="TUW93" t="s">
        <v>114</v>
      </c>
      <c r="TUX93" t="s">
        <v>113</v>
      </c>
      <c r="TUY93" t="s">
        <v>398</v>
      </c>
      <c r="TUZ93">
        <v>1</v>
      </c>
      <c r="TVA93" t="s">
        <v>438</v>
      </c>
      <c r="TVB93" t="s">
        <v>440</v>
      </c>
      <c r="TVC93" t="s">
        <v>428</v>
      </c>
      <c r="TVE93" t="s">
        <v>114</v>
      </c>
      <c r="TVF93" t="s">
        <v>113</v>
      </c>
      <c r="TVG93" t="s">
        <v>398</v>
      </c>
      <c r="TVH93">
        <v>1</v>
      </c>
      <c r="TVI93" t="s">
        <v>438</v>
      </c>
      <c r="TVJ93" t="s">
        <v>440</v>
      </c>
      <c r="TVK93" t="s">
        <v>428</v>
      </c>
      <c r="TVM93" t="s">
        <v>114</v>
      </c>
      <c r="TVN93" t="s">
        <v>113</v>
      </c>
      <c r="TVO93" t="s">
        <v>398</v>
      </c>
      <c r="TVP93">
        <v>1</v>
      </c>
      <c r="TVQ93" t="s">
        <v>438</v>
      </c>
      <c r="TVR93" t="s">
        <v>440</v>
      </c>
      <c r="TVS93" t="s">
        <v>428</v>
      </c>
      <c r="TVU93" t="s">
        <v>114</v>
      </c>
      <c r="TVV93" t="s">
        <v>113</v>
      </c>
      <c r="TVW93" t="s">
        <v>398</v>
      </c>
      <c r="TVX93">
        <v>1</v>
      </c>
      <c r="TVY93" t="s">
        <v>438</v>
      </c>
      <c r="TVZ93" t="s">
        <v>440</v>
      </c>
      <c r="TWA93" t="s">
        <v>428</v>
      </c>
      <c r="TWC93" t="s">
        <v>114</v>
      </c>
      <c r="TWD93" t="s">
        <v>113</v>
      </c>
      <c r="TWE93" t="s">
        <v>398</v>
      </c>
      <c r="TWF93">
        <v>1</v>
      </c>
      <c r="TWG93" t="s">
        <v>438</v>
      </c>
      <c r="TWH93" t="s">
        <v>440</v>
      </c>
      <c r="TWI93" t="s">
        <v>428</v>
      </c>
      <c r="TWK93" t="s">
        <v>114</v>
      </c>
      <c r="TWL93" t="s">
        <v>113</v>
      </c>
      <c r="TWM93" t="s">
        <v>398</v>
      </c>
      <c r="TWN93">
        <v>1</v>
      </c>
      <c r="TWO93" t="s">
        <v>438</v>
      </c>
      <c r="TWP93" t="s">
        <v>440</v>
      </c>
      <c r="TWQ93" t="s">
        <v>428</v>
      </c>
      <c r="TWS93" t="s">
        <v>114</v>
      </c>
      <c r="TWT93" t="s">
        <v>113</v>
      </c>
      <c r="TWU93" t="s">
        <v>398</v>
      </c>
      <c r="TWV93">
        <v>1</v>
      </c>
      <c r="TWW93" t="s">
        <v>438</v>
      </c>
      <c r="TWX93" t="s">
        <v>440</v>
      </c>
      <c r="TWY93" t="s">
        <v>428</v>
      </c>
      <c r="TXA93" t="s">
        <v>114</v>
      </c>
      <c r="TXB93" t="s">
        <v>113</v>
      </c>
      <c r="TXC93" t="s">
        <v>398</v>
      </c>
      <c r="TXD93">
        <v>1</v>
      </c>
      <c r="TXE93" t="s">
        <v>438</v>
      </c>
      <c r="TXF93" t="s">
        <v>440</v>
      </c>
      <c r="TXG93" t="s">
        <v>428</v>
      </c>
      <c r="TXI93" t="s">
        <v>114</v>
      </c>
      <c r="TXJ93" t="s">
        <v>113</v>
      </c>
      <c r="TXK93" t="s">
        <v>398</v>
      </c>
      <c r="TXL93">
        <v>1</v>
      </c>
      <c r="TXM93" t="s">
        <v>438</v>
      </c>
      <c r="TXN93" t="s">
        <v>440</v>
      </c>
      <c r="TXO93" t="s">
        <v>428</v>
      </c>
      <c r="TXQ93" t="s">
        <v>114</v>
      </c>
      <c r="TXR93" t="s">
        <v>113</v>
      </c>
      <c r="TXS93" t="s">
        <v>398</v>
      </c>
      <c r="TXT93">
        <v>1</v>
      </c>
      <c r="TXU93" t="s">
        <v>438</v>
      </c>
      <c r="TXV93" t="s">
        <v>440</v>
      </c>
      <c r="TXW93" t="s">
        <v>428</v>
      </c>
      <c r="TXY93" t="s">
        <v>114</v>
      </c>
      <c r="TXZ93" t="s">
        <v>113</v>
      </c>
      <c r="TYA93" t="s">
        <v>398</v>
      </c>
      <c r="TYB93">
        <v>1</v>
      </c>
      <c r="TYC93" t="s">
        <v>438</v>
      </c>
      <c r="TYD93" t="s">
        <v>440</v>
      </c>
      <c r="TYE93" t="s">
        <v>428</v>
      </c>
      <c r="TYG93" t="s">
        <v>114</v>
      </c>
      <c r="TYH93" t="s">
        <v>113</v>
      </c>
      <c r="TYI93" t="s">
        <v>398</v>
      </c>
      <c r="TYJ93">
        <v>1</v>
      </c>
      <c r="TYK93" t="s">
        <v>438</v>
      </c>
      <c r="TYL93" t="s">
        <v>440</v>
      </c>
      <c r="TYM93" t="s">
        <v>428</v>
      </c>
      <c r="TYO93" t="s">
        <v>114</v>
      </c>
      <c r="TYP93" t="s">
        <v>113</v>
      </c>
      <c r="TYQ93" t="s">
        <v>398</v>
      </c>
      <c r="TYR93">
        <v>1</v>
      </c>
      <c r="TYS93" t="s">
        <v>438</v>
      </c>
      <c r="TYT93" t="s">
        <v>440</v>
      </c>
      <c r="TYU93" t="s">
        <v>428</v>
      </c>
      <c r="TYW93" t="s">
        <v>114</v>
      </c>
      <c r="TYX93" t="s">
        <v>113</v>
      </c>
      <c r="TYY93" t="s">
        <v>398</v>
      </c>
      <c r="TYZ93">
        <v>1</v>
      </c>
      <c r="TZA93" t="s">
        <v>438</v>
      </c>
      <c r="TZB93" t="s">
        <v>440</v>
      </c>
      <c r="TZC93" t="s">
        <v>428</v>
      </c>
      <c r="TZE93" t="s">
        <v>114</v>
      </c>
      <c r="TZF93" t="s">
        <v>113</v>
      </c>
      <c r="TZG93" t="s">
        <v>398</v>
      </c>
      <c r="TZH93">
        <v>1</v>
      </c>
      <c r="TZI93" t="s">
        <v>438</v>
      </c>
      <c r="TZJ93" t="s">
        <v>440</v>
      </c>
      <c r="TZK93" t="s">
        <v>428</v>
      </c>
      <c r="TZM93" t="s">
        <v>114</v>
      </c>
      <c r="TZN93" t="s">
        <v>113</v>
      </c>
      <c r="TZO93" t="s">
        <v>398</v>
      </c>
      <c r="TZP93">
        <v>1</v>
      </c>
      <c r="TZQ93" t="s">
        <v>438</v>
      </c>
      <c r="TZR93" t="s">
        <v>440</v>
      </c>
      <c r="TZS93" t="s">
        <v>428</v>
      </c>
      <c r="TZU93" t="s">
        <v>114</v>
      </c>
      <c r="TZV93" t="s">
        <v>113</v>
      </c>
      <c r="TZW93" t="s">
        <v>398</v>
      </c>
      <c r="TZX93">
        <v>1</v>
      </c>
      <c r="TZY93" t="s">
        <v>438</v>
      </c>
      <c r="TZZ93" t="s">
        <v>440</v>
      </c>
      <c r="UAA93" t="s">
        <v>428</v>
      </c>
      <c r="UAC93" t="s">
        <v>114</v>
      </c>
      <c r="UAD93" t="s">
        <v>113</v>
      </c>
      <c r="UAE93" t="s">
        <v>398</v>
      </c>
      <c r="UAF93">
        <v>1</v>
      </c>
      <c r="UAG93" t="s">
        <v>438</v>
      </c>
      <c r="UAH93" t="s">
        <v>440</v>
      </c>
      <c r="UAI93" t="s">
        <v>428</v>
      </c>
      <c r="UAK93" t="s">
        <v>114</v>
      </c>
      <c r="UAL93" t="s">
        <v>113</v>
      </c>
      <c r="UAM93" t="s">
        <v>398</v>
      </c>
      <c r="UAN93">
        <v>1</v>
      </c>
      <c r="UAO93" t="s">
        <v>438</v>
      </c>
      <c r="UAP93" t="s">
        <v>440</v>
      </c>
      <c r="UAQ93" t="s">
        <v>428</v>
      </c>
      <c r="UAS93" t="s">
        <v>114</v>
      </c>
      <c r="UAT93" t="s">
        <v>113</v>
      </c>
      <c r="UAU93" t="s">
        <v>398</v>
      </c>
      <c r="UAV93">
        <v>1</v>
      </c>
      <c r="UAW93" t="s">
        <v>438</v>
      </c>
      <c r="UAX93" t="s">
        <v>440</v>
      </c>
      <c r="UAY93" t="s">
        <v>428</v>
      </c>
      <c r="UBA93" t="s">
        <v>114</v>
      </c>
      <c r="UBB93" t="s">
        <v>113</v>
      </c>
      <c r="UBC93" t="s">
        <v>398</v>
      </c>
      <c r="UBD93">
        <v>1</v>
      </c>
      <c r="UBE93" t="s">
        <v>438</v>
      </c>
      <c r="UBF93" t="s">
        <v>440</v>
      </c>
      <c r="UBG93" t="s">
        <v>428</v>
      </c>
      <c r="UBI93" t="s">
        <v>114</v>
      </c>
      <c r="UBJ93" t="s">
        <v>113</v>
      </c>
      <c r="UBK93" t="s">
        <v>398</v>
      </c>
      <c r="UBL93">
        <v>1</v>
      </c>
      <c r="UBM93" t="s">
        <v>438</v>
      </c>
      <c r="UBN93" t="s">
        <v>440</v>
      </c>
      <c r="UBO93" t="s">
        <v>428</v>
      </c>
      <c r="UBQ93" t="s">
        <v>114</v>
      </c>
      <c r="UBR93" t="s">
        <v>113</v>
      </c>
      <c r="UBS93" t="s">
        <v>398</v>
      </c>
      <c r="UBT93">
        <v>1</v>
      </c>
      <c r="UBU93" t="s">
        <v>438</v>
      </c>
      <c r="UBV93" t="s">
        <v>440</v>
      </c>
      <c r="UBW93" t="s">
        <v>428</v>
      </c>
      <c r="UBY93" t="s">
        <v>114</v>
      </c>
      <c r="UBZ93" t="s">
        <v>113</v>
      </c>
      <c r="UCA93" t="s">
        <v>398</v>
      </c>
      <c r="UCB93">
        <v>1</v>
      </c>
      <c r="UCC93" t="s">
        <v>438</v>
      </c>
      <c r="UCD93" t="s">
        <v>440</v>
      </c>
      <c r="UCE93" t="s">
        <v>428</v>
      </c>
      <c r="UCG93" t="s">
        <v>114</v>
      </c>
      <c r="UCH93" t="s">
        <v>113</v>
      </c>
      <c r="UCI93" t="s">
        <v>398</v>
      </c>
      <c r="UCJ93">
        <v>1</v>
      </c>
      <c r="UCK93" t="s">
        <v>438</v>
      </c>
      <c r="UCL93" t="s">
        <v>440</v>
      </c>
      <c r="UCM93" t="s">
        <v>428</v>
      </c>
      <c r="UCO93" t="s">
        <v>114</v>
      </c>
      <c r="UCP93" t="s">
        <v>113</v>
      </c>
      <c r="UCQ93" t="s">
        <v>398</v>
      </c>
      <c r="UCR93">
        <v>1</v>
      </c>
      <c r="UCS93" t="s">
        <v>438</v>
      </c>
      <c r="UCT93" t="s">
        <v>440</v>
      </c>
      <c r="UCU93" t="s">
        <v>428</v>
      </c>
      <c r="UCW93" t="s">
        <v>114</v>
      </c>
      <c r="UCX93" t="s">
        <v>113</v>
      </c>
      <c r="UCY93" t="s">
        <v>398</v>
      </c>
      <c r="UCZ93">
        <v>1</v>
      </c>
      <c r="UDA93" t="s">
        <v>438</v>
      </c>
      <c r="UDB93" t="s">
        <v>440</v>
      </c>
      <c r="UDC93" t="s">
        <v>428</v>
      </c>
      <c r="UDE93" t="s">
        <v>114</v>
      </c>
      <c r="UDF93" t="s">
        <v>113</v>
      </c>
      <c r="UDG93" t="s">
        <v>398</v>
      </c>
      <c r="UDH93">
        <v>1</v>
      </c>
      <c r="UDI93" t="s">
        <v>438</v>
      </c>
      <c r="UDJ93" t="s">
        <v>440</v>
      </c>
      <c r="UDK93" t="s">
        <v>428</v>
      </c>
      <c r="UDM93" t="s">
        <v>114</v>
      </c>
      <c r="UDN93" t="s">
        <v>113</v>
      </c>
      <c r="UDO93" t="s">
        <v>398</v>
      </c>
      <c r="UDP93">
        <v>1</v>
      </c>
      <c r="UDQ93" t="s">
        <v>438</v>
      </c>
      <c r="UDR93" t="s">
        <v>440</v>
      </c>
      <c r="UDS93" t="s">
        <v>428</v>
      </c>
      <c r="UDU93" t="s">
        <v>114</v>
      </c>
      <c r="UDV93" t="s">
        <v>113</v>
      </c>
      <c r="UDW93" t="s">
        <v>398</v>
      </c>
      <c r="UDX93">
        <v>1</v>
      </c>
      <c r="UDY93" t="s">
        <v>438</v>
      </c>
      <c r="UDZ93" t="s">
        <v>440</v>
      </c>
      <c r="UEA93" t="s">
        <v>428</v>
      </c>
      <c r="UEC93" t="s">
        <v>114</v>
      </c>
      <c r="UED93" t="s">
        <v>113</v>
      </c>
      <c r="UEE93" t="s">
        <v>398</v>
      </c>
      <c r="UEF93">
        <v>1</v>
      </c>
      <c r="UEG93" t="s">
        <v>438</v>
      </c>
      <c r="UEH93" t="s">
        <v>440</v>
      </c>
      <c r="UEI93" t="s">
        <v>428</v>
      </c>
      <c r="UEK93" t="s">
        <v>114</v>
      </c>
      <c r="UEL93" t="s">
        <v>113</v>
      </c>
      <c r="UEM93" t="s">
        <v>398</v>
      </c>
      <c r="UEN93">
        <v>1</v>
      </c>
      <c r="UEO93" t="s">
        <v>438</v>
      </c>
      <c r="UEP93" t="s">
        <v>440</v>
      </c>
      <c r="UEQ93" t="s">
        <v>428</v>
      </c>
      <c r="UES93" t="s">
        <v>114</v>
      </c>
      <c r="UET93" t="s">
        <v>113</v>
      </c>
      <c r="UEU93" t="s">
        <v>398</v>
      </c>
      <c r="UEV93">
        <v>1</v>
      </c>
      <c r="UEW93" t="s">
        <v>438</v>
      </c>
      <c r="UEX93" t="s">
        <v>440</v>
      </c>
      <c r="UEY93" t="s">
        <v>428</v>
      </c>
      <c r="UFA93" t="s">
        <v>114</v>
      </c>
      <c r="UFB93" t="s">
        <v>113</v>
      </c>
      <c r="UFC93" t="s">
        <v>398</v>
      </c>
      <c r="UFD93">
        <v>1</v>
      </c>
      <c r="UFE93" t="s">
        <v>438</v>
      </c>
      <c r="UFF93" t="s">
        <v>440</v>
      </c>
      <c r="UFG93" t="s">
        <v>428</v>
      </c>
      <c r="UFI93" t="s">
        <v>114</v>
      </c>
      <c r="UFJ93" t="s">
        <v>113</v>
      </c>
      <c r="UFK93" t="s">
        <v>398</v>
      </c>
      <c r="UFL93">
        <v>1</v>
      </c>
      <c r="UFM93" t="s">
        <v>438</v>
      </c>
      <c r="UFN93" t="s">
        <v>440</v>
      </c>
      <c r="UFO93" t="s">
        <v>428</v>
      </c>
      <c r="UFQ93" t="s">
        <v>114</v>
      </c>
      <c r="UFR93" t="s">
        <v>113</v>
      </c>
      <c r="UFS93" t="s">
        <v>398</v>
      </c>
      <c r="UFT93">
        <v>1</v>
      </c>
      <c r="UFU93" t="s">
        <v>438</v>
      </c>
      <c r="UFV93" t="s">
        <v>440</v>
      </c>
      <c r="UFW93" t="s">
        <v>428</v>
      </c>
      <c r="UFY93" t="s">
        <v>114</v>
      </c>
      <c r="UFZ93" t="s">
        <v>113</v>
      </c>
      <c r="UGA93" t="s">
        <v>398</v>
      </c>
      <c r="UGB93">
        <v>1</v>
      </c>
      <c r="UGC93" t="s">
        <v>438</v>
      </c>
      <c r="UGD93" t="s">
        <v>440</v>
      </c>
      <c r="UGE93" t="s">
        <v>428</v>
      </c>
      <c r="UGG93" t="s">
        <v>114</v>
      </c>
      <c r="UGH93" t="s">
        <v>113</v>
      </c>
      <c r="UGI93" t="s">
        <v>398</v>
      </c>
      <c r="UGJ93">
        <v>1</v>
      </c>
      <c r="UGK93" t="s">
        <v>438</v>
      </c>
      <c r="UGL93" t="s">
        <v>440</v>
      </c>
      <c r="UGM93" t="s">
        <v>428</v>
      </c>
      <c r="UGO93" t="s">
        <v>114</v>
      </c>
      <c r="UGP93" t="s">
        <v>113</v>
      </c>
      <c r="UGQ93" t="s">
        <v>398</v>
      </c>
      <c r="UGR93">
        <v>1</v>
      </c>
      <c r="UGS93" t="s">
        <v>438</v>
      </c>
      <c r="UGT93" t="s">
        <v>440</v>
      </c>
      <c r="UGU93" t="s">
        <v>428</v>
      </c>
      <c r="UGW93" t="s">
        <v>114</v>
      </c>
      <c r="UGX93" t="s">
        <v>113</v>
      </c>
      <c r="UGY93" t="s">
        <v>398</v>
      </c>
      <c r="UGZ93">
        <v>1</v>
      </c>
      <c r="UHA93" t="s">
        <v>438</v>
      </c>
      <c r="UHB93" t="s">
        <v>440</v>
      </c>
      <c r="UHC93" t="s">
        <v>428</v>
      </c>
      <c r="UHE93" t="s">
        <v>114</v>
      </c>
      <c r="UHF93" t="s">
        <v>113</v>
      </c>
      <c r="UHG93" t="s">
        <v>398</v>
      </c>
      <c r="UHH93">
        <v>1</v>
      </c>
      <c r="UHI93" t="s">
        <v>438</v>
      </c>
      <c r="UHJ93" t="s">
        <v>440</v>
      </c>
      <c r="UHK93" t="s">
        <v>428</v>
      </c>
      <c r="UHM93" t="s">
        <v>114</v>
      </c>
      <c r="UHN93" t="s">
        <v>113</v>
      </c>
      <c r="UHO93" t="s">
        <v>398</v>
      </c>
      <c r="UHP93">
        <v>1</v>
      </c>
      <c r="UHQ93" t="s">
        <v>438</v>
      </c>
      <c r="UHR93" t="s">
        <v>440</v>
      </c>
      <c r="UHS93" t="s">
        <v>428</v>
      </c>
      <c r="UHU93" t="s">
        <v>114</v>
      </c>
      <c r="UHV93" t="s">
        <v>113</v>
      </c>
      <c r="UHW93" t="s">
        <v>398</v>
      </c>
      <c r="UHX93">
        <v>1</v>
      </c>
      <c r="UHY93" t="s">
        <v>438</v>
      </c>
      <c r="UHZ93" t="s">
        <v>440</v>
      </c>
      <c r="UIA93" t="s">
        <v>428</v>
      </c>
      <c r="UIC93" t="s">
        <v>114</v>
      </c>
      <c r="UID93" t="s">
        <v>113</v>
      </c>
      <c r="UIE93" t="s">
        <v>398</v>
      </c>
      <c r="UIF93">
        <v>1</v>
      </c>
      <c r="UIG93" t="s">
        <v>438</v>
      </c>
      <c r="UIH93" t="s">
        <v>440</v>
      </c>
      <c r="UII93" t="s">
        <v>428</v>
      </c>
      <c r="UIK93" t="s">
        <v>114</v>
      </c>
      <c r="UIL93" t="s">
        <v>113</v>
      </c>
      <c r="UIM93" t="s">
        <v>398</v>
      </c>
      <c r="UIN93">
        <v>1</v>
      </c>
      <c r="UIO93" t="s">
        <v>438</v>
      </c>
      <c r="UIP93" t="s">
        <v>440</v>
      </c>
      <c r="UIQ93" t="s">
        <v>428</v>
      </c>
      <c r="UIS93" t="s">
        <v>114</v>
      </c>
      <c r="UIT93" t="s">
        <v>113</v>
      </c>
      <c r="UIU93" t="s">
        <v>398</v>
      </c>
      <c r="UIV93">
        <v>1</v>
      </c>
      <c r="UIW93" t="s">
        <v>438</v>
      </c>
      <c r="UIX93" t="s">
        <v>440</v>
      </c>
      <c r="UIY93" t="s">
        <v>428</v>
      </c>
      <c r="UJA93" t="s">
        <v>114</v>
      </c>
      <c r="UJB93" t="s">
        <v>113</v>
      </c>
      <c r="UJC93" t="s">
        <v>398</v>
      </c>
      <c r="UJD93">
        <v>1</v>
      </c>
      <c r="UJE93" t="s">
        <v>438</v>
      </c>
      <c r="UJF93" t="s">
        <v>440</v>
      </c>
      <c r="UJG93" t="s">
        <v>428</v>
      </c>
      <c r="UJI93" t="s">
        <v>114</v>
      </c>
      <c r="UJJ93" t="s">
        <v>113</v>
      </c>
      <c r="UJK93" t="s">
        <v>398</v>
      </c>
      <c r="UJL93">
        <v>1</v>
      </c>
      <c r="UJM93" t="s">
        <v>438</v>
      </c>
      <c r="UJN93" t="s">
        <v>440</v>
      </c>
      <c r="UJO93" t="s">
        <v>428</v>
      </c>
      <c r="UJQ93" t="s">
        <v>114</v>
      </c>
      <c r="UJR93" t="s">
        <v>113</v>
      </c>
      <c r="UJS93" t="s">
        <v>398</v>
      </c>
      <c r="UJT93">
        <v>1</v>
      </c>
      <c r="UJU93" t="s">
        <v>438</v>
      </c>
      <c r="UJV93" t="s">
        <v>440</v>
      </c>
      <c r="UJW93" t="s">
        <v>428</v>
      </c>
      <c r="UJY93" t="s">
        <v>114</v>
      </c>
      <c r="UJZ93" t="s">
        <v>113</v>
      </c>
      <c r="UKA93" t="s">
        <v>398</v>
      </c>
      <c r="UKB93">
        <v>1</v>
      </c>
      <c r="UKC93" t="s">
        <v>438</v>
      </c>
      <c r="UKD93" t="s">
        <v>440</v>
      </c>
      <c r="UKE93" t="s">
        <v>428</v>
      </c>
      <c r="UKG93" t="s">
        <v>114</v>
      </c>
      <c r="UKH93" t="s">
        <v>113</v>
      </c>
      <c r="UKI93" t="s">
        <v>398</v>
      </c>
      <c r="UKJ93">
        <v>1</v>
      </c>
      <c r="UKK93" t="s">
        <v>438</v>
      </c>
      <c r="UKL93" t="s">
        <v>440</v>
      </c>
      <c r="UKM93" t="s">
        <v>428</v>
      </c>
      <c r="UKO93" t="s">
        <v>114</v>
      </c>
      <c r="UKP93" t="s">
        <v>113</v>
      </c>
      <c r="UKQ93" t="s">
        <v>398</v>
      </c>
      <c r="UKR93">
        <v>1</v>
      </c>
      <c r="UKS93" t="s">
        <v>438</v>
      </c>
      <c r="UKT93" t="s">
        <v>440</v>
      </c>
      <c r="UKU93" t="s">
        <v>428</v>
      </c>
      <c r="UKW93" t="s">
        <v>114</v>
      </c>
      <c r="UKX93" t="s">
        <v>113</v>
      </c>
      <c r="UKY93" t="s">
        <v>398</v>
      </c>
      <c r="UKZ93">
        <v>1</v>
      </c>
      <c r="ULA93" t="s">
        <v>438</v>
      </c>
      <c r="ULB93" t="s">
        <v>440</v>
      </c>
      <c r="ULC93" t="s">
        <v>428</v>
      </c>
      <c r="ULE93" t="s">
        <v>114</v>
      </c>
      <c r="ULF93" t="s">
        <v>113</v>
      </c>
      <c r="ULG93" t="s">
        <v>398</v>
      </c>
      <c r="ULH93">
        <v>1</v>
      </c>
      <c r="ULI93" t="s">
        <v>438</v>
      </c>
      <c r="ULJ93" t="s">
        <v>440</v>
      </c>
      <c r="ULK93" t="s">
        <v>428</v>
      </c>
      <c r="ULM93" t="s">
        <v>114</v>
      </c>
      <c r="ULN93" t="s">
        <v>113</v>
      </c>
      <c r="ULO93" t="s">
        <v>398</v>
      </c>
      <c r="ULP93">
        <v>1</v>
      </c>
      <c r="ULQ93" t="s">
        <v>438</v>
      </c>
      <c r="ULR93" t="s">
        <v>440</v>
      </c>
      <c r="ULS93" t="s">
        <v>428</v>
      </c>
      <c r="ULU93" t="s">
        <v>114</v>
      </c>
      <c r="ULV93" t="s">
        <v>113</v>
      </c>
      <c r="ULW93" t="s">
        <v>398</v>
      </c>
      <c r="ULX93">
        <v>1</v>
      </c>
      <c r="ULY93" t="s">
        <v>438</v>
      </c>
      <c r="ULZ93" t="s">
        <v>440</v>
      </c>
      <c r="UMA93" t="s">
        <v>428</v>
      </c>
      <c r="UMC93" t="s">
        <v>114</v>
      </c>
      <c r="UMD93" t="s">
        <v>113</v>
      </c>
      <c r="UME93" t="s">
        <v>398</v>
      </c>
      <c r="UMF93">
        <v>1</v>
      </c>
      <c r="UMG93" t="s">
        <v>438</v>
      </c>
      <c r="UMH93" t="s">
        <v>440</v>
      </c>
      <c r="UMI93" t="s">
        <v>428</v>
      </c>
      <c r="UMK93" t="s">
        <v>114</v>
      </c>
      <c r="UML93" t="s">
        <v>113</v>
      </c>
      <c r="UMM93" t="s">
        <v>398</v>
      </c>
      <c r="UMN93">
        <v>1</v>
      </c>
      <c r="UMO93" t="s">
        <v>438</v>
      </c>
      <c r="UMP93" t="s">
        <v>440</v>
      </c>
      <c r="UMQ93" t="s">
        <v>428</v>
      </c>
      <c r="UMS93" t="s">
        <v>114</v>
      </c>
      <c r="UMT93" t="s">
        <v>113</v>
      </c>
      <c r="UMU93" t="s">
        <v>398</v>
      </c>
      <c r="UMV93">
        <v>1</v>
      </c>
      <c r="UMW93" t="s">
        <v>438</v>
      </c>
      <c r="UMX93" t="s">
        <v>440</v>
      </c>
      <c r="UMY93" t="s">
        <v>428</v>
      </c>
      <c r="UNA93" t="s">
        <v>114</v>
      </c>
      <c r="UNB93" t="s">
        <v>113</v>
      </c>
      <c r="UNC93" t="s">
        <v>398</v>
      </c>
      <c r="UND93">
        <v>1</v>
      </c>
      <c r="UNE93" t="s">
        <v>438</v>
      </c>
      <c r="UNF93" t="s">
        <v>440</v>
      </c>
      <c r="UNG93" t="s">
        <v>428</v>
      </c>
      <c r="UNI93" t="s">
        <v>114</v>
      </c>
      <c r="UNJ93" t="s">
        <v>113</v>
      </c>
      <c r="UNK93" t="s">
        <v>398</v>
      </c>
      <c r="UNL93">
        <v>1</v>
      </c>
      <c r="UNM93" t="s">
        <v>438</v>
      </c>
      <c r="UNN93" t="s">
        <v>440</v>
      </c>
      <c r="UNO93" t="s">
        <v>428</v>
      </c>
      <c r="UNQ93" t="s">
        <v>114</v>
      </c>
      <c r="UNR93" t="s">
        <v>113</v>
      </c>
      <c r="UNS93" t="s">
        <v>398</v>
      </c>
      <c r="UNT93">
        <v>1</v>
      </c>
      <c r="UNU93" t="s">
        <v>438</v>
      </c>
      <c r="UNV93" t="s">
        <v>440</v>
      </c>
      <c r="UNW93" t="s">
        <v>428</v>
      </c>
      <c r="UNY93" t="s">
        <v>114</v>
      </c>
      <c r="UNZ93" t="s">
        <v>113</v>
      </c>
      <c r="UOA93" t="s">
        <v>398</v>
      </c>
      <c r="UOB93">
        <v>1</v>
      </c>
      <c r="UOC93" t="s">
        <v>438</v>
      </c>
      <c r="UOD93" t="s">
        <v>440</v>
      </c>
      <c r="UOE93" t="s">
        <v>428</v>
      </c>
      <c r="UOG93" t="s">
        <v>114</v>
      </c>
      <c r="UOH93" t="s">
        <v>113</v>
      </c>
      <c r="UOI93" t="s">
        <v>398</v>
      </c>
      <c r="UOJ93">
        <v>1</v>
      </c>
      <c r="UOK93" t="s">
        <v>438</v>
      </c>
      <c r="UOL93" t="s">
        <v>440</v>
      </c>
      <c r="UOM93" t="s">
        <v>428</v>
      </c>
      <c r="UOO93" t="s">
        <v>114</v>
      </c>
      <c r="UOP93" t="s">
        <v>113</v>
      </c>
      <c r="UOQ93" t="s">
        <v>398</v>
      </c>
      <c r="UOR93">
        <v>1</v>
      </c>
      <c r="UOS93" t="s">
        <v>438</v>
      </c>
      <c r="UOT93" t="s">
        <v>440</v>
      </c>
      <c r="UOU93" t="s">
        <v>428</v>
      </c>
      <c r="UOW93" t="s">
        <v>114</v>
      </c>
      <c r="UOX93" t="s">
        <v>113</v>
      </c>
      <c r="UOY93" t="s">
        <v>398</v>
      </c>
      <c r="UOZ93">
        <v>1</v>
      </c>
      <c r="UPA93" t="s">
        <v>438</v>
      </c>
      <c r="UPB93" t="s">
        <v>440</v>
      </c>
      <c r="UPC93" t="s">
        <v>428</v>
      </c>
      <c r="UPE93" t="s">
        <v>114</v>
      </c>
      <c r="UPF93" t="s">
        <v>113</v>
      </c>
      <c r="UPG93" t="s">
        <v>398</v>
      </c>
      <c r="UPH93">
        <v>1</v>
      </c>
      <c r="UPI93" t="s">
        <v>438</v>
      </c>
      <c r="UPJ93" t="s">
        <v>440</v>
      </c>
      <c r="UPK93" t="s">
        <v>428</v>
      </c>
      <c r="UPM93" t="s">
        <v>114</v>
      </c>
      <c r="UPN93" t="s">
        <v>113</v>
      </c>
      <c r="UPO93" t="s">
        <v>398</v>
      </c>
      <c r="UPP93">
        <v>1</v>
      </c>
      <c r="UPQ93" t="s">
        <v>438</v>
      </c>
      <c r="UPR93" t="s">
        <v>440</v>
      </c>
      <c r="UPS93" t="s">
        <v>428</v>
      </c>
      <c r="UPU93" t="s">
        <v>114</v>
      </c>
      <c r="UPV93" t="s">
        <v>113</v>
      </c>
      <c r="UPW93" t="s">
        <v>398</v>
      </c>
      <c r="UPX93">
        <v>1</v>
      </c>
      <c r="UPY93" t="s">
        <v>438</v>
      </c>
      <c r="UPZ93" t="s">
        <v>440</v>
      </c>
      <c r="UQA93" t="s">
        <v>428</v>
      </c>
      <c r="UQC93" t="s">
        <v>114</v>
      </c>
      <c r="UQD93" t="s">
        <v>113</v>
      </c>
      <c r="UQE93" t="s">
        <v>398</v>
      </c>
      <c r="UQF93">
        <v>1</v>
      </c>
      <c r="UQG93" t="s">
        <v>438</v>
      </c>
      <c r="UQH93" t="s">
        <v>440</v>
      </c>
      <c r="UQI93" t="s">
        <v>428</v>
      </c>
      <c r="UQK93" t="s">
        <v>114</v>
      </c>
      <c r="UQL93" t="s">
        <v>113</v>
      </c>
      <c r="UQM93" t="s">
        <v>398</v>
      </c>
      <c r="UQN93">
        <v>1</v>
      </c>
      <c r="UQO93" t="s">
        <v>438</v>
      </c>
      <c r="UQP93" t="s">
        <v>440</v>
      </c>
      <c r="UQQ93" t="s">
        <v>428</v>
      </c>
      <c r="UQS93" t="s">
        <v>114</v>
      </c>
      <c r="UQT93" t="s">
        <v>113</v>
      </c>
      <c r="UQU93" t="s">
        <v>398</v>
      </c>
      <c r="UQV93">
        <v>1</v>
      </c>
      <c r="UQW93" t="s">
        <v>438</v>
      </c>
      <c r="UQX93" t="s">
        <v>440</v>
      </c>
      <c r="UQY93" t="s">
        <v>428</v>
      </c>
      <c r="URA93" t="s">
        <v>114</v>
      </c>
      <c r="URB93" t="s">
        <v>113</v>
      </c>
      <c r="URC93" t="s">
        <v>398</v>
      </c>
      <c r="URD93">
        <v>1</v>
      </c>
      <c r="URE93" t="s">
        <v>438</v>
      </c>
      <c r="URF93" t="s">
        <v>440</v>
      </c>
      <c r="URG93" t="s">
        <v>428</v>
      </c>
      <c r="URI93" t="s">
        <v>114</v>
      </c>
      <c r="URJ93" t="s">
        <v>113</v>
      </c>
      <c r="URK93" t="s">
        <v>398</v>
      </c>
      <c r="URL93">
        <v>1</v>
      </c>
      <c r="URM93" t="s">
        <v>438</v>
      </c>
      <c r="URN93" t="s">
        <v>440</v>
      </c>
      <c r="URO93" t="s">
        <v>428</v>
      </c>
      <c r="URQ93" t="s">
        <v>114</v>
      </c>
      <c r="URR93" t="s">
        <v>113</v>
      </c>
      <c r="URS93" t="s">
        <v>398</v>
      </c>
      <c r="URT93">
        <v>1</v>
      </c>
      <c r="URU93" t="s">
        <v>438</v>
      </c>
      <c r="URV93" t="s">
        <v>440</v>
      </c>
      <c r="URW93" t="s">
        <v>428</v>
      </c>
      <c r="URY93" t="s">
        <v>114</v>
      </c>
      <c r="URZ93" t="s">
        <v>113</v>
      </c>
      <c r="USA93" t="s">
        <v>398</v>
      </c>
      <c r="USB93">
        <v>1</v>
      </c>
      <c r="USC93" t="s">
        <v>438</v>
      </c>
      <c r="USD93" t="s">
        <v>440</v>
      </c>
      <c r="USE93" t="s">
        <v>428</v>
      </c>
      <c r="USG93" t="s">
        <v>114</v>
      </c>
      <c r="USH93" t="s">
        <v>113</v>
      </c>
      <c r="USI93" t="s">
        <v>398</v>
      </c>
      <c r="USJ93">
        <v>1</v>
      </c>
      <c r="USK93" t="s">
        <v>438</v>
      </c>
      <c r="USL93" t="s">
        <v>440</v>
      </c>
      <c r="USM93" t="s">
        <v>428</v>
      </c>
      <c r="USO93" t="s">
        <v>114</v>
      </c>
      <c r="USP93" t="s">
        <v>113</v>
      </c>
      <c r="USQ93" t="s">
        <v>398</v>
      </c>
      <c r="USR93">
        <v>1</v>
      </c>
      <c r="USS93" t="s">
        <v>438</v>
      </c>
      <c r="UST93" t="s">
        <v>440</v>
      </c>
      <c r="USU93" t="s">
        <v>428</v>
      </c>
      <c r="USW93" t="s">
        <v>114</v>
      </c>
      <c r="USX93" t="s">
        <v>113</v>
      </c>
      <c r="USY93" t="s">
        <v>398</v>
      </c>
      <c r="USZ93">
        <v>1</v>
      </c>
      <c r="UTA93" t="s">
        <v>438</v>
      </c>
      <c r="UTB93" t="s">
        <v>440</v>
      </c>
      <c r="UTC93" t="s">
        <v>428</v>
      </c>
      <c r="UTE93" t="s">
        <v>114</v>
      </c>
      <c r="UTF93" t="s">
        <v>113</v>
      </c>
      <c r="UTG93" t="s">
        <v>398</v>
      </c>
      <c r="UTH93">
        <v>1</v>
      </c>
      <c r="UTI93" t="s">
        <v>438</v>
      </c>
      <c r="UTJ93" t="s">
        <v>440</v>
      </c>
      <c r="UTK93" t="s">
        <v>428</v>
      </c>
      <c r="UTM93" t="s">
        <v>114</v>
      </c>
      <c r="UTN93" t="s">
        <v>113</v>
      </c>
      <c r="UTO93" t="s">
        <v>398</v>
      </c>
      <c r="UTP93">
        <v>1</v>
      </c>
      <c r="UTQ93" t="s">
        <v>438</v>
      </c>
      <c r="UTR93" t="s">
        <v>440</v>
      </c>
      <c r="UTS93" t="s">
        <v>428</v>
      </c>
      <c r="UTU93" t="s">
        <v>114</v>
      </c>
      <c r="UTV93" t="s">
        <v>113</v>
      </c>
      <c r="UTW93" t="s">
        <v>398</v>
      </c>
      <c r="UTX93">
        <v>1</v>
      </c>
      <c r="UTY93" t="s">
        <v>438</v>
      </c>
      <c r="UTZ93" t="s">
        <v>440</v>
      </c>
      <c r="UUA93" t="s">
        <v>428</v>
      </c>
      <c r="UUC93" t="s">
        <v>114</v>
      </c>
      <c r="UUD93" t="s">
        <v>113</v>
      </c>
      <c r="UUE93" t="s">
        <v>398</v>
      </c>
      <c r="UUF93">
        <v>1</v>
      </c>
      <c r="UUG93" t="s">
        <v>438</v>
      </c>
      <c r="UUH93" t="s">
        <v>440</v>
      </c>
      <c r="UUI93" t="s">
        <v>428</v>
      </c>
      <c r="UUK93" t="s">
        <v>114</v>
      </c>
      <c r="UUL93" t="s">
        <v>113</v>
      </c>
      <c r="UUM93" t="s">
        <v>398</v>
      </c>
      <c r="UUN93">
        <v>1</v>
      </c>
      <c r="UUO93" t="s">
        <v>438</v>
      </c>
      <c r="UUP93" t="s">
        <v>440</v>
      </c>
      <c r="UUQ93" t="s">
        <v>428</v>
      </c>
      <c r="UUS93" t="s">
        <v>114</v>
      </c>
      <c r="UUT93" t="s">
        <v>113</v>
      </c>
      <c r="UUU93" t="s">
        <v>398</v>
      </c>
      <c r="UUV93">
        <v>1</v>
      </c>
      <c r="UUW93" t="s">
        <v>438</v>
      </c>
      <c r="UUX93" t="s">
        <v>440</v>
      </c>
      <c r="UUY93" t="s">
        <v>428</v>
      </c>
      <c r="UVA93" t="s">
        <v>114</v>
      </c>
      <c r="UVB93" t="s">
        <v>113</v>
      </c>
      <c r="UVC93" t="s">
        <v>398</v>
      </c>
      <c r="UVD93">
        <v>1</v>
      </c>
      <c r="UVE93" t="s">
        <v>438</v>
      </c>
      <c r="UVF93" t="s">
        <v>440</v>
      </c>
      <c r="UVG93" t="s">
        <v>428</v>
      </c>
      <c r="UVI93" t="s">
        <v>114</v>
      </c>
      <c r="UVJ93" t="s">
        <v>113</v>
      </c>
      <c r="UVK93" t="s">
        <v>398</v>
      </c>
      <c r="UVL93">
        <v>1</v>
      </c>
      <c r="UVM93" t="s">
        <v>438</v>
      </c>
      <c r="UVN93" t="s">
        <v>440</v>
      </c>
      <c r="UVO93" t="s">
        <v>428</v>
      </c>
      <c r="UVQ93" t="s">
        <v>114</v>
      </c>
      <c r="UVR93" t="s">
        <v>113</v>
      </c>
      <c r="UVS93" t="s">
        <v>398</v>
      </c>
      <c r="UVT93">
        <v>1</v>
      </c>
      <c r="UVU93" t="s">
        <v>438</v>
      </c>
      <c r="UVV93" t="s">
        <v>440</v>
      </c>
      <c r="UVW93" t="s">
        <v>428</v>
      </c>
      <c r="UVY93" t="s">
        <v>114</v>
      </c>
      <c r="UVZ93" t="s">
        <v>113</v>
      </c>
      <c r="UWA93" t="s">
        <v>398</v>
      </c>
      <c r="UWB93">
        <v>1</v>
      </c>
      <c r="UWC93" t="s">
        <v>438</v>
      </c>
      <c r="UWD93" t="s">
        <v>440</v>
      </c>
      <c r="UWE93" t="s">
        <v>428</v>
      </c>
      <c r="UWG93" t="s">
        <v>114</v>
      </c>
      <c r="UWH93" t="s">
        <v>113</v>
      </c>
      <c r="UWI93" t="s">
        <v>398</v>
      </c>
      <c r="UWJ93">
        <v>1</v>
      </c>
      <c r="UWK93" t="s">
        <v>438</v>
      </c>
      <c r="UWL93" t="s">
        <v>440</v>
      </c>
      <c r="UWM93" t="s">
        <v>428</v>
      </c>
      <c r="UWO93" t="s">
        <v>114</v>
      </c>
      <c r="UWP93" t="s">
        <v>113</v>
      </c>
      <c r="UWQ93" t="s">
        <v>398</v>
      </c>
      <c r="UWR93">
        <v>1</v>
      </c>
      <c r="UWS93" t="s">
        <v>438</v>
      </c>
      <c r="UWT93" t="s">
        <v>440</v>
      </c>
      <c r="UWU93" t="s">
        <v>428</v>
      </c>
      <c r="UWW93" t="s">
        <v>114</v>
      </c>
      <c r="UWX93" t="s">
        <v>113</v>
      </c>
      <c r="UWY93" t="s">
        <v>398</v>
      </c>
      <c r="UWZ93">
        <v>1</v>
      </c>
      <c r="UXA93" t="s">
        <v>438</v>
      </c>
      <c r="UXB93" t="s">
        <v>440</v>
      </c>
      <c r="UXC93" t="s">
        <v>428</v>
      </c>
      <c r="UXE93" t="s">
        <v>114</v>
      </c>
      <c r="UXF93" t="s">
        <v>113</v>
      </c>
      <c r="UXG93" t="s">
        <v>398</v>
      </c>
      <c r="UXH93">
        <v>1</v>
      </c>
      <c r="UXI93" t="s">
        <v>438</v>
      </c>
      <c r="UXJ93" t="s">
        <v>440</v>
      </c>
      <c r="UXK93" t="s">
        <v>428</v>
      </c>
      <c r="UXM93" t="s">
        <v>114</v>
      </c>
      <c r="UXN93" t="s">
        <v>113</v>
      </c>
      <c r="UXO93" t="s">
        <v>398</v>
      </c>
      <c r="UXP93">
        <v>1</v>
      </c>
      <c r="UXQ93" t="s">
        <v>438</v>
      </c>
      <c r="UXR93" t="s">
        <v>440</v>
      </c>
      <c r="UXS93" t="s">
        <v>428</v>
      </c>
      <c r="UXU93" t="s">
        <v>114</v>
      </c>
      <c r="UXV93" t="s">
        <v>113</v>
      </c>
      <c r="UXW93" t="s">
        <v>398</v>
      </c>
      <c r="UXX93">
        <v>1</v>
      </c>
      <c r="UXY93" t="s">
        <v>438</v>
      </c>
      <c r="UXZ93" t="s">
        <v>440</v>
      </c>
      <c r="UYA93" t="s">
        <v>428</v>
      </c>
      <c r="UYC93" t="s">
        <v>114</v>
      </c>
      <c r="UYD93" t="s">
        <v>113</v>
      </c>
      <c r="UYE93" t="s">
        <v>398</v>
      </c>
      <c r="UYF93">
        <v>1</v>
      </c>
      <c r="UYG93" t="s">
        <v>438</v>
      </c>
      <c r="UYH93" t="s">
        <v>440</v>
      </c>
      <c r="UYI93" t="s">
        <v>428</v>
      </c>
      <c r="UYK93" t="s">
        <v>114</v>
      </c>
      <c r="UYL93" t="s">
        <v>113</v>
      </c>
      <c r="UYM93" t="s">
        <v>398</v>
      </c>
      <c r="UYN93">
        <v>1</v>
      </c>
      <c r="UYO93" t="s">
        <v>438</v>
      </c>
      <c r="UYP93" t="s">
        <v>440</v>
      </c>
      <c r="UYQ93" t="s">
        <v>428</v>
      </c>
      <c r="UYS93" t="s">
        <v>114</v>
      </c>
      <c r="UYT93" t="s">
        <v>113</v>
      </c>
      <c r="UYU93" t="s">
        <v>398</v>
      </c>
      <c r="UYV93">
        <v>1</v>
      </c>
      <c r="UYW93" t="s">
        <v>438</v>
      </c>
      <c r="UYX93" t="s">
        <v>440</v>
      </c>
      <c r="UYY93" t="s">
        <v>428</v>
      </c>
      <c r="UZA93" t="s">
        <v>114</v>
      </c>
      <c r="UZB93" t="s">
        <v>113</v>
      </c>
      <c r="UZC93" t="s">
        <v>398</v>
      </c>
      <c r="UZD93">
        <v>1</v>
      </c>
      <c r="UZE93" t="s">
        <v>438</v>
      </c>
      <c r="UZF93" t="s">
        <v>440</v>
      </c>
      <c r="UZG93" t="s">
        <v>428</v>
      </c>
      <c r="UZI93" t="s">
        <v>114</v>
      </c>
      <c r="UZJ93" t="s">
        <v>113</v>
      </c>
      <c r="UZK93" t="s">
        <v>398</v>
      </c>
      <c r="UZL93">
        <v>1</v>
      </c>
      <c r="UZM93" t="s">
        <v>438</v>
      </c>
      <c r="UZN93" t="s">
        <v>440</v>
      </c>
      <c r="UZO93" t="s">
        <v>428</v>
      </c>
      <c r="UZQ93" t="s">
        <v>114</v>
      </c>
      <c r="UZR93" t="s">
        <v>113</v>
      </c>
      <c r="UZS93" t="s">
        <v>398</v>
      </c>
      <c r="UZT93">
        <v>1</v>
      </c>
      <c r="UZU93" t="s">
        <v>438</v>
      </c>
      <c r="UZV93" t="s">
        <v>440</v>
      </c>
      <c r="UZW93" t="s">
        <v>428</v>
      </c>
      <c r="UZY93" t="s">
        <v>114</v>
      </c>
      <c r="UZZ93" t="s">
        <v>113</v>
      </c>
      <c r="VAA93" t="s">
        <v>398</v>
      </c>
      <c r="VAB93">
        <v>1</v>
      </c>
      <c r="VAC93" t="s">
        <v>438</v>
      </c>
      <c r="VAD93" t="s">
        <v>440</v>
      </c>
      <c r="VAE93" t="s">
        <v>428</v>
      </c>
      <c r="VAG93" t="s">
        <v>114</v>
      </c>
      <c r="VAH93" t="s">
        <v>113</v>
      </c>
      <c r="VAI93" t="s">
        <v>398</v>
      </c>
      <c r="VAJ93">
        <v>1</v>
      </c>
      <c r="VAK93" t="s">
        <v>438</v>
      </c>
      <c r="VAL93" t="s">
        <v>440</v>
      </c>
      <c r="VAM93" t="s">
        <v>428</v>
      </c>
      <c r="VAO93" t="s">
        <v>114</v>
      </c>
      <c r="VAP93" t="s">
        <v>113</v>
      </c>
      <c r="VAQ93" t="s">
        <v>398</v>
      </c>
      <c r="VAR93">
        <v>1</v>
      </c>
      <c r="VAS93" t="s">
        <v>438</v>
      </c>
      <c r="VAT93" t="s">
        <v>440</v>
      </c>
      <c r="VAU93" t="s">
        <v>428</v>
      </c>
      <c r="VAW93" t="s">
        <v>114</v>
      </c>
      <c r="VAX93" t="s">
        <v>113</v>
      </c>
      <c r="VAY93" t="s">
        <v>398</v>
      </c>
      <c r="VAZ93">
        <v>1</v>
      </c>
      <c r="VBA93" t="s">
        <v>438</v>
      </c>
      <c r="VBB93" t="s">
        <v>440</v>
      </c>
      <c r="VBC93" t="s">
        <v>428</v>
      </c>
      <c r="VBE93" t="s">
        <v>114</v>
      </c>
      <c r="VBF93" t="s">
        <v>113</v>
      </c>
      <c r="VBG93" t="s">
        <v>398</v>
      </c>
      <c r="VBH93">
        <v>1</v>
      </c>
      <c r="VBI93" t="s">
        <v>438</v>
      </c>
      <c r="VBJ93" t="s">
        <v>440</v>
      </c>
      <c r="VBK93" t="s">
        <v>428</v>
      </c>
      <c r="VBM93" t="s">
        <v>114</v>
      </c>
      <c r="VBN93" t="s">
        <v>113</v>
      </c>
      <c r="VBO93" t="s">
        <v>398</v>
      </c>
      <c r="VBP93">
        <v>1</v>
      </c>
      <c r="VBQ93" t="s">
        <v>438</v>
      </c>
      <c r="VBR93" t="s">
        <v>440</v>
      </c>
      <c r="VBS93" t="s">
        <v>428</v>
      </c>
      <c r="VBU93" t="s">
        <v>114</v>
      </c>
      <c r="VBV93" t="s">
        <v>113</v>
      </c>
      <c r="VBW93" t="s">
        <v>398</v>
      </c>
      <c r="VBX93">
        <v>1</v>
      </c>
      <c r="VBY93" t="s">
        <v>438</v>
      </c>
      <c r="VBZ93" t="s">
        <v>440</v>
      </c>
      <c r="VCA93" t="s">
        <v>428</v>
      </c>
      <c r="VCC93" t="s">
        <v>114</v>
      </c>
      <c r="VCD93" t="s">
        <v>113</v>
      </c>
      <c r="VCE93" t="s">
        <v>398</v>
      </c>
      <c r="VCF93">
        <v>1</v>
      </c>
      <c r="VCG93" t="s">
        <v>438</v>
      </c>
      <c r="VCH93" t="s">
        <v>440</v>
      </c>
      <c r="VCI93" t="s">
        <v>428</v>
      </c>
      <c r="VCK93" t="s">
        <v>114</v>
      </c>
      <c r="VCL93" t="s">
        <v>113</v>
      </c>
      <c r="VCM93" t="s">
        <v>398</v>
      </c>
      <c r="VCN93">
        <v>1</v>
      </c>
      <c r="VCO93" t="s">
        <v>438</v>
      </c>
      <c r="VCP93" t="s">
        <v>440</v>
      </c>
      <c r="VCQ93" t="s">
        <v>428</v>
      </c>
      <c r="VCS93" t="s">
        <v>114</v>
      </c>
      <c r="VCT93" t="s">
        <v>113</v>
      </c>
      <c r="VCU93" t="s">
        <v>398</v>
      </c>
      <c r="VCV93">
        <v>1</v>
      </c>
      <c r="VCW93" t="s">
        <v>438</v>
      </c>
      <c r="VCX93" t="s">
        <v>440</v>
      </c>
      <c r="VCY93" t="s">
        <v>428</v>
      </c>
      <c r="VDA93" t="s">
        <v>114</v>
      </c>
      <c r="VDB93" t="s">
        <v>113</v>
      </c>
      <c r="VDC93" t="s">
        <v>398</v>
      </c>
      <c r="VDD93">
        <v>1</v>
      </c>
      <c r="VDE93" t="s">
        <v>438</v>
      </c>
      <c r="VDF93" t="s">
        <v>440</v>
      </c>
      <c r="VDG93" t="s">
        <v>428</v>
      </c>
      <c r="VDI93" t="s">
        <v>114</v>
      </c>
      <c r="VDJ93" t="s">
        <v>113</v>
      </c>
      <c r="VDK93" t="s">
        <v>398</v>
      </c>
      <c r="VDL93">
        <v>1</v>
      </c>
      <c r="VDM93" t="s">
        <v>438</v>
      </c>
      <c r="VDN93" t="s">
        <v>440</v>
      </c>
      <c r="VDO93" t="s">
        <v>428</v>
      </c>
      <c r="VDQ93" t="s">
        <v>114</v>
      </c>
      <c r="VDR93" t="s">
        <v>113</v>
      </c>
      <c r="VDS93" t="s">
        <v>398</v>
      </c>
      <c r="VDT93">
        <v>1</v>
      </c>
      <c r="VDU93" t="s">
        <v>438</v>
      </c>
      <c r="VDV93" t="s">
        <v>440</v>
      </c>
      <c r="VDW93" t="s">
        <v>428</v>
      </c>
      <c r="VDY93" t="s">
        <v>114</v>
      </c>
      <c r="VDZ93" t="s">
        <v>113</v>
      </c>
      <c r="VEA93" t="s">
        <v>398</v>
      </c>
      <c r="VEB93">
        <v>1</v>
      </c>
      <c r="VEC93" t="s">
        <v>438</v>
      </c>
      <c r="VED93" t="s">
        <v>440</v>
      </c>
      <c r="VEE93" t="s">
        <v>428</v>
      </c>
      <c r="VEG93" t="s">
        <v>114</v>
      </c>
      <c r="VEH93" t="s">
        <v>113</v>
      </c>
      <c r="VEI93" t="s">
        <v>398</v>
      </c>
      <c r="VEJ93">
        <v>1</v>
      </c>
      <c r="VEK93" t="s">
        <v>438</v>
      </c>
      <c r="VEL93" t="s">
        <v>440</v>
      </c>
      <c r="VEM93" t="s">
        <v>428</v>
      </c>
      <c r="VEO93" t="s">
        <v>114</v>
      </c>
      <c r="VEP93" t="s">
        <v>113</v>
      </c>
      <c r="VEQ93" t="s">
        <v>398</v>
      </c>
      <c r="VER93">
        <v>1</v>
      </c>
      <c r="VES93" t="s">
        <v>438</v>
      </c>
      <c r="VET93" t="s">
        <v>440</v>
      </c>
      <c r="VEU93" t="s">
        <v>428</v>
      </c>
      <c r="VEW93" t="s">
        <v>114</v>
      </c>
      <c r="VEX93" t="s">
        <v>113</v>
      </c>
      <c r="VEY93" t="s">
        <v>398</v>
      </c>
      <c r="VEZ93">
        <v>1</v>
      </c>
      <c r="VFA93" t="s">
        <v>438</v>
      </c>
      <c r="VFB93" t="s">
        <v>440</v>
      </c>
      <c r="VFC93" t="s">
        <v>428</v>
      </c>
      <c r="VFE93" t="s">
        <v>114</v>
      </c>
      <c r="VFF93" t="s">
        <v>113</v>
      </c>
      <c r="VFG93" t="s">
        <v>398</v>
      </c>
      <c r="VFH93">
        <v>1</v>
      </c>
      <c r="VFI93" t="s">
        <v>438</v>
      </c>
      <c r="VFJ93" t="s">
        <v>440</v>
      </c>
      <c r="VFK93" t="s">
        <v>428</v>
      </c>
      <c r="VFM93" t="s">
        <v>114</v>
      </c>
      <c r="VFN93" t="s">
        <v>113</v>
      </c>
      <c r="VFO93" t="s">
        <v>398</v>
      </c>
      <c r="VFP93">
        <v>1</v>
      </c>
      <c r="VFQ93" t="s">
        <v>438</v>
      </c>
      <c r="VFR93" t="s">
        <v>440</v>
      </c>
      <c r="VFS93" t="s">
        <v>428</v>
      </c>
      <c r="VFU93" t="s">
        <v>114</v>
      </c>
      <c r="VFV93" t="s">
        <v>113</v>
      </c>
      <c r="VFW93" t="s">
        <v>398</v>
      </c>
      <c r="VFX93">
        <v>1</v>
      </c>
      <c r="VFY93" t="s">
        <v>438</v>
      </c>
      <c r="VFZ93" t="s">
        <v>440</v>
      </c>
      <c r="VGA93" t="s">
        <v>428</v>
      </c>
      <c r="VGC93" t="s">
        <v>114</v>
      </c>
      <c r="VGD93" t="s">
        <v>113</v>
      </c>
      <c r="VGE93" t="s">
        <v>398</v>
      </c>
      <c r="VGF93">
        <v>1</v>
      </c>
      <c r="VGG93" t="s">
        <v>438</v>
      </c>
      <c r="VGH93" t="s">
        <v>440</v>
      </c>
      <c r="VGI93" t="s">
        <v>428</v>
      </c>
      <c r="VGK93" t="s">
        <v>114</v>
      </c>
      <c r="VGL93" t="s">
        <v>113</v>
      </c>
      <c r="VGM93" t="s">
        <v>398</v>
      </c>
      <c r="VGN93">
        <v>1</v>
      </c>
      <c r="VGO93" t="s">
        <v>438</v>
      </c>
      <c r="VGP93" t="s">
        <v>440</v>
      </c>
      <c r="VGQ93" t="s">
        <v>428</v>
      </c>
      <c r="VGS93" t="s">
        <v>114</v>
      </c>
      <c r="VGT93" t="s">
        <v>113</v>
      </c>
      <c r="VGU93" t="s">
        <v>398</v>
      </c>
      <c r="VGV93">
        <v>1</v>
      </c>
      <c r="VGW93" t="s">
        <v>438</v>
      </c>
      <c r="VGX93" t="s">
        <v>440</v>
      </c>
      <c r="VGY93" t="s">
        <v>428</v>
      </c>
      <c r="VHA93" t="s">
        <v>114</v>
      </c>
      <c r="VHB93" t="s">
        <v>113</v>
      </c>
      <c r="VHC93" t="s">
        <v>398</v>
      </c>
      <c r="VHD93">
        <v>1</v>
      </c>
      <c r="VHE93" t="s">
        <v>438</v>
      </c>
      <c r="VHF93" t="s">
        <v>440</v>
      </c>
      <c r="VHG93" t="s">
        <v>428</v>
      </c>
      <c r="VHI93" t="s">
        <v>114</v>
      </c>
      <c r="VHJ93" t="s">
        <v>113</v>
      </c>
      <c r="VHK93" t="s">
        <v>398</v>
      </c>
      <c r="VHL93">
        <v>1</v>
      </c>
      <c r="VHM93" t="s">
        <v>438</v>
      </c>
      <c r="VHN93" t="s">
        <v>440</v>
      </c>
      <c r="VHO93" t="s">
        <v>428</v>
      </c>
      <c r="VHQ93" t="s">
        <v>114</v>
      </c>
      <c r="VHR93" t="s">
        <v>113</v>
      </c>
      <c r="VHS93" t="s">
        <v>398</v>
      </c>
      <c r="VHT93">
        <v>1</v>
      </c>
      <c r="VHU93" t="s">
        <v>438</v>
      </c>
      <c r="VHV93" t="s">
        <v>440</v>
      </c>
      <c r="VHW93" t="s">
        <v>428</v>
      </c>
      <c r="VHY93" t="s">
        <v>114</v>
      </c>
      <c r="VHZ93" t="s">
        <v>113</v>
      </c>
      <c r="VIA93" t="s">
        <v>398</v>
      </c>
      <c r="VIB93">
        <v>1</v>
      </c>
      <c r="VIC93" t="s">
        <v>438</v>
      </c>
      <c r="VID93" t="s">
        <v>440</v>
      </c>
      <c r="VIE93" t="s">
        <v>428</v>
      </c>
      <c r="VIG93" t="s">
        <v>114</v>
      </c>
      <c r="VIH93" t="s">
        <v>113</v>
      </c>
      <c r="VII93" t="s">
        <v>398</v>
      </c>
      <c r="VIJ93">
        <v>1</v>
      </c>
      <c r="VIK93" t="s">
        <v>438</v>
      </c>
      <c r="VIL93" t="s">
        <v>440</v>
      </c>
      <c r="VIM93" t="s">
        <v>428</v>
      </c>
      <c r="VIO93" t="s">
        <v>114</v>
      </c>
      <c r="VIP93" t="s">
        <v>113</v>
      </c>
      <c r="VIQ93" t="s">
        <v>398</v>
      </c>
      <c r="VIR93">
        <v>1</v>
      </c>
      <c r="VIS93" t="s">
        <v>438</v>
      </c>
      <c r="VIT93" t="s">
        <v>440</v>
      </c>
      <c r="VIU93" t="s">
        <v>428</v>
      </c>
      <c r="VIW93" t="s">
        <v>114</v>
      </c>
      <c r="VIX93" t="s">
        <v>113</v>
      </c>
      <c r="VIY93" t="s">
        <v>398</v>
      </c>
      <c r="VIZ93">
        <v>1</v>
      </c>
      <c r="VJA93" t="s">
        <v>438</v>
      </c>
      <c r="VJB93" t="s">
        <v>440</v>
      </c>
      <c r="VJC93" t="s">
        <v>428</v>
      </c>
      <c r="VJE93" t="s">
        <v>114</v>
      </c>
      <c r="VJF93" t="s">
        <v>113</v>
      </c>
      <c r="VJG93" t="s">
        <v>398</v>
      </c>
      <c r="VJH93">
        <v>1</v>
      </c>
      <c r="VJI93" t="s">
        <v>438</v>
      </c>
      <c r="VJJ93" t="s">
        <v>440</v>
      </c>
      <c r="VJK93" t="s">
        <v>428</v>
      </c>
      <c r="VJM93" t="s">
        <v>114</v>
      </c>
      <c r="VJN93" t="s">
        <v>113</v>
      </c>
      <c r="VJO93" t="s">
        <v>398</v>
      </c>
      <c r="VJP93">
        <v>1</v>
      </c>
      <c r="VJQ93" t="s">
        <v>438</v>
      </c>
      <c r="VJR93" t="s">
        <v>440</v>
      </c>
      <c r="VJS93" t="s">
        <v>428</v>
      </c>
      <c r="VJU93" t="s">
        <v>114</v>
      </c>
      <c r="VJV93" t="s">
        <v>113</v>
      </c>
      <c r="VJW93" t="s">
        <v>398</v>
      </c>
      <c r="VJX93">
        <v>1</v>
      </c>
      <c r="VJY93" t="s">
        <v>438</v>
      </c>
      <c r="VJZ93" t="s">
        <v>440</v>
      </c>
      <c r="VKA93" t="s">
        <v>428</v>
      </c>
      <c r="VKC93" t="s">
        <v>114</v>
      </c>
      <c r="VKD93" t="s">
        <v>113</v>
      </c>
      <c r="VKE93" t="s">
        <v>398</v>
      </c>
      <c r="VKF93">
        <v>1</v>
      </c>
      <c r="VKG93" t="s">
        <v>438</v>
      </c>
      <c r="VKH93" t="s">
        <v>440</v>
      </c>
      <c r="VKI93" t="s">
        <v>428</v>
      </c>
      <c r="VKK93" t="s">
        <v>114</v>
      </c>
      <c r="VKL93" t="s">
        <v>113</v>
      </c>
      <c r="VKM93" t="s">
        <v>398</v>
      </c>
      <c r="VKN93">
        <v>1</v>
      </c>
      <c r="VKO93" t="s">
        <v>438</v>
      </c>
      <c r="VKP93" t="s">
        <v>440</v>
      </c>
      <c r="VKQ93" t="s">
        <v>428</v>
      </c>
      <c r="VKS93" t="s">
        <v>114</v>
      </c>
      <c r="VKT93" t="s">
        <v>113</v>
      </c>
      <c r="VKU93" t="s">
        <v>398</v>
      </c>
      <c r="VKV93">
        <v>1</v>
      </c>
      <c r="VKW93" t="s">
        <v>438</v>
      </c>
      <c r="VKX93" t="s">
        <v>440</v>
      </c>
      <c r="VKY93" t="s">
        <v>428</v>
      </c>
      <c r="VLA93" t="s">
        <v>114</v>
      </c>
      <c r="VLB93" t="s">
        <v>113</v>
      </c>
      <c r="VLC93" t="s">
        <v>398</v>
      </c>
      <c r="VLD93">
        <v>1</v>
      </c>
      <c r="VLE93" t="s">
        <v>438</v>
      </c>
      <c r="VLF93" t="s">
        <v>440</v>
      </c>
      <c r="VLG93" t="s">
        <v>428</v>
      </c>
      <c r="VLI93" t="s">
        <v>114</v>
      </c>
      <c r="VLJ93" t="s">
        <v>113</v>
      </c>
      <c r="VLK93" t="s">
        <v>398</v>
      </c>
      <c r="VLL93">
        <v>1</v>
      </c>
      <c r="VLM93" t="s">
        <v>438</v>
      </c>
      <c r="VLN93" t="s">
        <v>440</v>
      </c>
      <c r="VLO93" t="s">
        <v>428</v>
      </c>
      <c r="VLQ93" t="s">
        <v>114</v>
      </c>
      <c r="VLR93" t="s">
        <v>113</v>
      </c>
      <c r="VLS93" t="s">
        <v>398</v>
      </c>
      <c r="VLT93">
        <v>1</v>
      </c>
      <c r="VLU93" t="s">
        <v>438</v>
      </c>
      <c r="VLV93" t="s">
        <v>440</v>
      </c>
      <c r="VLW93" t="s">
        <v>428</v>
      </c>
      <c r="VLY93" t="s">
        <v>114</v>
      </c>
      <c r="VLZ93" t="s">
        <v>113</v>
      </c>
      <c r="VMA93" t="s">
        <v>398</v>
      </c>
      <c r="VMB93">
        <v>1</v>
      </c>
      <c r="VMC93" t="s">
        <v>438</v>
      </c>
      <c r="VMD93" t="s">
        <v>440</v>
      </c>
      <c r="VME93" t="s">
        <v>428</v>
      </c>
      <c r="VMG93" t="s">
        <v>114</v>
      </c>
      <c r="VMH93" t="s">
        <v>113</v>
      </c>
      <c r="VMI93" t="s">
        <v>398</v>
      </c>
      <c r="VMJ93">
        <v>1</v>
      </c>
      <c r="VMK93" t="s">
        <v>438</v>
      </c>
      <c r="VML93" t="s">
        <v>440</v>
      </c>
      <c r="VMM93" t="s">
        <v>428</v>
      </c>
      <c r="VMO93" t="s">
        <v>114</v>
      </c>
      <c r="VMP93" t="s">
        <v>113</v>
      </c>
      <c r="VMQ93" t="s">
        <v>398</v>
      </c>
      <c r="VMR93">
        <v>1</v>
      </c>
      <c r="VMS93" t="s">
        <v>438</v>
      </c>
      <c r="VMT93" t="s">
        <v>440</v>
      </c>
      <c r="VMU93" t="s">
        <v>428</v>
      </c>
      <c r="VMW93" t="s">
        <v>114</v>
      </c>
      <c r="VMX93" t="s">
        <v>113</v>
      </c>
      <c r="VMY93" t="s">
        <v>398</v>
      </c>
      <c r="VMZ93">
        <v>1</v>
      </c>
      <c r="VNA93" t="s">
        <v>438</v>
      </c>
      <c r="VNB93" t="s">
        <v>440</v>
      </c>
      <c r="VNC93" t="s">
        <v>428</v>
      </c>
      <c r="VNE93" t="s">
        <v>114</v>
      </c>
      <c r="VNF93" t="s">
        <v>113</v>
      </c>
      <c r="VNG93" t="s">
        <v>398</v>
      </c>
      <c r="VNH93">
        <v>1</v>
      </c>
      <c r="VNI93" t="s">
        <v>438</v>
      </c>
      <c r="VNJ93" t="s">
        <v>440</v>
      </c>
      <c r="VNK93" t="s">
        <v>428</v>
      </c>
      <c r="VNM93" t="s">
        <v>114</v>
      </c>
      <c r="VNN93" t="s">
        <v>113</v>
      </c>
      <c r="VNO93" t="s">
        <v>398</v>
      </c>
      <c r="VNP93">
        <v>1</v>
      </c>
      <c r="VNQ93" t="s">
        <v>438</v>
      </c>
      <c r="VNR93" t="s">
        <v>440</v>
      </c>
      <c r="VNS93" t="s">
        <v>428</v>
      </c>
      <c r="VNU93" t="s">
        <v>114</v>
      </c>
      <c r="VNV93" t="s">
        <v>113</v>
      </c>
      <c r="VNW93" t="s">
        <v>398</v>
      </c>
      <c r="VNX93">
        <v>1</v>
      </c>
      <c r="VNY93" t="s">
        <v>438</v>
      </c>
      <c r="VNZ93" t="s">
        <v>440</v>
      </c>
      <c r="VOA93" t="s">
        <v>428</v>
      </c>
      <c r="VOC93" t="s">
        <v>114</v>
      </c>
      <c r="VOD93" t="s">
        <v>113</v>
      </c>
      <c r="VOE93" t="s">
        <v>398</v>
      </c>
      <c r="VOF93">
        <v>1</v>
      </c>
      <c r="VOG93" t="s">
        <v>438</v>
      </c>
      <c r="VOH93" t="s">
        <v>440</v>
      </c>
      <c r="VOI93" t="s">
        <v>428</v>
      </c>
      <c r="VOK93" t="s">
        <v>114</v>
      </c>
      <c r="VOL93" t="s">
        <v>113</v>
      </c>
      <c r="VOM93" t="s">
        <v>398</v>
      </c>
      <c r="VON93">
        <v>1</v>
      </c>
      <c r="VOO93" t="s">
        <v>438</v>
      </c>
      <c r="VOP93" t="s">
        <v>440</v>
      </c>
      <c r="VOQ93" t="s">
        <v>428</v>
      </c>
      <c r="VOS93" t="s">
        <v>114</v>
      </c>
      <c r="VOT93" t="s">
        <v>113</v>
      </c>
      <c r="VOU93" t="s">
        <v>398</v>
      </c>
      <c r="VOV93">
        <v>1</v>
      </c>
      <c r="VOW93" t="s">
        <v>438</v>
      </c>
      <c r="VOX93" t="s">
        <v>440</v>
      </c>
      <c r="VOY93" t="s">
        <v>428</v>
      </c>
      <c r="VPA93" t="s">
        <v>114</v>
      </c>
      <c r="VPB93" t="s">
        <v>113</v>
      </c>
      <c r="VPC93" t="s">
        <v>398</v>
      </c>
      <c r="VPD93">
        <v>1</v>
      </c>
      <c r="VPE93" t="s">
        <v>438</v>
      </c>
      <c r="VPF93" t="s">
        <v>440</v>
      </c>
      <c r="VPG93" t="s">
        <v>428</v>
      </c>
      <c r="VPI93" t="s">
        <v>114</v>
      </c>
      <c r="VPJ93" t="s">
        <v>113</v>
      </c>
      <c r="VPK93" t="s">
        <v>398</v>
      </c>
      <c r="VPL93">
        <v>1</v>
      </c>
      <c r="VPM93" t="s">
        <v>438</v>
      </c>
      <c r="VPN93" t="s">
        <v>440</v>
      </c>
      <c r="VPO93" t="s">
        <v>428</v>
      </c>
      <c r="VPQ93" t="s">
        <v>114</v>
      </c>
      <c r="VPR93" t="s">
        <v>113</v>
      </c>
      <c r="VPS93" t="s">
        <v>398</v>
      </c>
      <c r="VPT93">
        <v>1</v>
      </c>
      <c r="VPU93" t="s">
        <v>438</v>
      </c>
      <c r="VPV93" t="s">
        <v>440</v>
      </c>
      <c r="VPW93" t="s">
        <v>428</v>
      </c>
      <c r="VPY93" t="s">
        <v>114</v>
      </c>
      <c r="VPZ93" t="s">
        <v>113</v>
      </c>
      <c r="VQA93" t="s">
        <v>398</v>
      </c>
      <c r="VQB93">
        <v>1</v>
      </c>
      <c r="VQC93" t="s">
        <v>438</v>
      </c>
      <c r="VQD93" t="s">
        <v>440</v>
      </c>
      <c r="VQE93" t="s">
        <v>428</v>
      </c>
      <c r="VQG93" t="s">
        <v>114</v>
      </c>
      <c r="VQH93" t="s">
        <v>113</v>
      </c>
      <c r="VQI93" t="s">
        <v>398</v>
      </c>
      <c r="VQJ93">
        <v>1</v>
      </c>
      <c r="VQK93" t="s">
        <v>438</v>
      </c>
      <c r="VQL93" t="s">
        <v>440</v>
      </c>
      <c r="VQM93" t="s">
        <v>428</v>
      </c>
      <c r="VQO93" t="s">
        <v>114</v>
      </c>
      <c r="VQP93" t="s">
        <v>113</v>
      </c>
      <c r="VQQ93" t="s">
        <v>398</v>
      </c>
      <c r="VQR93">
        <v>1</v>
      </c>
      <c r="VQS93" t="s">
        <v>438</v>
      </c>
      <c r="VQT93" t="s">
        <v>440</v>
      </c>
      <c r="VQU93" t="s">
        <v>428</v>
      </c>
      <c r="VQW93" t="s">
        <v>114</v>
      </c>
      <c r="VQX93" t="s">
        <v>113</v>
      </c>
      <c r="VQY93" t="s">
        <v>398</v>
      </c>
      <c r="VQZ93">
        <v>1</v>
      </c>
      <c r="VRA93" t="s">
        <v>438</v>
      </c>
      <c r="VRB93" t="s">
        <v>440</v>
      </c>
      <c r="VRC93" t="s">
        <v>428</v>
      </c>
      <c r="VRE93" t="s">
        <v>114</v>
      </c>
      <c r="VRF93" t="s">
        <v>113</v>
      </c>
      <c r="VRG93" t="s">
        <v>398</v>
      </c>
      <c r="VRH93">
        <v>1</v>
      </c>
      <c r="VRI93" t="s">
        <v>438</v>
      </c>
      <c r="VRJ93" t="s">
        <v>440</v>
      </c>
      <c r="VRK93" t="s">
        <v>428</v>
      </c>
      <c r="VRM93" t="s">
        <v>114</v>
      </c>
      <c r="VRN93" t="s">
        <v>113</v>
      </c>
      <c r="VRO93" t="s">
        <v>398</v>
      </c>
      <c r="VRP93">
        <v>1</v>
      </c>
      <c r="VRQ93" t="s">
        <v>438</v>
      </c>
      <c r="VRR93" t="s">
        <v>440</v>
      </c>
      <c r="VRS93" t="s">
        <v>428</v>
      </c>
      <c r="VRU93" t="s">
        <v>114</v>
      </c>
      <c r="VRV93" t="s">
        <v>113</v>
      </c>
      <c r="VRW93" t="s">
        <v>398</v>
      </c>
      <c r="VRX93">
        <v>1</v>
      </c>
      <c r="VRY93" t="s">
        <v>438</v>
      </c>
      <c r="VRZ93" t="s">
        <v>440</v>
      </c>
      <c r="VSA93" t="s">
        <v>428</v>
      </c>
      <c r="VSC93" t="s">
        <v>114</v>
      </c>
      <c r="VSD93" t="s">
        <v>113</v>
      </c>
      <c r="VSE93" t="s">
        <v>398</v>
      </c>
      <c r="VSF93">
        <v>1</v>
      </c>
      <c r="VSG93" t="s">
        <v>438</v>
      </c>
      <c r="VSH93" t="s">
        <v>440</v>
      </c>
      <c r="VSI93" t="s">
        <v>428</v>
      </c>
      <c r="VSK93" t="s">
        <v>114</v>
      </c>
      <c r="VSL93" t="s">
        <v>113</v>
      </c>
      <c r="VSM93" t="s">
        <v>398</v>
      </c>
      <c r="VSN93">
        <v>1</v>
      </c>
      <c r="VSO93" t="s">
        <v>438</v>
      </c>
      <c r="VSP93" t="s">
        <v>440</v>
      </c>
      <c r="VSQ93" t="s">
        <v>428</v>
      </c>
      <c r="VSS93" t="s">
        <v>114</v>
      </c>
      <c r="VST93" t="s">
        <v>113</v>
      </c>
      <c r="VSU93" t="s">
        <v>398</v>
      </c>
      <c r="VSV93">
        <v>1</v>
      </c>
      <c r="VSW93" t="s">
        <v>438</v>
      </c>
      <c r="VSX93" t="s">
        <v>440</v>
      </c>
      <c r="VSY93" t="s">
        <v>428</v>
      </c>
      <c r="VTA93" t="s">
        <v>114</v>
      </c>
      <c r="VTB93" t="s">
        <v>113</v>
      </c>
      <c r="VTC93" t="s">
        <v>398</v>
      </c>
      <c r="VTD93">
        <v>1</v>
      </c>
      <c r="VTE93" t="s">
        <v>438</v>
      </c>
      <c r="VTF93" t="s">
        <v>440</v>
      </c>
      <c r="VTG93" t="s">
        <v>428</v>
      </c>
      <c r="VTI93" t="s">
        <v>114</v>
      </c>
      <c r="VTJ93" t="s">
        <v>113</v>
      </c>
      <c r="VTK93" t="s">
        <v>398</v>
      </c>
      <c r="VTL93">
        <v>1</v>
      </c>
      <c r="VTM93" t="s">
        <v>438</v>
      </c>
      <c r="VTN93" t="s">
        <v>440</v>
      </c>
      <c r="VTO93" t="s">
        <v>428</v>
      </c>
      <c r="VTQ93" t="s">
        <v>114</v>
      </c>
      <c r="VTR93" t="s">
        <v>113</v>
      </c>
      <c r="VTS93" t="s">
        <v>398</v>
      </c>
      <c r="VTT93">
        <v>1</v>
      </c>
      <c r="VTU93" t="s">
        <v>438</v>
      </c>
      <c r="VTV93" t="s">
        <v>440</v>
      </c>
      <c r="VTW93" t="s">
        <v>428</v>
      </c>
      <c r="VTY93" t="s">
        <v>114</v>
      </c>
      <c r="VTZ93" t="s">
        <v>113</v>
      </c>
      <c r="VUA93" t="s">
        <v>398</v>
      </c>
      <c r="VUB93">
        <v>1</v>
      </c>
      <c r="VUC93" t="s">
        <v>438</v>
      </c>
      <c r="VUD93" t="s">
        <v>440</v>
      </c>
      <c r="VUE93" t="s">
        <v>428</v>
      </c>
      <c r="VUG93" t="s">
        <v>114</v>
      </c>
      <c r="VUH93" t="s">
        <v>113</v>
      </c>
      <c r="VUI93" t="s">
        <v>398</v>
      </c>
      <c r="VUJ93">
        <v>1</v>
      </c>
      <c r="VUK93" t="s">
        <v>438</v>
      </c>
      <c r="VUL93" t="s">
        <v>440</v>
      </c>
      <c r="VUM93" t="s">
        <v>428</v>
      </c>
      <c r="VUO93" t="s">
        <v>114</v>
      </c>
      <c r="VUP93" t="s">
        <v>113</v>
      </c>
      <c r="VUQ93" t="s">
        <v>398</v>
      </c>
      <c r="VUR93">
        <v>1</v>
      </c>
      <c r="VUS93" t="s">
        <v>438</v>
      </c>
      <c r="VUT93" t="s">
        <v>440</v>
      </c>
      <c r="VUU93" t="s">
        <v>428</v>
      </c>
      <c r="VUW93" t="s">
        <v>114</v>
      </c>
      <c r="VUX93" t="s">
        <v>113</v>
      </c>
      <c r="VUY93" t="s">
        <v>398</v>
      </c>
      <c r="VUZ93">
        <v>1</v>
      </c>
      <c r="VVA93" t="s">
        <v>438</v>
      </c>
      <c r="VVB93" t="s">
        <v>440</v>
      </c>
      <c r="VVC93" t="s">
        <v>428</v>
      </c>
      <c r="VVE93" t="s">
        <v>114</v>
      </c>
      <c r="VVF93" t="s">
        <v>113</v>
      </c>
      <c r="VVG93" t="s">
        <v>398</v>
      </c>
      <c r="VVH93">
        <v>1</v>
      </c>
      <c r="VVI93" t="s">
        <v>438</v>
      </c>
      <c r="VVJ93" t="s">
        <v>440</v>
      </c>
      <c r="VVK93" t="s">
        <v>428</v>
      </c>
      <c r="VVM93" t="s">
        <v>114</v>
      </c>
      <c r="VVN93" t="s">
        <v>113</v>
      </c>
      <c r="VVO93" t="s">
        <v>398</v>
      </c>
      <c r="VVP93">
        <v>1</v>
      </c>
      <c r="VVQ93" t="s">
        <v>438</v>
      </c>
      <c r="VVR93" t="s">
        <v>440</v>
      </c>
      <c r="VVS93" t="s">
        <v>428</v>
      </c>
      <c r="VVU93" t="s">
        <v>114</v>
      </c>
      <c r="VVV93" t="s">
        <v>113</v>
      </c>
      <c r="VVW93" t="s">
        <v>398</v>
      </c>
      <c r="VVX93">
        <v>1</v>
      </c>
      <c r="VVY93" t="s">
        <v>438</v>
      </c>
      <c r="VVZ93" t="s">
        <v>440</v>
      </c>
      <c r="VWA93" t="s">
        <v>428</v>
      </c>
      <c r="VWC93" t="s">
        <v>114</v>
      </c>
      <c r="VWD93" t="s">
        <v>113</v>
      </c>
      <c r="VWE93" t="s">
        <v>398</v>
      </c>
      <c r="VWF93">
        <v>1</v>
      </c>
      <c r="VWG93" t="s">
        <v>438</v>
      </c>
      <c r="VWH93" t="s">
        <v>440</v>
      </c>
      <c r="VWI93" t="s">
        <v>428</v>
      </c>
      <c r="VWK93" t="s">
        <v>114</v>
      </c>
      <c r="VWL93" t="s">
        <v>113</v>
      </c>
      <c r="VWM93" t="s">
        <v>398</v>
      </c>
      <c r="VWN93">
        <v>1</v>
      </c>
      <c r="VWO93" t="s">
        <v>438</v>
      </c>
      <c r="VWP93" t="s">
        <v>440</v>
      </c>
      <c r="VWQ93" t="s">
        <v>428</v>
      </c>
      <c r="VWS93" t="s">
        <v>114</v>
      </c>
      <c r="VWT93" t="s">
        <v>113</v>
      </c>
      <c r="VWU93" t="s">
        <v>398</v>
      </c>
      <c r="VWV93">
        <v>1</v>
      </c>
      <c r="VWW93" t="s">
        <v>438</v>
      </c>
      <c r="VWX93" t="s">
        <v>440</v>
      </c>
      <c r="VWY93" t="s">
        <v>428</v>
      </c>
      <c r="VXA93" t="s">
        <v>114</v>
      </c>
      <c r="VXB93" t="s">
        <v>113</v>
      </c>
      <c r="VXC93" t="s">
        <v>398</v>
      </c>
      <c r="VXD93">
        <v>1</v>
      </c>
      <c r="VXE93" t="s">
        <v>438</v>
      </c>
      <c r="VXF93" t="s">
        <v>440</v>
      </c>
      <c r="VXG93" t="s">
        <v>428</v>
      </c>
      <c r="VXI93" t="s">
        <v>114</v>
      </c>
      <c r="VXJ93" t="s">
        <v>113</v>
      </c>
      <c r="VXK93" t="s">
        <v>398</v>
      </c>
      <c r="VXL93">
        <v>1</v>
      </c>
      <c r="VXM93" t="s">
        <v>438</v>
      </c>
      <c r="VXN93" t="s">
        <v>440</v>
      </c>
      <c r="VXO93" t="s">
        <v>428</v>
      </c>
      <c r="VXQ93" t="s">
        <v>114</v>
      </c>
      <c r="VXR93" t="s">
        <v>113</v>
      </c>
      <c r="VXS93" t="s">
        <v>398</v>
      </c>
      <c r="VXT93">
        <v>1</v>
      </c>
      <c r="VXU93" t="s">
        <v>438</v>
      </c>
      <c r="VXV93" t="s">
        <v>440</v>
      </c>
      <c r="VXW93" t="s">
        <v>428</v>
      </c>
      <c r="VXY93" t="s">
        <v>114</v>
      </c>
      <c r="VXZ93" t="s">
        <v>113</v>
      </c>
      <c r="VYA93" t="s">
        <v>398</v>
      </c>
      <c r="VYB93">
        <v>1</v>
      </c>
      <c r="VYC93" t="s">
        <v>438</v>
      </c>
      <c r="VYD93" t="s">
        <v>440</v>
      </c>
      <c r="VYE93" t="s">
        <v>428</v>
      </c>
      <c r="VYG93" t="s">
        <v>114</v>
      </c>
      <c r="VYH93" t="s">
        <v>113</v>
      </c>
      <c r="VYI93" t="s">
        <v>398</v>
      </c>
      <c r="VYJ93">
        <v>1</v>
      </c>
      <c r="VYK93" t="s">
        <v>438</v>
      </c>
      <c r="VYL93" t="s">
        <v>440</v>
      </c>
      <c r="VYM93" t="s">
        <v>428</v>
      </c>
      <c r="VYO93" t="s">
        <v>114</v>
      </c>
      <c r="VYP93" t="s">
        <v>113</v>
      </c>
      <c r="VYQ93" t="s">
        <v>398</v>
      </c>
      <c r="VYR93">
        <v>1</v>
      </c>
      <c r="VYS93" t="s">
        <v>438</v>
      </c>
      <c r="VYT93" t="s">
        <v>440</v>
      </c>
      <c r="VYU93" t="s">
        <v>428</v>
      </c>
      <c r="VYW93" t="s">
        <v>114</v>
      </c>
      <c r="VYX93" t="s">
        <v>113</v>
      </c>
      <c r="VYY93" t="s">
        <v>398</v>
      </c>
      <c r="VYZ93">
        <v>1</v>
      </c>
      <c r="VZA93" t="s">
        <v>438</v>
      </c>
      <c r="VZB93" t="s">
        <v>440</v>
      </c>
      <c r="VZC93" t="s">
        <v>428</v>
      </c>
      <c r="VZE93" t="s">
        <v>114</v>
      </c>
      <c r="VZF93" t="s">
        <v>113</v>
      </c>
      <c r="VZG93" t="s">
        <v>398</v>
      </c>
      <c r="VZH93">
        <v>1</v>
      </c>
      <c r="VZI93" t="s">
        <v>438</v>
      </c>
      <c r="VZJ93" t="s">
        <v>440</v>
      </c>
      <c r="VZK93" t="s">
        <v>428</v>
      </c>
      <c r="VZM93" t="s">
        <v>114</v>
      </c>
      <c r="VZN93" t="s">
        <v>113</v>
      </c>
      <c r="VZO93" t="s">
        <v>398</v>
      </c>
      <c r="VZP93">
        <v>1</v>
      </c>
      <c r="VZQ93" t="s">
        <v>438</v>
      </c>
      <c r="VZR93" t="s">
        <v>440</v>
      </c>
      <c r="VZS93" t="s">
        <v>428</v>
      </c>
      <c r="VZU93" t="s">
        <v>114</v>
      </c>
      <c r="VZV93" t="s">
        <v>113</v>
      </c>
      <c r="VZW93" t="s">
        <v>398</v>
      </c>
      <c r="VZX93">
        <v>1</v>
      </c>
      <c r="VZY93" t="s">
        <v>438</v>
      </c>
      <c r="VZZ93" t="s">
        <v>440</v>
      </c>
      <c r="WAA93" t="s">
        <v>428</v>
      </c>
      <c r="WAC93" t="s">
        <v>114</v>
      </c>
      <c r="WAD93" t="s">
        <v>113</v>
      </c>
      <c r="WAE93" t="s">
        <v>398</v>
      </c>
      <c r="WAF93">
        <v>1</v>
      </c>
      <c r="WAG93" t="s">
        <v>438</v>
      </c>
      <c r="WAH93" t="s">
        <v>440</v>
      </c>
      <c r="WAI93" t="s">
        <v>428</v>
      </c>
      <c r="WAK93" t="s">
        <v>114</v>
      </c>
      <c r="WAL93" t="s">
        <v>113</v>
      </c>
      <c r="WAM93" t="s">
        <v>398</v>
      </c>
      <c r="WAN93">
        <v>1</v>
      </c>
      <c r="WAO93" t="s">
        <v>438</v>
      </c>
      <c r="WAP93" t="s">
        <v>440</v>
      </c>
      <c r="WAQ93" t="s">
        <v>428</v>
      </c>
      <c r="WAS93" t="s">
        <v>114</v>
      </c>
      <c r="WAT93" t="s">
        <v>113</v>
      </c>
      <c r="WAU93" t="s">
        <v>398</v>
      </c>
      <c r="WAV93">
        <v>1</v>
      </c>
      <c r="WAW93" t="s">
        <v>438</v>
      </c>
      <c r="WAX93" t="s">
        <v>440</v>
      </c>
      <c r="WAY93" t="s">
        <v>428</v>
      </c>
      <c r="WBA93" t="s">
        <v>114</v>
      </c>
      <c r="WBB93" t="s">
        <v>113</v>
      </c>
      <c r="WBC93" t="s">
        <v>398</v>
      </c>
      <c r="WBD93">
        <v>1</v>
      </c>
      <c r="WBE93" t="s">
        <v>438</v>
      </c>
      <c r="WBF93" t="s">
        <v>440</v>
      </c>
      <c r="WBG93" t="s">
        <v>428</v>
      </c>
      <c r="WBI93" t="s">
        <v>114</v>
      </c>
      <c r="WBJ93" t="s">
        <v>113</v>
      </c>
      <c r="WBK93" t="s">
        <v>398</v>
      </c>
      <c r="WBL93">
        <v>1</v>
      </c>
      <c r="WBM93" t="s">
        <v>438</v>
      </c>
      <c r="WBN93" t="s">
        <v>440</v>
      </c>
      <c r="WBO93" t="s">
        <v>428</v>
      </c>
      <c r="WBQ93" t="s">
        <v>114</v>
      </c>
      <c r="WBR93" t="s">
        <v>113</v>
      </c>
      <c r="WBS93" t="s">
        <v>398</v>
      </c>
      <c r="WBT93">
        <v>1</v>
      </c>
      <c r="WBU93" t="s">
        <v>438</v>
      </c>
      <c r="WBV93" t="s">
        <v>440</v>
      </c>
      <c r="WBW93" t="s">
        <v>428</v>
      </c>
      <c r="WBY93" t="s">
        <v>114</v>
      </c>
      <c r="WBZ93" t="s">
        <v>113</v>
      </c>
      <c r="WCA93" t="s">
        <v>398</v>
      </c>
      <c r="WCB93">
        <v>1</v>
      </c>
      <c r="WCC93" t="s">
        <v>438</v>
      </c>
      <c r="WCD93" t="s">
        <v>440</v>
      </c>
      <c r="WCE93" t="s">
        <v>428</v>
      </c>
      <c r="WCG93" t="s">
        <v>114</v>
      </c>
      <c r="WCH93" t="s">
        <v>113</v>
      </c>
      <c r="WCI93" t="s">
        <v>398</v>
      </c>
      <c r="WCJ93">
        <v>1</v>
      </c>
      <c r="WCK93" t="s">
        <v>438</v>
      </c>
      <c r="WCL93" t="s">
        <v>440</v>
      </c>
      <c r="WCM93" t="s">
        <v>428</v>
      </c>
      <c r="WCO93" t="s">
        <v>114</v>
      </c>
      <c r="WCP93" t="s">
        <v>113</v>
      </c>
      <c r="WCQ93" t="s">
        <v>398</v>
      </c>
      <c r="WCR93">
        <v>1</v>
      </c>
      <c r="WCS93" t="s">
        <v>438</v>
      </c>
      <c r="WCT93" t="s">
        <v>440</v>
      </c>
      <c r="WCU93" t="s">
        <v>428</v>
      </c>
      <c r="WCW93" t="s">
        <v>114</v>
      </c>
      <c r="WCX93" t="s">
        <v>113</v>
      </c>
      <c r="WCY93" t="s">
        <v>398</v>
      </c>
      <c r="WCZ93">
        <v>1</v>
      </c>
      <c r="WDA93" t="s">
        <v>438</v>
      </c>
      <c r="WDB93" t="s">
        <v>440</v>
      </c>
      <c r="WDC93" t="s">
        <v>428</v>
      </c>
      <c r="WDE93" t="s">
        <v>114</v>
      </c>
      <c r="WDF93" t="s">
        <v>113</v>
      </c>
      <c r="WDG93" t="s">
        <v>398</v>
      </c>
      <c r="WDH93">
        <v>1</v>
      </c>
      <c r="WDI93" t="s">
        <v>438</v>
      </c>
      <c r="WDJ93" t="s">
        <v>440</v>
      </c>
      <c r="WDK93" t="s">
        <v>428</v>
      </c>
      <c r="WDM93" t="s">
        <v>114</v>
      </c>
      <c r="WDN93" t="s">
        <v>113</v>
      </c>
      <c r="WDO93" t="s">
        <v>398</v>
      </c>
      <c r="WDP93">
        <v>1</v>
      </c>
      <c r="WDQ93" t="s">
        <v>438</v>
      </c>
      <c r="WDR93" t="s">
        <v>440</v>
      </c>
      <c r="WDS93" t="s">
        <v>428</v>
      </c>
      <c r="WDU93" t="s">
        <v>114</v>
      </c>
      <c r="WDV93" t="s">
        <v>113</v>
      </c>
      <c r="WDW93" t="s">
        <v>398</v>
      </c>
      <c r="WDX93">
        <v>1</v>
      </c>
      <c r="WDY93" t="s">
        <v>438</v>
      </c>
      <c r="WDZ93" t="s">
        <v>440</v>
      </c>
      <c r="WEA93" t="s">
        <v>428</v>
      </c>
      <c r="WEC93" t="s">
        <v>114</v>
      </c>
      <c r="WED93" t="s">
        <v>113</v>
      </c>
      <c r="WEE93" t="s">
        <v>398</v>
      </c>
      <c r="WEF93">
        <v>1</v>
      </c>
      <c r="WEG93" t="s">
        <v>438</v>
      </c>
      <c r="WEH93" t="s">
        <v>440</v>
      </c>
      <c r="WEI93" t="s">
        <v>428</v>
      </c>
      <c r="WEK93" t="s">
        <v>114</v>
      </c>
      <c r="WEL93" t="s">
        <v>113</v>
      </c>
      <c r="WEM93" t="s">
        <v>398</v>
      </c>
      <c r="WEN93">
        <v>1</v>
      </c>
      <c r="WEO93" t="s">
        <v>438</v>
      </c>
      <c r="WEP93" t="s">
        <v>440</v>
      </c>
      <c r="WEQ93" t="s">
        <v>428</v>
      </c>
      <c r="WES93" t="s">
        <v>114</v>
      </c>
      <c r="WET93" t="s">
        <v>113</v>
      </c>
      <c r="WEU93" t="s">
        <v>398</v>
      </c>
      <c r="WEV93">
        <v>1</v>
      </c>
      <c r="WEW93" t="s">
        <v>438</v>
      </c>
      <c r="WEX93" t="s">
        <v>440</v>
      </c>
      <c r="WEY93" t="s">
        <v>428</v>
      </c>
      <c r="WFA93" t="s">
        <v>114</v>
      </c>
      <c r="WFB93" t="s">
        <v>113</v>
      </c>
      <c r="WFC93" t="s">
        <v>398</v>
      </c>
      <c r="WFD93">
        <v>1</v>
      </c>
      <c r="WFE93" t="s">
        <v>438</v>
      </c>
      <c r="WFF93" t="s">
        <v>440</v>
      </c>
      <c r="WFG93" t="s">
        <v>428</v>
      </c>
      <c r="WFI93" t="s">
        <v>114</v>
      </c>
      <c r="WFJ93" t="s">
        <v>113</v>
      </c>
      <c r="WFK93" t="s">
        <v>398</v>
      </c>
      <c r="WFL93">
        <v>1</v>
      </c>
      <c r="WFM93" t="s">
        <v>438</v>
      </c>
      <c r="WFN93" t="s">
        <v>440</v>
      </c>
      <c r="WFO93" t="s">
        <v>428</v>
      </c>
      <c r="WFQ93" t="s">
        <v>114</v>
      </c>
      <c r="WFR93" t="s">
        <v>113</v>
      </c>
      <c r="WFS93" t="s">
        <v>398</v>
      </c>
      <c r="WFT93">
        <v>1</v>
      </c>
      <c r="WFU93" t="s">
        <v>438</v>
      </c>
      <c r="WFV93" t="s">
        <v>440</v>
      </c>
      <c r="WFW93" t="s">
        <v>428</v>
      </c>
      <c r="WFY93" t="s">
        <v>114</v>
      </c>
      <c r="WFZ93" t="s">
        <v>113</v>
      </c>
      <c r="WGA93" t="s">
        <v>398</v>
      </c>
      <c r="WGB93">
        <v>1</v>
      </c>
      <c r="WGC93" t="s">
        <v>438</v>
      </c>
      <c r="WGD93" t="s">
        <v>440</v>
      </c>
      <c r="WGE93" t="s">
        <v>428</v>
      </c>
      <c r="WGG93" t="s">
        <v>114</v>
      </c>
      <c r="WGH93" t="s">
        <v>113</v>
      </c>
      <c r="WGI93" t="s">
        <v>398</v>
      </c>
      <c r="WGJ93">
        <v>1</v>
      </c>
      <c r="WGK93" t="s">
        <v>438</v>
      </c>
      <c r="WGL93" t="s">
        <v>440</v>
      </c>
      <c r="WGM93" t="s">
        <v>428</v>
      </c>
      <c r="WGO93" t="s">
        <v>114</v>
      </c>
      <c r="WGP93" t="s">
        <v>113</v>
      </c>
      <c r="WGQ93" t="s">
        <v>398</v>
      </c>
      <c r="WGR93">
        <v>1</v>
      </c>
      <c r="WGS93" t="s">
        <v>438</v>
      </c>
      <c r="WGT93" t="s">
        <v>440</v>
      </c>
      <c r="WGU93" t="s">
        <v>428</v>
      </c>
      <c r="WGW93" t="s">
        <v>114</v>
      </c>
      <c r="WGX93" t="s">
        <v>113</v>
      </c>
      <c r="WGY93" t="s">
        <v>398</v>
      </c>
      <c r="WGZ93">
        <v>1</v>
      </c>
      <c r="WHA93" t="s">
        <v>438</v>
      </c>
      <c r="WHB93" t="s">
        <v>440</v>
      </c>
      <c r="WHC93" t="s">
        <v>428</v>
      </c>
      <c r="WHE93" t="s">
        <v>114</v>
      </c>
      <c r="WHF93" t="s">
        <v>113</v>
      </c>
      <c r="WHG93" t="s">
        <v>398</v>
      </c>
      <c r="WHH93">
        <v>1</v>
      </c>
      <c r="WHI93" t="s">
        <v>438</v>
      </c>
      <c r="WHJ93" t="s">
        <v>440</v>
      </c>
      <c r="WHK93" t="s">
        <v>428</v>
      </c>
      <c r="WHM93" t="s">
        <v>114</v>
      </c>
      <c r="WHN93" t="s">
        <v>113</v>
      </c>
      <c r="WHO93" t="s">
        <v>398</v>
      </c>
      <c r="WHP93">
        <v>1</v>
      </c>
      <c r="WHQ93" t="s">
        <v>438</v>
      </c>
      <c r="WHR93" t="s">
        <v>440</v>
      </c>
      <c r="WHS93" t="s">
        <v>428</v>
      </c>
      <c r="WHU93" t="s">
        <v>114</v>
      </c>
      <c r="WHV93" t="s">
        <v>113</v>
      </c>
      <c r="WHW93" t="s">
        <v>398</v>
      </c>
      <c r="WHX93">
        <v>1</v>
      </c>
      <c r="WHY93" t="s">
        <v>438</v>
      </c>
      <c r="WHZ93" t="s">
        <v>440</v>
      </c>
      <c r="WIA93" t="s">
        <v>428</v>
      </c>
      <c r="WIC93" t="s">
        <v>114</v>
      </c>
      <c r="WID93" t="s">
        <v>113</v>
      </c>
      <c r="WIE93" t="s">
        <v>398</v>
      </c>
      <c r="WIF93">
        <v>1</v>
      </c>
      <c r="WIG93" t="s">
        <v>438</v>
      </c>
      <c r="WIH93" t="s">
        <v>440</v>
      </c>
      <c r="WII93" t="s">
        <v>428</v>
      </c>
      <c r="WIK93" t="s">
        <v>114</v>
      </c>
      <c r="WIL93" t="s">
        <v>113</v>
      </c>
      <c r="WIM93" t="s">
        <v>398</v>
      </c>
      <c r="WIN93">
        <v>1</v>
      </c>
      <c r="WIO93" t="s">
        <v>438</v>
      </c>
      <c r="WIP93" t="s">
        <v>440</v>
      </c>
      <c r="WIQ93" t="s">
        <v>428</v>
      </c>
      <c r="WIS93" t="s">
        <v>114</v>
      </c>
      <c r="WIT93" t="s">
        <v>113</v>
      </c>
      <c r="WIU93" t="s">
        <v>398</v>
      </c>
      <c r="WIV93">
        <v>1</v>
      </c>
      <c r="WIW93" t="s">
        <v>438</v>
      </c>
      <c r="WIX93" t="s">
        <v>440</v>
      </c>
      <c r="WIY93" t="s">
        <v>428</v>
      </c>
      <c r="WJA93" t="s">
        <v>114</v>
      </c>
      <c r="WJB93" t="s">
        <v>113</v>
      </c>
      <c r="WJC93" t="s">
        <v>398</v>
      </c>
      <c r="WJD93">
        <v>1</v>
      </c>
      <c r="WJE93" t="s">
        <v>438</v>
      </c>
      <c r="WJF93" t="s">
        <v>440</v>
      </c>
      <c r="WJG93" t="s">
        <v>428</v>
      </c>
      <c r="WJI93" t="s">
        <v>114</v>
      </c>
      <c r="WJJ93" t="s">
        <v>113</v>
      </c>
      <c r="WJK93" t="s">
        <v>398</v>
      </c>
      <c r="WJL93">
        <v>1</v>
      </c>
      <c r="WJM93" t="s">
        <v>438</v>
      </c>
      <c r="WJN93" t="s">
        <v>440</v>
      </c>
      <c r="WJO93" t="s">
        <v>428</v>
      </c>
      <c r="WJQ93" t="s">
        <v>114</v>
      </c>
      <c r="WJR93" t="s">
        <v>113</v>
      </c>
      <c r="WJS93" t="s">
        <v>398</v>
      </c>
      <c r="WJT93">
        <v>1</v>
      </c>
      <c r="WJU93" t="s">
        <v>438</v>
      </c>
      <c r="WJV93" t="s">
        <v>440</v>
      </c>
      <c r="WJW93" t="s">
        <v>428</v>
      </c>
      <c r="WJY93" t="s">
        <v>114</v>
      </c>
      <c r="WJZ93" t="s">
        <v>113</v>
      </c>
      <c r="WKA93" t="s">
        <v>398</v>
      </c>
      <c r="WKB93">
        <v>1</v>
      </c>
      <c r="WKC93" t="s">
        <v>438</v>
      </c>
      <c r="WKD93" t="s">
        <v>440</v>
      </c>
      <c r="WKE93" t="s">
        <v>428</v>
      </c>
      <c r="WKG93" t="s">
        <v>114</v>
      </c>
      <c r="WKH93" t="s">
        <v>113</v>
      </c>
      <c r="WKI93" t="s">
        <v>398</v>
      </c>
      <c r="WKJ93">
        <v>1</v>
      </c>
      <c r="WKK93" t="s">
        <v>438</v>
      </c>
      <c r="WKL93" t="s">
        <v>440</v>
      </c>
      <c r="WKM93" t="s">
        <v>428</v>
      </c>
      <c r="WKO93" t="s">
        <v>114</v>
      </c>
      <c r="WKP93" t="s">
        <v>113</v>
      </c>
      <c r="WKQ93" t="s">
        <v>398</v>
      </c>
      <c r="WKR93">
        <v>1</v>
      </c>
      <c r="WKS93" t="s">
        <v>438</v>
      </c>
      <c r="WKT93" t="s">
        <v>440</v>
      </c>
      <c r="WKU93" t="s">
        <v>428</v>
      </c>
      <c r="WKW93" t="s">
        <v>114</v>
      </c>
      <c r="WKX93" t="s">
        <v>113</v>
      </c>
      <c r="WKY93" t="s">
        <v>398</v>
      </c>
      <c r="WKZ93">
        <v>1</v>
      </c>
      <c r="WLA93" t="s">
        <v>438</v>
      </c>
      <c r="WLB93" t="s">
        <v>440</v>
      </c>
      <c r="WLC93" t="s">
        <v>428</v>
      </c>
      <c r="WLE93" t="s">
        <v>114</v>
      </c>
      <c r="WLF93" t="s">
        <v>113</v>
      </c>
      <c r="WLG93" t="s">
        <v>398</v>
      </c>
      <c r="WLH93">
        <v>1</v>
      </c>
      <c r="WLI93" t="s">
        <v>438</v>
      </c>
      <c r="WLJ93" t="s">
        <v>440</v>
      </c>
      <c r="WLK93" t="s">
        <v>428</v>
      </c>
      <c r="WLM93" t="s">
        <v>114</v>
      </c>
      <c r="WLN93" t="s">
        <v>113</v>
      </c>
      <c r="WLO93" t="s">
        <v>398</v>
      </c>
      <c r="WLP93">
        <v>1</v>
      </c>
      <c r="WLQ93" t="s">
        <v>438</v>
      </c>
      <c r="WLR93" t="s">
        <v>440</v>
      </c>
      <c r="WLS93" t="s">
        <v>428</v>
      </c>
      <c r="WLU93" t="s">
        <v>114</v>
      </c>
      <c r="WLV93" t="s">
        <v>113</v>
      </c>
      <c r="WLW93" t="s">
        <v>398</v>
      </c>
      <c r="WLX93">
        <v>1</v>
      </c>
      <c r="WLY93" t="s">
        <v>438</v>
      </c>
      <c r="WLZ93" t="s">
        <v>440</v>
      </c>
      <c r="WMA93" t="s">
        <v>428</v>
      </c>
      <c r="WMC93" t="s">
        <v>114</v>
      </c>
      <c r="WMD93" t="s">
        <v>113</v>
      </c>
      <c r="WME93" t="s">
        <v>398</v>
      </c>
      <c r="WMF93">
        <v>1</v>
      </c>
      <c r="WMG93" t="s">
        <v>438</v>
      </c>
      <c r="WMH93" t="s">
        <v>440</v>
      </c>
      <c r="WMI93" t="s">
        <v>428</v>
      </c>
      <c r="WMK93" t="s">
        <v>114</v>
      </c>
      <c r="WML93" t="s">
        <v>113</v>
      </c>
      <c r="WMM93" t="s">
        <v>398</v>
      </c>
      <c r="WMN93">
        <v>1</v>
      </c>
      <c r="WMO93" t="s">
        <v>438</v>
      </c>
      <c r="WMP93" t="s">
        <v>440</v>
      </c>
      <c r="WMQ93" t="s">
        <v>428</v>
      </c>
      <c r="WMS93" t="s">
        <v>114</v>
      </c>
      <c r="WMT93" t="s">
        <v>113</v>
      </c>
      <c r="WMU93" t="s">
        <v>398</v>
      </c>
      <c r="WMV93">
        <v>1</v>
      </c>
      <c r="WMW93" t="s">
        <v>438</v>
      </c>
      <c r="WMX93" t="s">
        <v>440</v>
      </c>
      <c r="WMY93" t="s">
        <v>428</v>
      </c>
      <c r="WNA93" t="s">
        <v>114</v>
      </c>
      <c r="WNB93" t="s">
        <v>113</v>
      </c>
      <c r="WNC93" t="s">
        <v>398</v>
      </c>
      <c r="WND93">
        <v>1</v>
      </c>
      <c r="WNE93" t="s">
        <v>438</v>
      </c>
      <c r="WNF93" t="s">
        <v>440</v>
      </c>
      <c r="WNG93" t="s">
        <v>428</v>
      </c>
      <c r="WNI93" t="s">
        <v>114</v>
      </c>
      <c r="WNJ93" t="s">
        <v>113</v>
      </c>
      <c r="WNK93" t="s">
        <v>398</v>
      </c>
      <c r="WNL93">
        <v>1</v>
      </c>
      <c r="WNM93" t="s">
        <v>438</v>
      </c>
      <c r="WNN93" t="s">
        <v>440</v>
      </c>
      <c r="WNO93" t="s">
        <v>428</v>
      </c>
      <c r="WNQ93" t="s">
        <v>114</v>
      </c>
      <c r="WNR93" t="s">
        <v>113</v>
      </c>
      <c r="WNS93" t="s">
        <v>398</v>
      </c>
      <c r="WNT93">
        <v>1</v>
      </c>
      <c r="WNU93" t="s">
        <v>438</v>
      </c>
      <c r="WNV93" t="s">
        <v>440</v>
      </c>
      <c r="WNW93" t="s">
        <v>428</v>
      </c>
      <c r="WNY93" t="s">
        <v>114</v>
      </c>
      <c r="WNZ93" t="s">
        <v>113</v>
      </c>
      <c r="WOA93" t="s">
        <v>398</v>
      </c>
      <c r="WOB93">
        <v>1</v>
      </c>
      <c r="WOC93" t="s">
        <v>438</v>
      </c>
      <c r="WOD93" t="s">
        <v>440</v>
      </c>
      <c r="WOE93" t="s">
        <v>428</v>
      </c>
      <c r="WOG93" t="s">
        <v>114</v>
      </c>
      <c r="WOH93" t="s">
        <v>113</v>
      </c>
      <c r="WOI93" t="s">
        <v>398</v>
      </c>
      <c r="WOJ93">
        <v>1</v>
      </c>
      <c r="WOK93" t="s">
        <v>438</v>
      </c>
      <c r="WOL93" t="s">
        <v>440</v>
      </c>
      <c r="WOM93" t="s">
        <v>428</v>
      </c>
      <c r="WOO93" t="s">
        <v>114</v>
      </c>
      <c r="WOP93" t="s">
        <v>113</v>
      </c>
      <c r="WOQ93" t="s">
        <v>398</v>
      </c>
      <c r="WOR93">
        <v>1</v>
      </c>
      <c r="WOS93" t="s">
        <v>438</v>
      </c>
      <c r="WOT93" t="s">
        <v>440</v>
      </c>
      <c r="WOU93" t="s">
        <v>428</v>
      </c>
      <c r="WOW93" t="s">
        <v>114</v>
      </c>
      <c r="WOX93" t="s">
        <v>113</v>
      </c>
      <c r="WOY93" t="s">
        <v>398</v>
      </c>
      <c r="WOZ93">
        <v>1</v>
      </c>
      <c r="WPA93" t="s">
        <v>438</v>
      </c>
      <c r="WPB93" t="s">
        <v>440</v>
      </c>
      <c r="WPC93" t="s">
        <v>428</v>
      </c>
      <c r="WPE93" t="s">
        <v>114</v>
      </c>
      <c r="WPF93" t="s">
        <v>113</v>
      </c>
      <c r="WPG93" t="s">
        <v>398</v>
      </c>
      <c r="WPH93">
        <v>1</v>
      </c>
      <c r="WPI93" t="s">
        <v>438</v>
      </c>
      <c r="WPJ93" t="s">
        <v>440</v>
      </c>
      <c r="WPK93" t="s">
        <v>428</v>
      </c>
      <c r="WPM93" t="s">
        <v>114</v>
      </c>
      <c r="WPN93" t="s">
        <v>113</v>
      </c>
      <c r="WPO93" t="s">
        <v>398</v>
      </c>
      <c r="WPP93">
        <v>1</v>
      </c>
      <c r="WPQ93" t="s">
        <v>438</v>
      </c>
      <c r="WPR93" t="s">
        <v>440</v>
      </c>
      <c r="WPS93" t="s">
        <v>428</v>
      </c>
      <c r="WPU93" t="s">
        <v>114</v>
      </c>
      <c r="WPV93" t="s">
        <v>113</v>
      </c>
      <c r="WPW93" t="s">
        <v>398</v>
      </c>
      <c r="WPX93">
        <v>1</v>
      </c>
      <c r="WPY93" t="s">
        <v>438</v>
      </c>
      <c r="WPZ93" t="s">
        <v>440</v>
      </c>
      <c r="WQA93" t="s">
        <v>428</v>
      </c>
      <c r="WQC93" t="s">
        <v>114</v>
      </c>
      <c r="WQD93" t="s">
        <v>113</v>
      </c>
      <c r="WQE93" t="s">
        <v>398</v>
      </c>
      <c r="WQF93">
        <v>1</v>
      </c>
      <c r="WQG93" t="s">
        <v>438</v>
      </c>
      <c r="WQH93" t="s">
        <v>440</v>
      </c>
      <c r="WQI93" t="s">
        <v>428</v>
      </c>
      <c r="WQK93" t="s">
        <v>114</v>
      </c>
      <c r="WQL93" t="s">
        <v>113</v>
      </c>
      <c r="WQM93" t="s">
        <v>398</v>
      </c>
      <c r="WQN93">
        <v>1</v>
      </c>
      <c r="WQO93" t="s">
        <v>438</v>
      </c>
      <c r="WQP93" t="s">
        <v>440</v>
      </c>
      <c r="WQQ93" t="s">
        <v>428</v>
      </c>
      <c r="WQS93" t="s">
        <v>114</v>
      </c>
      <c r="WQT93" t="s">
        <v>113</v>
      </c>
      <c r="WQU93" t="s">
        <v>398</v>
      </c>
      <c r="WQV93">
        <v>1</v>
      </c>
      <c r="WQW93" t="s">
        <v>438</v>
      </c>
      <c r="WQX93" t="s">
        <v>440</v>
      </c>
      <c r="WQY93" t="s">
        <v>428</v>
      </c>
      <c r="WRA93" t="s">
        <v>114</v>
      </c>
      <c r="WRB93" t="s">
        <v>113</v>
      </c>
      <c r="WRC93" t="s">
        <v>398</v>
      </c>
      <c r="WRD93">
        <v>1</v>
      </c>
      <c r="WRE93" t="s">
        <v>438</v>
      </c>
      <c r="WRF93" t="s">
        <v>440</v>
      </c>
      <c r="WRG93" t="s">
        <v>428</v>
      </c>
      <c r="WRI93" t="s">
        <v>114</v>
      </c>
      <c r="WRJ93" t="s">
        <v>113</v>
      </c>
      <c r="WRK93" t="s">
        <v>398</v>
      </c>
      <c r="WRL93">
        <v>1</v>
      </c>
      <c r="WRM93" t="s">
        <v>438</v>
      </c>
      <c r="WRN93" t="s">
        <v>440</v>
      </c>
      <c r="WRO93" t="s">
        <v>428</v>
      </c>
      <c r="WRQ93" t="s">
        <v>114</v>
      </c>
      <c r="WRR93" t="s">
        <v>113</v>
      </c>
      <c r="WRS93" t="s">
        <v>398</v>
      </c>
      <c r="WRT93">
        <v>1</v>
      </c>
      <c r="WRU93" t="s">
        <v>438</v>
      </c>
      <c r="WRV93" t="s">
        <v>440</v>
      </c>
      <c r="WRW93" t="s">
        <v>428</v>
      </c>
      <c r="WRY93" t="s">
        <v>114</v>
      </c>
      <c r="WRZ93" t="s">
        <v>113</v>
      </c>
      <c r="WSA93" t="s">
        <v>398</v>
      </c>
      <c r="WSB93">
        <v>1</v>
      </c>
      <c r="WSC93" t="s">
        <v>438</v>
      </c>
      <c r="WSD93" t="s">
        <v>440</v>
      </c>
      <c r="WSE93" t="s">
        <v>428</v>
      </c>
      <c r="WSG93" t="s">
        <v>114</v>
      </c>
      <c r="WSH93" t="s">
        <v>113</v>
      </c>
      <c r="WSI93" t="s">
        <v>398</v>
      </c>
      <c r="WSJ93">
        <v>1</v>
      </c>
      <c r="WSK93" t="s">
        <v>438</v>
      </c>
      <c r="WSL93" t="s">
        <v>440</v>
      </c>
      <c r="WSM93" t="s">
        <v>428</v>
      </c>
      <c r="WSO93" t="s">
        <v>114</v>
      </c>
      <c r="WSP93" t="s">
        <v>113</v>
      </c>
      <c r="WSQ93" t="s">
        <v>398</v>
      </c>
      <c r="WSR93">
        <v>1</v>
      </c>
      <c r="WSS93" t="s">
        <v>438</v>
      </c>
      <c r="WST93" t="s">
        <v>440</v>
      </c>
      <c r="WSU93" t="s">
        <v>428</v>
      </c>
      <c r="WSW93" t="s">
        <v>114</v>
      </c>
      <c r="WSX93" t="s">
        <v>113</v>
      </c>
      <c r="WSY93" t="s">
        <v>398</v>
      </c>
      <c r="WSZ93">
        <v>1</v>
      </c>
      <c r="WTA93" t="s">
        <v>438</v>
      </c>
      <c r="WTB93" t="s">
        <v>440</v>
      </c>
      <c r="WTC93" t="s">
        <v>428</v>
      </c>
      <c r="WTE93" t="s">
        <v>114</v>
      </c>
      <c r="WTF93" t="s">
        <v>113</v>
      </c>
      <c r="WTG93" t="s">
        <v>398</v>
      </c>
      <c r="WTH93">
        <v>1</v>
      </c>
      <c r="WTI93" t="s">
        <v>438</v>
      </c>
      <c r="WTJ93" t="s">
        <v>440</v>
      </c>
      <c r="WTK93" t="s">
        <v>428</v>
      </c>
      <c r="WTM93" t="s">
        <v>114</v>
      </c>
      <c r="WTN93" t="s">
        <v>113</v>
      </c>
      <c r="WTO93" t="s">
        <v>398</v>
      </c>
      <c r="WTP93">
        <v>1</v>
      </c>
      <c r="WTQ93" t="s">
        <v>438</v>
      </c>
      <c r="WTR93" t="s">
        <v>440</v>
      </c>
      <c r="WTS93" t="s">
        <v>428</v>
      </c>
      <c r="WTU93" t="s">
        <v>114</v>
      </c>
      <c r="WTV93" t="s">
        <v>113</v>
      </c>
      <c r="WTW93" t="s">
        <v>398</v>
      </c>
      <c r="WTX93">
        <v>1</v>
      </c>
      <c r="WTY93" t="s">
        <v>438</v>
      </c>
      <c r="WTZ93" t="s">
        <v>440</v>
      </c>
      <c r="WUA93" t="s">
        <v>428</v>
      </c>
      <c r="WUC93" t="s">
        <v>114</v>
      </c>
      <c r="WUD93" t="s">
        <v>113</v>
      </c>
      <c r="WUE93" t="s">
        <v>398</v>
      </c>
      <c r="WUF93">
        <v>1</v>
      </c>
      <c r="WUG93" t="s">
        <v>438</v>
      </c>
      <c r="WUH93" t="s">
        <v>440</v>
      </c>
      <c r="WUI93" t="s">
        <v>428</v>
      </c>
      <c r="WUK93" t="s">
        <v>114</v>
      </c>
      <c r="WUL93" t="s">
        <v>113</v>
      </c>
      <c r="WUM93" t="s">
        <v>398</v>
      </c>
      <c r="WUN93">
        <v>1</v>
      </c>
      <c r="WUO93" t="s">
        <v>438</v>
      </c>
      <c r="WUP93" t="s">
        <v>440</v>
      </c>
      <c r="WUQ93" t="s">
        <v>428</v>
      </c>
      <c r="WUS93" t="s">
        <v>114</v>
      </c>
      <c r="WUT93" t="s">
        <v>113</v>
      </c>
      <c r="WUU93" t="s">
        <v>398</v>
      </c>
      <c r="WUV93">
        <v>1</v>
      </c>
      <c r="WUW93" t="s">
        <v>438</v>
      </c>
      <c r="WUX93" t="s">
        <v>440</v>
      </c>
      <c r="WUY93" t="s">
        <v>428</v>
      </c>
      <c r="WVA93" t="s">
        <v>114</v>
      </c>
      <c r="WVB93" t="s">
        <v>113</v>
      </c>
      <c r="WVC93" t="s">
        <v>398</v>
      </c>
      <c r="WVD93">
        <v>1</v>
      </c>
      <c r="WVE93" t="s">
        <v>438</v>
      </c>
      <c r="WVF93" t="s">
        <v>440</v>
      </c>
      <c r="WVG93" t="s">
        <v>428</v>
      </c>
      <c r="WVI93" t="s">
        <v>114</v>
      </c>
      <c r="WVJ93" t="s">
        <v>113</v>
      </c>
      <c r="WVK93" t="s">
        <v>398</v>
      </c>
      <c r="WVL93">
        <v>1</v>
      </c>
      <c r="WVM93" t="s">
        <v>438</v>
      </c>
      <c r="WVN93" t="s">
        <v>440</v>
      </c>
      <c r="WVO93" t="s">
        <v>428</v>
      </c>
      <c r="WVQ93" t="s">
        <v>114</v>
      </c>
      <c r="WVR93" t="s">
        <v>113</v>
      </c>
      <c r="WVS93" t="s">
        <v>398</v>
      </c>
      <c r="WVT93">
        <v>1</v>
      </c>
      <c r="WVU93" t="s">
        <v>438</v>
      </c>
      <c r="WVV93" t="s">
        <v>440</v>
      </c>
      <c r="WVW93" t="s">
        <v>428</v>
      </c>
      <c r="WVY93" t="s">
        <v>114</v>
      </c>
      <c r="WVZ93" t="s">
        <v>113</v>
      </c>
      <c r="WWA93" t="s">
        <v>398</v>
      </c>
      <c r="WWB93">
        <v>1</v>
      </c>
      <c r="WWC93" t="s">
        <v>438</v>
      </c>
      <c r="WWD93" t="s">
        <v>440</v>
      </c>
      <c r="WWE93" t="s">
        <v>428</v>
      </c>
      <c r="WWG93" t="s">
        <v>114</v>
      </c>
      <c r="WWH93" t="s">
        <v>113</v>
      </c>
      <c r="WWI93" t="s">
        <v>398</v>
      </c>
      <c r="WWJ93">
        <v>1</v>
      </c>
      <c r="WWK93" t="s">
        <v>438</v>
      </c>
      <c r="WWL93" t="s">
        <v>440</v>
      </c>
      <c r="WWM93" t="s">
        <v>428</v>
      </c>
      <c r="WWO93" t="s">
        <v>114</v>
      </c>
      <c r="WWP93" t="s">
        <v>113</v>
      </c>
      <c r="WWQ93" t="s">
        <v>398</v>
      </c>
      <c r="WWR93">
        <v>1</v>
      </c>
      <c r="WWS93" t="s">
        <v>438</v>
      </c>
      <c r="WWT93" t="s">
        <v>440</v>
      </c>
      <c r="WWU93" t="s">
        <v>428</v>
      </c>
      <c r="WWW93" t="s">
        <v>114</v>
      </c>
      <c r="WWX93" t="s">
        <v>113</v>
      </c>
      <c r="WWY93" t="s">
        <v>398</v>
      </c>
      <c r="WWZ93">
        <v>1</v>
      </c>
      <c r="WXA93" t="s">
        <v>438</v>
      </c>
      <c r="WXB93" t="s">
        <v>440</v>
      </c>
      <c r="WXC93" t="s">
        <v>428</v>
      </c>
      <c r="WXE93" t="s">
        <v>114</v>
      </c>
      <c r="WXF93" t="s">
        <v>113</v>
      </c>
      <c r="WXG93" t="s">
        <v>398</v>
      </c>
      <c r="WXH93">
        <v>1</v>
      </c>
      <c r="WXI93" t="s">
        <v>438</v>
      </c>
      <c r="WXJ93" t="s">
        <v>440</v>
      </c>
      <c r="WXK93" t="s">
        <v>428</v>
      </c>
      <c r="WXM93" t="s">
        <v>114</v>
      </c>
      <c r="WXN93" t="s">
        <v>113</v>
      </c>
      <c r="WXO93" t="s">
        <v>398</v>
      </c>
      <c r="WXP93">
        <v>1</v>
      </c>
      <c r="WXQ93" t="s">
        <v>438</v>
      </c>
      <c r="WXR93" t="s">
        <v>440</v>
      </c>
      <c r="WXS93" t="s">
        <v>428</v>
      </c>
      <c r="WXU93" t="s">
        <v>114</v>
      </c>
      <c r="WXV93" t="s">
        <v>113</v>
      </c>
      <c r="WXW93" t="s">
        <v>398</v>
      </c>
      <c r="WXX93">
        <v>1</v>
      </c>
      <c r="WXY93" t="s">
        <v>438</v>
      </c>
      <c r="WXZ93" t="s">
        <v>440</v>
      </c>
      <c r="WYA93" t="s">
        <v>428</v>
      </c>
      <c r="WYC93" t="s">
        <v>114</v>
      </c>
      <c r="WYD93" t="s">
        <v>113</v>
      </c>
      <c r="WYE93" t="s">
        <v>398</v>
      </c>
      <c r="WYF93">
        <v>1</v>
      </c>
      <c r="WYG93" t="s">
        <v>438</v>
      </c>
      <c r="WYH93" t="s">
        <v>440</v>
      </c>
      <c r="WYI93" t="s">
        <v>428</v>
      </c>
      <c r="WYK93" t="s">
        <v>114</v>
      </c>
      <c r="WYL93" t="s">
        <v>113</v>
      </c>
      <c r="WYM93" t="s">
        <v>398</v>
      </c>
      <c r="WYN93">
        <v>1</v>
      </c>
      <c r="WYO93" t="s">
        <v>438</v>
      </c>
      <c r="WYP93" t="s">
        <v>440</v>
      </c>
      <c r="WYQ93" t="s">
        <v>428</v>
      </c>
      <c r="WYS93" t="s">
        <v>114</v>
      </c>
      <c r="WYT93" t="s">
        <v>113</v>
      </c>
      <c r="WYU93" t="s">
        <v>398</v>
      </c>
      <c r="WYV93">
        <v>1</v>
      </c>
      <c r="WYW93" t="s">
        <v>438</v>
      </c>
      <c r="WYX93" t="s">
        <v>440</v>
      </c>
      <c r="WYY93" t="s">
        <v>428</v>
      </c>
      <c r="WZA93" t="s">
        <v>114</v>
      </c>
      <c r="WZB93" t="s">
        <v>113</v>
      </c>
      <c r="WZC93" t="s">
        <v>398</v>
      </c>
      <c r="WZD93">
        <v>1</v>
      </c>
      <c r="WZE93" t="s">
        <v>438</v>
      </c>
      <c r="WZF93" t="s">
        <v>440</v>
      </c>
      <c r="WZG93" t="s">
        <v>428</v>
      </c>
      <c r="WZI93" t="s">
        <v>114</v>
      </c>
      <c r="WZJ93" t="s">
        <v>113</v>
      </c>
      <c r="WZK93" t="s">
        <v>398</v>
      </c>
      <c r="WZL93">
        <v>1</v>
      </c>
      <c r="WZM93" t="s">
        <v>438</v>
      </c>
      <c r="WZN93" t="s">
        <v>440</v>
      </c>
      <c r="WZO93" t="s">
        <v>428</v>
      </c>
      <c r="WZQ93" t="s">
        <v>114</v>
      </c>
      <c r="WZR93" t="s">
        <v>113</v>
      </c>
      <c r="WZS93" t="s">
        <v>398</v>
      </c>
      <c r="WZT93">
        <v>1</v>
      </c>
      <c r="WZU93" t="s">
        <v>438</v>
      </c>
      <c r="WZV93" t="s">
        <v>440</v>
      </c>
      <c r="WZW93" t="s">
        <v>428</v>
      </c>
      <c r="WZY93" t="s">
        <v>114</v>
      </c>
      <c r="WZZ93" t="s">
        <v>113</v>
      </c>
      <c r="XAA93" t="s">
        <v>398</v>
      </c>
      <c r="XAB93">
        <v>1</v>
      </c>
      <c r="XAC93" t="s">
        <v>438</v>
      </c>
      <c r="XAD93" t="s">
        <v>440</v>
      </c>
      <c r="XAE93" t="s">
        <v>428</v>
      </c>
      <c r="XAG93" t="s">
        <v>114</v>
      </c>
      <c r="XAH93" t="s">
        <v>113</v>
      </c>
      <c r="XAI93" t="s">
        <v>398</v>
      </c>
      <c r="XAJ93">
        <v>1</v>
      </c>
      <c r="XAK93" t="s">
        <v>438</v>
      </c>
      <c r="XAL93" t="s">
        <v>440</v>
      </c>
      <c r="XAM93" t="s">
        <v>428</v>
      </c>
      <c r="XAO93" t="s">
        <v>114</v>
      </c>
      <c r="XAP93" t="s">
        <v>113</v>
      </c>
      <c r="XAQ93" t="s">
        <v>398</v>
      </c>
      <c r="XAR93">
        <v>1</v>
      </c>
      <c r="XAS93" t="s">
        <v>438</v>
      </c>
      <c r="XAT93" t="s">
        <v>440</v>
      </c>
      <c r="XAU93" t="s">
        <v>428</v>
      </c>
      <c r="XAW93" t="s">
        <v>114</v>
      </c>
      <c r="XAX93" t="s">
        <v>113</v>
      </c>
      <c r="XAY93" t="s">
        <v>398</v>
      </c>
      <c r="XAZ93">
        <v>1</v>
      </c>
      <c r="XBA93" t="s">
        <v>438</v>
      </c>
      <c r="XBB93" t="s">
        <v>440</v>
      </c>
      <c r="XBC93" t="s">
        <v>428</v>
      </c>
      <c r="XBE93" t="s">
        <v>114</v>
      </c>
      <c r="XBF93" t="s">
        <v>113</v>
      </c>
      <c r="XBG93" t="s">
        <v>398</v>
      </c>
      <c r="XBH93">
        <v>1</v>
      </c>
      <c r="XBI93" t="s">
        <v>438</v>
      </c>
      <c r="XBJ93" t="s">
        <v>440</v>
      </c>
      <c r="XBK93" t="s">
        <v>428</v>
      </c>
      <c r="XBM93" t="s">
        <v>114</v>
      </c>
      <c r="XBN93" t="s">
        <v>113</v>
      </c>
      <c r="XBO93" t="s">
        <v>398</v>
      </c>
      <c r="XBP93">
        <v>1</v>
      </c>
      <c r="XBQ93" t="s">
        <v>438</v>
      </c>
      <c r="XBR93" t="s">
        <v>440</v>
      </c>
      <c r="XBS93" t="s">
        <v>428</v>
      </c>
      <c r="XBU93" t="s">
        <v>114</v>
      </c>
      <c r="XBV93" t="s">
        <v>113</v>
      </c>
      <c r="XBW93" t="s">
        <v>398</v>
      </c>
      <c r="XBX93">
        <v>1</v>
      </c>
      <c r="XBY93" t="s">
        <v>438</v>
      </c>
      <c r="XBZ93" t="s">
        <v>440</v>
      </c>
      <c r="XCA93" t="s">
        <v>428</v>
      </c>
      <c r="XCC93" t="s">
        <v>114</v>
      </c>
      <c r="XCD93" t="s">
        <v>113</v>
      </c>
      <c r="XCE93" t="s">
        <v>398</v>
      </c>
      <c r="XCF93">
        <v>1</v>
      </c>
      <c r="XCG93" t="s">
        <v>438</v>
      </c>
      <c r="XCH93" t="s">
        <v>440</v>
      </c>
      <c r="XCI93" t="s">
        <v>428</v>
      </c>
      <c r="XCK93" t="s">
        <v>114</v>
      </c>
      <c r="XCL93" t="s">
        <v>113</v>
      </c>
      <c r="XCM93" t="s">
        <v>398</v>
      </c>
      <c r="XCN93">
        <v>1</v>
      </c>
      <c r="XCO93" t="s">
        <v>438</v>
      </c>
      <c r="XCP93" t="s">
        <v>440</v>
      </c>
      <c r="XCQ93" t="s">
        <v>428</v>
      </c>
      <c r="XCS93" t="s">
        <v>114</v>
      </c>
      <c r="XCT93" t="s">
        <v>113</v>
      </c>
      <c r="XCU93" t="s">
        <v>398</v>
      </c>
      <c r="XCV93">
        <v>1</v>
      </c>
      <c r="XCW93" t="s">
        <v>438</v>
      </c>
      <c r="XCX93" t="s">
        <v>440</v>
      </c>
      <c r="XCY93" t="s">
        <v>428</v>
      </c>
      <c r="XDA93" t="s">
        <v>114</v>
      </c>
      <c r="XDB93" t="s">
        <v>113</v>
      </c>
      <c r="XDC93" t="s">
        <v>398</v>
      </c>
      <c r="XDD93">
        <v>1</v>
      </c>
      <c r="XDE93" t="s">
        <v>438</v>
      </c>
      <c r="XDF93" t="s">
        <v>440</v>
      </c>
      <c r="XDG93" t="s">
        <v>428</v>
      </c>
      <c r="XDI93" t="s">
        <v>114</v>
      </c>
      <c r="XDJ93" t="s">
        <v>113</v>
      </c>
      <c r="XDK93" t="s">
        <v>398</v>
      </c>
      <c r="XDL93">
        <v>1</v>
      </c>
      <c r="XDM93" t="s">
        <v>438</v>
      </c>
      <c r="XDN93" t="s">
        <v>440</v>
      </c>
      <c r="XDO93" t="s">
        <v>428</v>
      </c>
      <c r="XDQ93" t="s">
        <v>114</v>
      </c>
      <c r="XDR93" t="s">
        <v>113</v>
      </c>
      <c r="XDS93" t="s">
        <v>398</v>
      </c>
      <c r="XDT93">
        <v>1</v>
      </c>
      <c r="XDU93" t="s">
        <v>438</v>
      </c>
      <c r="XDV93" t="s">
        <v>440</v>
      </c>
      <c r="XDW93" t="s">
        <v>428</v>
      </c>
      <c r="XDY93" t="s">
        <v>114</v>
      </c>
      <c r="XDZ93" t="s">
        <v>113</v>
      </c>
      <c r="XEA93" t="s">
        <v>398</v>
      </c>
      <c r="XEB93">
        <v>1</v>
      </c>
      <c r="XEC93" t="s">
        <v>438</v>
      </c>
      <c r="XED93" t="s">
        <v>440</v>
      </c>
      <c r="XEE93" t="s">
        <v>428</v>
      </c>
      <c r="XEG93" t="s">
        <v>114</v>
      </c>
      <c r="XEH93" t="s">
        <v>113</v>
      </c>
      <c r="XEI93" t="s">
        <v>398</v>
      </c>
      <c r="XEJ93">
        <v>1</v>
      </c>
      <c r="XEK93" t="s">
        <v>438</v>
      </c>
      <c r="XEL93" t="s">
        <v>440</v>
      </c>
      <c r="XEM93" t="s">
        <v>428</v>
      </c>
      <c r="XEO93" t="s">
        <v>114</v>
      </c>
      <c r="XEP93" t="s">
        <v>113</v>
      </c>
      <c r="XEQ93" t="s">
        <v>398</v>
      </c>
      <c r="XER93">
        <v>1</v>
      </c>
      <c r="XES93" t="s">
        <v>438</v>
      </c>
      <c r="XET93" t="s">
        <v>440</v>
      </c>
      <c r="XEU93" t="s">
        <v>428</v>
      </c>
      <c r="XEW93" t="s">
        <v>114</v>
      </c>
      <c r="XEX93" t="s">
        <v>113</v>
      </c>
      <c r="XEY93" t="s">
        <v>398</v>
      </c>
      <c r="XEZ93">
        <v>1</v>
      </c>
      <c r="XFA93" t="s">
        <v>438</v>
      </c>
      <c r="XFB93" t="s">
        <v>440</v>
      </c>
      <c r="XFC93" t="s">
        <v>428</v>
      </c>
    </row>
    <row r="94" spans="1:1023 1025:2047 2049:3071 3073:4095 4097:5119 5121:6143 6145:7167 7169:8191 8193:9215 9217:10239 10241:11263 11265:12287 12289:13311 13313:14335 14337:15359 15361:16383" ht="15" customHeight="1" x14ac:dyDescent="0.2">
      <c r="A94" s="57" t="s">
        <v>104</v>
      </c>
      <c r="B94" s="57" t="s">
        <v>103</v>
      </c>
      <c r="C94" s="57" t="s">
        <v>398</v>
      </c>
      <c r="D94" s="57">
        <v>1</v>
      </c>
      <c r="E94" s="57" t="s">
        <v>438</v>
      </c>
      <c r="F94" s="57" t="s">
        <v>439</v>
      </c>
      <c r="G94" s="57" t="s">
        <v>428</v>
      </c>
    </row>
    <row r="95" spans="1:1023 1025:2047 2049:3071 3073:4095 4097:5119 5121:6143 6145:7167 7169:8191 8193:9215 9217:10239 10241:11263 11265:12287 12289:13311 13313:14335 14337:15359 15361:16383" ht="15" customHeight="1" x14ac:dyDescent="0.2">
      <c r="A95" s="57" t="s">
        <v>114</v>
      </c>
      <c r="B95" s="57" t="s">
        <v>113</v>
      </c>
      <c r="C95" s="57" t="s">
        <v>398</v>
      </c>
      <c r="D95" s="57">
        <v>1</v>
      </c>
      <c r="E95" s="57" t="s">
        <v>438</v>
      </c>
      <c r="F95" s="57" t="s">
        <v>440</v>
      </c>
      <c r="G95" s="57" t="s">
        <v>428</v>
      </c>
    </row>
    <row r="96" spans="1:1023 1025:2047 2049:3071 3073:4095 4097:5119 5121:6143 6145:7167 7169:8191 8193:9215 9217:10239 10241:11263 11265:12287 12289:13311 13313:14335 14337:15359 15361:16383" s="57" customFormat="1" ht="15" customHeight="1" x14ac:dyDescent="0.2">
      <c r="A96" s="57" t="s">
        <v>132</v>
      </c>
      <c r="B96" s="57" t="s">
        <v>130</v>
      </c>
      <c r="C96" s="57" t="s">
        <v>74</v>
      </c>
      <c r="D96" s="57">
        <v>1</v>
      </c>
      <c r="E96" s="57" t="s">
        <v>441</v>
      </c>
      <c r="F96" s="57" t="s">
        <v>442</v>
      </c>
      <c r="G96" s="57" t="s">
        <v>443</v>
      </c>
      <c r="H96" s="60"/>
      <c r="I96" s="60"/>
      <c r="J96" s="60"/>
      <c r="K96" s="60"/>
      <c r="L96" s="60"/>
      <c r="M96" s="60"/>
      <c r="N96" s="60"/>
      <c r="O96" s="60"/>
      <c r="P96" s="60"/>
      <c r="Q96" s="6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0"/>
      <c r="AZ96" s="60"/>
      <c r="BA96" s="60"/>
      <c r="BB96" s="60"/>
      <c r="BC96" s="60"/>
      <c r="BD96" s="60"/>
      <c r="BE96" s="60"/>
      <c r="BF96" s="60"/>
      <c r="BG96" s="60"/>
      <c r="BH96" s="60"/>
      <c r="BI96" s="60"/>
      <c r="BJ96" s="60"/>
      <c r="BK96" s="60"/>
      <c r="BL96" s="60"/>
      <c r="BM96" s="60"/>
      <c r="BN96" s="60"/>
      <c r="BO96" s="60"/>
      <c r="BP96" s="60"/>
      <c r="BQ96" s="60"/>
      <c r="BR96" s="60"/>
      <c r="BS96" s="60"/>
      <c r="BT96" s="60"/>
      <c r="BU96" s="60"/>
      <c r="BV96" s="60"/>
      <c r="BW96" s="60"/>
      <c r="BX96" s="60"/>
      <c r="BY96" s="60"/>
      <c r="BZ96" s="60"/>
      <c r="CA96" s="60"/>
      <c r="CB96" s="60"/>
      <c r="CC96" s="60"/>
      <c r="CD96" s="60"/>
      <c r="CE96" s="60"/>
      <c r="CF96" s="60"/>
      <c r="CG96" s="60"/>
    </row>
    <row r="97" spans="1:85" s="57" customFormat="1" ht="15" customHeight="1" x14ac:dyDescent="0.2">
      <c r="A97" s="57" t="s">
        <v>134</v>
      </c>
      <c r="B97" s="57" t="s">
        <v>133</v>
      </c>
      <c r="C97" s="57" t="s">
        <v>74</v>
      </c>
      <c r="D97" s="57">
        <v>1</v>
      </c>
      <c r="E97" s="57" t="s">
        <v>444</v>
      </c>
      <c r="F97" s="57" t="s">
        <v>445</v>
      </c>
      <c r="G97" s="57" t="s">
        <v>443</v>
      </c>
      <c r="H97" s="60"/>
      <c r="I97" s="60"/>
      <c r="J97" s="60"/>
      <c r="K97" s="60"/>
      <c r="L97" s="60"/>
      <c r="M97" s="60"/>
      <c r="N97" s="60"/>
      <c r="O97" s="60"/>
      <c r="P97" s="60"/>
      <c r="Q97" s="6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0"/>
      <c r="AY97" s="60"/>
      <c r="AZ97" s="60"/>
      <c r="BA97" s="60"/>
      <c r="BB97" s="60"/>
      <c r="BC97" s="60"/>
      <c r="BD97" s="60"/>
      <c r="BE97" s="60"/>
      <c r="BF97" s="60"/>
      <c r="BG97" s="60"/>
      <c r="BH97" s="60"/>
      <c r="BI97" s="60"/>
      <c r="BJ97" s="60"/>
      <c r="BK97" s="60"/>
      <c r="BL97" s="60"/>
      <c r="BM97" s="60"/>
      <c r="BN97" s="60"/>
      <c r="BO97" s="60"/>
      <c r="BP97" s="60"/>
      <c r="BQ97" s="60"/>
      <c r="BR97" s="60"/>
      <c r="BS97" s="60"/>
      <c r="BT97" s="60"/>
      <c r="BU97" s="60"/>
      <c r="BV97" s="60"/>
      <c r="BW97" s="60"/>
      <c r="BX97" s="60"/>
      <c r="BY97" s="60"/>
      <c r="BZ97" s="60"/>
      <c r="CA97" s="60"/>
      <c r="CB97" s="60"/>
      <c r="CC97" s="60"/>
      <c r="CD97" s="60"/>
      <c r="CE97" s="60"/>
      <c r="CF97" s="60"/>
      <c r="CG97" s="60"/>
    </row>
    <row r="98" spans="1:85" s="57" customFormat="1" ht="15" customHeight="1" x14ac:dyDescent="0.2">
      <c r="A98" s="57" t="s">
        <v>148</v>
      </c>
      <c r="B98" s="57" t="s">
        <v>147</v>
      </c>
      <c r="C98" s="57" t="s">
        <v>74</v>
      </c>
      <c r="D98" s="57">
        <v>1</v>
      </c>
      <c r="E98" s="57" t="s">
        <v>446</v>
      </c>
      <c r="F98" s="57" t="s">
        <v>447</v>
      </c>
      <c r="G98" s="57" t="s">
        <v>443</v>
      </c>
      <c r="H98" s="60"/>
      <c r="I98" s="60"/>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0"/>
      <c r="AZ98" s="60"/>
      <c r="BA98" s="60"/>
      <c r="BB98" s="60"/>
      <c r="BC98" s="60"/>
      <c r="BD98" s="60"/>
      <c r="BE98" s="60"/>
      <c r="BF98" s="60"/>
      <c r="BG98" s="60"/>
      <c r="BH98" s="60"/>
      <c r="BI98" s="60"/>
      <c r="BJ98" s="60"/>
      <c r="BK98" s="60"/>
      <c r="BL98" s="60"/>
      <c r="BM98" s="60"/>
      <c r="BN98" s="60"/>
      <c r="BO98" s="60"/>
      <c r="BP98" s="60"/>
      <c r="BQ98" s="60"/>
      <c r="BR98" s="60"/>
      <c r="BS98" s="60"/>
      <c r="BT98" s="60"/>
      <c r="BU98" s="60"/>
      <c r="BV98" s="60"/>
      <c r="BW98" s="60"/>
      <c r="BX98" s="60"/>
      <c r="BY98" s="60"/>
      <c r="BZ98" s="60"/>
      <c r="CA98" s="60"/>
      <c r="CB98" s="60"/>
      <c r="CC98" s="60"/>
      <c r="CD98" s="60"/>
      <c r="CE98" s="60"/>
      <c r="CF98" s="60"/>
      <c r="CG98" s="60"/>
    </row>
    <row r="99" spans="1:85" s="57" customFormat="1" ht="15" customHeight="1" x14ac:dyDescent="0.2">
      <c r="A99" s="57" t="s">
        <v>123</v>
      </c>
      <c r="B99" s="57" t="s">
        <v>121</v>
      </c>
      <c r="C99" s="57" t="s">
        <v>74</v>
      </c>
      <c r="D99" s="57">
        <v>1</v>
      </c>
      <c r="E99" s="57" t="s">
        <v>448</v>
      </c>
      <c r="F99" s="57" t="s">
        <v>449</v>
      </c>
      <c r="G99" s="57" t="s">
        <v>443</v>
      </c>
      <c r="H99" s="60"/>
      <c r="I99" s="60"/>
      <c r="J99" s="60"/>
      <c r="K99" s="60"/>
      <c r="L99" s="60"/>
      <c r="M99" s="60"/>
      <c r="N99" s="60"/>
      <c r="O99" s="60"/>
      <c r="P99" s="60"/>
      <c r="Q99" s="6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0"/>
      <c r="AT99" s="60"/>
      <c r="AU99" s="60"/>
      <c r="AV99" s="60"/>
      <c r="AW99" s="60"/>
      <c r="AX99" s="60"/>
      <c r="AY99" s="60"/>
      <c r="AZ99" s="60"/>
      <c r="BA99" s="60"/>
      <c r="BB99" s="60"/>
      <c r="BC99" s="60"/>
      <c r="BD99" s="60"/>
      <c r="BE99" s="60"/>
      <c r="BF99" s="60"/>
      <c r="BG99" s="60"/>
      <c r="BH99" s="60"/>
      <c r="BI99" s="60"/>
      <c r="BJ99" s="60"/>
      <c r="BK99" s="60"/>
      <c r="BL99" s="60"/>
      <c r="BM99" s="60"/>
      <c r="BN99" s="60"/>
      <c r="BO99" s="60"/>
      <c r="BP99" s="60"/>
      <c r="BQ99" s="60"/>
      <c r="BR99" s="60"/>
      <c r="BS99" s="60"/>
      <c r="BT99" s="60"/>
      <c r="BU99" s="60"/>
      <c r="BV99" s="60"/>
      <c r="BW99" s="60"/>
      <c r="BX99" s="60"/>
      <c r="BY99" s="60"/>
      <c r="BZ99" s="60"/>
      <c r="CA99" s="60"/>
      <c r="CB99" s="60"/>
      <c r="CC99" s="60"/>
      <c r="CD99" s="60"/>
      <c r="CE99" s="60"/>
      <c r="CF99" s="60"/>
      <c r="CG99" s="60"/>
    </row>
    <row r="100" spans="1:85" s="57" customFormat="1" ht="15" customHeight="1" x14ac:dyDescent="0.2">
      <c r="A100" s="57" t="s">
        <v>125</v>
      </c>
      <c r="B100" s="57" t="s">
        <v>124</v>
      </c>
      <c r="C100" s="57" t="s">
        <v>74</v>
      </c>
      <c r="D100" s="57">
        <v>1</v>
      </c>
      <c r="E100" s="57" t="s">
        <v>450</v>
      </c>
      <c r="F100" s="57" t="s">
        <v>451</v>
      </c>
      <c r="G100" s="57" t="s">
        <v>443</v>
      </c>
      <c r="H100" s="60"/>
      <c r="I100" s="60"/>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0"/>
      <c r="AV100" s="60"/>
      <c r="AW100" s="60"/>
      <c r="AX100" s="60"/>
      <c r="AY100" s="60"/>
      <c r="AZ100" s="60"/>
      <c r="BA100" s="60"/>
      <c r="BB100" s="60"/>
      <c r="BC100" s="60"/>
      <c r="BD100" s="60"/>
      <c r="BE100" s="60"/>
      <c r="BF100" s="60"/>
      <c r="BG100" s="60"/>
      <c r="BH100" s="60"/>
      <c r="BI100" s="60"/>
      <c r="BJ100" s="60"/>
      <c r="BK100" s="60"/>
      <c r="BL100" s="60"/>
      <c r="BM100" s="60"/>
      <c r="BN100" s="60"/>
      <c r="BO100" s="60"/>
      <c r="BP100" s="60"/>
      <c r="BQ100" s="60"/>
      <c r="BR100" s="60"/>
      <c r="BS100" s="60"/>
      <c r="BT100" s="60"/>
      <c r="BU100" s="60"/>
      <c r="BV100" s="60"/>
      <c r="BW100" s="60"/>
      <c r="BX100" s="60"/>
      <c r="BY100" s="60"/>
      <c r="BZ100" s="60"/>
      <c r="CA100" s="60"/>
      <c r="CB100" s="60"/>
      <c r="CC100" s="60"/>
      <c r="CD100" s="60"/>
      <c r="CE100" s="60"/>
      <c r="CF100" s="60"/>
      <c r="CG100" s="60"/>
    </row>
    <row r="101" spans="1:85" s="57" customFormat="1" ht="15" customHeight="1" x14ac:dyDescent="0.2">
      <c r="A101" s="57" t="s">
        <v>106</v>
      </c>
      <c r="B101" s="57" t="s">
        <v>105</v>
      </c>
      <c r="C101" s="57" t="s">
        <v>74</v>
      </c>
      <c r="D101" s="57">
        <v>1</v>
      </c>
      <c r="E101" s="57" t="s">
        <v>452</v>
      </c>
      <c r="F101" s="57" t="s">
        <v>453</v>
      </c>
      <c r="G101" s="57" t="s">
        <v>443</v>
      </c>
      <c r="H101" s="60"/>
      <c r="I101" s="60"/>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c r="AQ101" s="60"/>
      <c r="AR101" s="60"/>
      <c r="AS101" s="60"/>
      <c r="AT101" s="60"/>
      <c r="AU101" s="60"/>
      <c r="AV101" s="60"/>
      <c r="AW101" s="60"/>
      <c r="AX101" s="60"/>
      <c r="AY101" s="60"/>
      <c r="AZ101" s="60"/>
      <c r="BA101" s="60"/>
      <c r="BB101" s="60"/>
      <c r="BC101" s="60"/>
      <c r="BD101" s="60"/>
      <c r="BE101" s="60"/>
      <c r="BF101" s="60"/>
      <c r="BG101" s="60"/>
      <c r="BH101" s="60"/>
      <c r="BI101" s="60"/>
      <c r="BJ101" s="60"/>
      <c r="BK101" s="60"/>
      <c r="BL101" s="60"/>
      <c r="BM101" s="60"/>
      <c r="BN101" s="60"/>
      <c r="BO101" s="60"/>
      <c r="BP101" s="60"/>
      <c r="BQ101" s="60"/>
      <c r="BR101" s="60"/>
      <c r="BS101" s="60"/>
      <c r="BT101" s="60"/>
      <c r="BU101" s="60"/>
      <c r="BV101" s="60"/>
      <c r="BW101" s="60"/>
      <c r="BX101" s="60"/>
      <c r="BY101" s="60"/>
      <c r="BZ101" s="60"/>
      <c r="CA101" s="60"/>
      <c r="CB101" s="60"/>
      <c r="CC101" s="60"/>
      <c r="CD101" s="60"/>
      <c r="CE101" s="60"/>
      <c r="CF101" s="60"/>
      <c r="CG101" s="60"/>
    </row>
    <row r="102" spans="1:85" s="57" customFormat="1" ht="15" customHeight="1" x14ac:dyDescent="0.2">
      <c r="A102" s="57" t="s">
        <v>104</v>
      </c>
      <c r="B102" s="57" t="s">
        <v>103</v>
      </c>
      <c r="C102" s="57" t="s">
        <v>74</v>
      </c>
      <c r="D102" s="57">
        <v>1</v>
      </c>
      <c r="E102" s="57" t="s">
        <v>454</v>
      </c>
      <c r="F102" s="57" t="s">
        <v>455</v>
      </c>
      <c r="G102" s="57" t="s">
        <v>443</v>
      </c>
      <c r="H102" s="60"/>
      <c r="I102" s="60"/>
      <c r="J102" s="60"/>
      <c r="K102" s="60"/>
      <c r="L102" s="60"/>
      <c r="M102" s="60"/>
      <c r="N102" s="60"/>
      <c r="O102" s="60"/>
      <c r="P102" s="60"/>
      <c r="Q102" s="6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0"/>
      <c r="AV102" s="60"/>
      <c r="AW102" s="60"/>
      <c r="AX102" s="60"/>
      <c r="AY102" s="60"/>
      <c r="AZ102" s="60"/>
      <c r="BA102" s="60"/>
      <c r="BB102" s="60"/>
      <c r="BC102" s="60"/>
      <c r="BD102" s="60"/>
      <c r="BE102" s="60"/>
      <c r="BF102" s="60"/>
      <c r="BG102" s="60"/>
      <c r="BH102" s="60"/>
      <c r="BI102" s="60"/>
      <c r="BJ102" s="60"/>
      <c r="BK102" s="60"/>
      <c r="BL102" s="60"/>
      <c r="BM102" s="60"/>
      <c r="BN102" s="60"/>
      <c r="BO102" s="60"/>
      <c r="BP102" s="60"/>
      <c r="BQ102" s="60"/>
      <c r="BR102" s="60"/>
      <c r="BS102" s="60"/>
      <c r="BT102" s="60"/>
      <c r="BU102" s="60"/>
      <c r="BV102" s="60"/>
      <c r="BW102" s="60"/>
      <c r="BX102" s="60"/>
      <c r="BY102" s="60"/>
      <c r="BZ102" s="60"/>
      <c r="CA102" s="60"/>
      <c r="CB102" s="60"/>
      <c r="CC102" s="60"/>
      <c r="CD102" s="60"/>
      <c r="CE102" s="60"/>
      <c r="CF102" s="60"/>
      <c r="CG102" s="60"/>
    </row>
    <row r="103" spans="1:85" s="57" customFormat="1" ht="15" customHeight="1" x14ac:dyDescent="0.2">
      <c r="A103" s="57" t="s">
        <v>114</v>
      </c>
      <c r="B103" s="57" t="s">
        <v>113</v>
      </c>
      <c r="C103" s="57" t="s">
        <v>74</v>
      </c>
      <c r="D103" s="57">
        <v>1</v>
      </c>
      <c r="E103" s="57" t="s">
        <v>456</v>
      </c>
      <c r="F103" s="57" t="s">
        <v>457</v>
      </c>
      <c r="G103" s="57" t="s">
        <v>443</v>
      </c>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0"/>
      <c r="AZ103" s="60"/>
      <c r="BA103" s="60"/>
      <c r="BB103" s="60"/>
      <c r="BC103" s="60"/>
      <c r="BD103" s="60"/>
      <c r="BE103" s="60"/>
      <c r="BF103" s="60"/>
      <c r="BG103" s="60"/>
      <c r="BH103" s="60"/>
      <c r="BI103" s="60"/>
      <c r="BJ103" s="60"/>
      <c r="BK103" s="60"/>
      <c r="BL103" s="60"/>
      <c r="BM103" s="60"/>
      <c r="BN103" s="60"/>
      <c r="BO103" s="60"/>
      <c r="BP103" s="60"/>
      <c r="BQ103" s="60"/>
      <c r="BR103" s="60"/>
      <c r="BS103" s="60"/>
      <c r="BT103" s="60"/>
      <c r="BU103" s="60"/>
      <c r="BV103" s="60"/>
      <c r="BW103" s="60"/>
      <c r="BX103" s="60"/>
      <c r="BY103" s="60"/>
      <c r="BZ103" s="60"/>
      <c r="CA103" s="60"/>
      <c r="CB103" s="60"/>
      <c r="CC103" s="60"/>
      <c r="CD103" s="60"/>
      <c r="CE103" s="60"/>
      <c r="CF103" s="60"/>
      <c r="CG103" s="60"/>
    </row>
    <row r="104" spans="1:85" s="57" customFormat="1" ht="15" customHeight="1" x14ac:dyDescent="0.2">
      <c r="A104" s="57" t="s">
        <v>120</v>
      </c>
      <c r="B104" s="57" t="s">
        <v>119</v>
      </c>
      <c r="C104" s="57" t="s">
        <v>74</v>
      </c>
      <c r="D104" s="57">
        <v>1</v>
      </c>
      <c r="E104" s="57" t="s">
        <v>458</v>
      </c>
      <c r="F104" s="57" t="s">
        <v>459</v>
      </c>
      <c r="G104" s="57" t="s">
        <v>443</v>
      </c>
      <c r="H104" s="60"/>
      <c r="I104" s="60"/>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c r="AQ104" s="60"/>
      <c r="AR104" s="60"/>
      <c r="AS104" s="60"/>
      <c r="AT104" s="60"/>
      <c r="AU104" s="60"/>
      <c r="AV104" s="60"/>
      <c r="AW104" s="60"/>
      <c r="AX104" s="60"/>
      <c r="AY104" s="60"/>
      <c r="AZ104" s="60"/>
      <c r="BA104" s="60"/>
      <c r="BB104" s="60"/>
      <c r="BC104" s="60"/>
      <c r="BD104" s="60"/>
      <c r="BE104" s="60"/>
      <c r="BF104" s="60"/>
      <c r="BG104" s="60"/>
      <c r="BH104" s="60"/>
      <c r="BI104" s="60"/>
      <c r="BJ104" s="60"/>
      <c r="BK104" s="60"/>
      <c r="BL104" s="60"/>
      <c r="BM104" s="60"/>
      <c r="BN104" s="60"/>
      <c r="BO104" s="60"/>
      <c r="BP104" s="60"/>
      <c r="BQ104" s="60"/>
      <c r="BR104" s="60"/>
      <c r="BS104" s="60"/>
      <c r="BT104" s="60"/>
      <c r="BU104" s="60"/>
      <c r="BV104" s="60"/>
      <c r="BW104" s="60"/>
      <c r="BX104" s="60"/>
      <c r="BY104" s="60"/>
      <c r="BZ104" s="60"/>
      <c r="CA104" s="60"/>
      <c r="CB104" s="60"/>
      <c r="CC104" s="60"/>
      <c r="CD104" s="60"/>
      <c r="CE104" s="60"/>
      <c r="CF104" s="60"/>
      <c r="CG104" s="60"/>
    </row>
    <row r="105" spans="1:85" s="57" customFormat="1" ht="15" customHeight="1" x14ac:dyDescent="0.2">
      <c r="A105" s="57" t="s">
        <v>146</v>
      </c>
      <c r="B105" s="57" t="s">
        <v>145</v>
      </c>
      <c r="C105" s="57" t="s">
        <v>74</v>
      </c>
      <c r="D105" s="57">
        <v>1</v>
      </c>
      <c r="E105" s="57" t="s">
        <v>460</v>
      </c>
      <c r="F105" s="57" t="s">
        <v>461</v>
      </c>
      <c r="G105" s="57" t="s">
        <v>443</v>
      </c>
      <c r="H105" s="60"/>
      <c r="I105" s="60"/>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0"/>
      <c r="AZ105" s="60"/>
      <c r="BA105" s="60"/>
      <c r="BB105" s="60"/>
      <c r="BC105" s="60"/>
      <c r="BD105" s="60"/>
      <c r="BE105" s="60"/>
      <c r="BF105" s="60"/>
      <c r="BG105" s="60"/>
      <c r="BH105" s="60"/>
      <c r="BI105" s="60"/>
      <c r="BJ105" s="60"/>
      <c r="BK105" s="60"/>
      <c r="BL105" s="60"/>
      <c r="BM105" s="60"/>
      <c r="BN105" s="60"/>
      <c r="BO105" s="60"/>
      <c r="BP105" s="60"/>
      <c r="BQ105" s="60"/>
      <c r="BR105" s="60"/>
      <c r="BS105" s="60"/>
      <c r="BT105" s="60"/>
      <c r="BU105" s="60"/>
      <c r="BV105" s="60"/>
      <c r="BW105" s="60"/>
      <c r="BX105" s="60"/>
      <c r="BY105" s="60"/>
      <c r="BZ105" s="60"/>
      <c r="CA105" s="60"/>
      <c r="CB105" s="60"/>
      <c r="CC105" s="60"/>
      <c r="CD105" s="60"/>
      <c r="CE105" s="60"/>
      <c r="CF105" s="60"/>
      <c r="CG105" s="60"/>
    </row>
    <row r="106" spans="1:85" s="57" customFormat="1" ht="15" customHeight="1" x14ac:dyDescent="0.2">
      <c r="A106" s="57" t="s">
        <v>462</v>
      </c>
      <c r="B106" s="57" t="s">
        <v>135</v>
      </c>
      <c r="C106" s="57" t="s">
        <v>74</v>
      </c>
      <c r="D106" s="57">
        <v>1</v>
      </c>
      <c r="E106" s="57" t="s">
        <v>463</v>
      </c>
      <c r="F106" s="57" t="s">
        <v>464</v>
      </c>
      <c r="G106" s="57" t="s">
        <v>443</v>
      </c>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0"/>
      <c r="AZ106" s="60"/>
      <c r="BA106" s="60"/>
      <c r="BB106" s="60"/>
      <c r="BC106" s="60"/>
      <c r="BD106" s="60"/>
      <c r="BE106" s="60"/>
      <c r="BF106" s="60"/>
      <c r="BG106" s="60"/>
      <c r="BH106" s="60"/>
      <c r="BI106" s="60"/>
      <c r="BJ106" s="60"/>
      <c r="BK106" s="60"/>
      <c r="BL106" s="60"/>
      <c r="BM106" s="60"/>
      <c r="BN106" s="60"/>
      <c r="BO106" s="60"/>
      <c r="BP106" s="60"/>
      <c r="BQ106" s="60"/>
      <c r="BR106" s="60"/>
      <c r="BS106" s="60"/>
      <c r="BT106" s="60"/>
      <c r="BU106" s="60"/>
      <c r="BV106" s="60"/>
      <c r="BW106" s="60"/>
      <c r="BX106" s="60"/>
      <c r="BY106" s="60"/>
      <c r="BZ106" s="60"/>
      <c r="CA106" s="60"/>
      <c r="CB106" s="60"/>
      <c r="CC106" s="60"/>
      <c r="CD106" s="60"/>
      <c r="CE106" s="60"/>
      <c r="CF106" s="60"/>
      <c r="CG106" s="60"/>
    </row>
    <row r="107" spans="1:85" ht="15" customHeight="1" x14ac:dyDescent="0.2">
      <c r="A107" s="57" t="s">
        <v>106</v>
      </c>
      <c r="B107" s="57" t="s">
        <v>105</v>
      </c>
      <c r="C107" s="57" t="s">
        <v>76</v>
      </c>
      <c r="D107" s="57">
        <v>2</v>
      </c>
      <c r="E107" s="57" t="s">
        <v>465</v>
      </c>
      <c r="F107" s="57" t="s">
        <v>466</v>
      </c>
      <c r="G107" s="57" t="s">
        <v>467</v>
      </c>
    </row>
    <row r="108" spans="1:85" ht="15" customHeight="1" x14ac:dyDescent="0.2">
      <c r="A108" s="57" t="s">
        <v>104</v>
      </c>
      <c r="B108" s="57" t="s">
        <v>103</v>
      </c>
      <c r="C108" s="57" t="s">
        <v>76</v>
      </c>
      <c r="D108" s="57">
        <v>2</v>
      </c>
      <c r="E108" s="57" t="s">
        <v>468</v>
      </c>
      <c r="F108" s="57" t="s">
        <v>469</v>
      </c>
      <c r="G108" s="57" t="s">
        <v>467</v>
      </c>
    </row>
    <row r="109" spans="1:85" ht="15" customHeight="1" x14ac:dyDescent="0.2">
      <c r="A109" s="57" t="s">
        <v>102</v>
      </c>
      <c r="B109" s="57" t="s">
        <v>101</v>
      </c>
      <c r="C109" s="57" t="s">
        <v>76</v>
      </c>
      <c r="D109" s="57">
        <v>1</v>
      </c>
      <c r="E109" s="57" t="s">
        <v>470</v>
      </c>
      <c r="F109" s="57" t="s">
        <v>471</v>
      </c>
      <c r="G109" s="57" t="s">
        <v>467</v>
      </c>
    </row>
    <row r="110" spans="1:85" ht="15" customHeight="1" x14ac:dyDescent="0.2">
      <c r="A110" s="57" t="s">
        <v>99</v>
      </c>
      <c r="B110" s="57" t="s">
        <v>97</v>
      </c>
      <c r="C110" s="57" t="s">
        <v>76</v>
      </c>
      <c r="D110" s="57">
        <v>1</v>
      </c>
      <c r="E110" s="57" t="s">
        <v>472</v>
      </c>
      <c r="F110" s="57" t="s">
        <v>473</v>
      </c>
      <c r="G110" s="57" t="s">
        <v>467</v>
      </c>
    </row>
    <row r="111" spans="1:85" ht="15" customHeight="1" x14ac:dyDescent="0.2">
      <c r="A111" s="57" t="s">
        <v>114</v>
      </c>
      <c r="B111" s="57" t="s">
        <v>113</v>
      </c>
      <c r="C111" s="57" t="s">
        <v>76</v>
      </c>
      <c r="D111" s="57">
        <v>2</v>
      </c>
      <c r="E111" s="57" t="s">
        <v>474</v>
      </c>
      <c r="F111" s="57" t="s">
        <v>475</v>
      </c>
      <c r="G111" s="57" t="s">
        <v>467</v>
      </c>
    </row>
    <row r="112" spans="1:85" ht="15" customHeight="1" x14ac:dyDescent="0.2">
      <c r="A112" s="57" t="s">
        <v>108</v>
      </c>
      <c r="B112" s="57" t="s">
        <v>107</v>
      </c>
      <c r="C112" s="57" t="s">
        <v>76</v>
      </c>
      <c r="D112" s="57">
        <v>1</v>
      </c>
      <c r="E112" s="57" t="s">
        <v>476</v>
      </c>
      <c r="F112" s="57" t="s">
        <v>477</v>
      </c>
      <c r="G112" s="57" t="s">
        <v>467</v>
      </c>
    </row>
    <row r="113" spans="1:85" ht="15" customHeight="1" x14ac:dyDescent="0.2">
      <c r="A113" s="57" t="s">
        <v>112</v>
      </c>
      <c r="B113" s="57" t="s">
        <v>111</v>
      </c>
      <c r="C113" s="57" t="s">
        <v>76</v>
      </c>
      <c r="D113" s="57">
        <v>2</v>
      </c>
      <c r="E113" s="57" t="s">
        <v>478</v>
      </c>
      <c r="F113" s="57" t="s">
        <v>479</v>
      </c>
      <c r="G113" s="57" t="s">
        <v>467</v>
      </c>
    </row>
    <row r="114" spans="1:85" ht="15" customHeight="1" x14ac:dyDescent="0.2">
      <c r="A114" s="57" t="s">
        <v>153</v>
      </c>
      <c r="B114" s="57" t="s">
        <v>330</v>
      </c>
      <c r="C114" s="57" t="s">
        <v>76</v>
      </c>
      <c r="D114" s="57">
        <v>1</v>
      </c>
      <c r="E114" s="57" t="s">
        <v>480</v>
      </c>
      <c r="F114" s="57" t="s">
        <v>481</v>
      </c>
      <c r="G114" s="57" t="s">
        <v>467</v>
      </c>
    </row>
    <row r="115" spans="1:85" ht="15" customHeight="1" x14ac:dyDescent="0.2">
      <c r="A115" s="57" t="s">
        <v>164</v>
      </c>
      <c r="B115" s="57" t="s">
        <v>234</v>
      </c>
      <c r="C115" s="57" t="s">
        <v>76</v>
      </c>
      <c r="D115" s="57">
        <v>0</v>
      </c>
      <c r="E115" s="57" t="s">
        <v>482</v>
      </c>
      <c r="F115" s="57" t="s">
        <v>483</v>
      </c>
      <c r="G115" s="57" t="s">
        <v>467</v>
      </c>
    </row>
    <row r="116" spans="1:85" ht="15" customHeight="1" x14ac:dyDescent="0.2">
      <c r="A116" s="57" t="s">
        <v>104</v>
      </c>
      <c r="B116" s="57" t="s">
        <v>103</v>
      </c>
      <c r="C116" s="57" t="s">
        <v>77</v>
      </c>
      <c r="D116" s="57">
        <v>2</v>
      </c>
      <c r="E116" s="57" t="s">
        <v>484</v>
      </c>
      <c r="F116" s="57" t="s">
        <v>485</v>
      </c>
      <c r="G116" s="57" t="s">
        <v>486</v>
      </c>
    </row>
    <row r="117" spans="1:85" ht="15" customHeight="1" x14ac:dyDescent="0.2">
      <c r="A117" s="57" t="s">
        <v>106</v>
      </c>
      <c r="B117" s="57" t="s">
        <v>105</v>
      </c>
      <c r="C117" s="57" t="s">
        <v>77</v>
      </c>
      <c r="D117" s="57">
        <v>2</v>
      </c>
      <c r="E117" s="57" t="s">
        <v>487</v>
      </c>
      <c r="F117" s="57" t="s">
        <v>488</v>
      </c>
      <c r="G117" s="57" t="s">
        <v>486</v>
      </c>
    </row>
    <row r="118" spans="1:85" ht="15" customHeight="1" x14ac:dyDescent="0.2">
      <c r="A118" s="57" t="s">
        <v>114</v>
      </c>
      <c r="B118" s="57" t="s">
        <v>113</v>
      </c>
      <c r="C118" s="57" t="s">
        <v>77</v>
      </c>
      <c r="D118" s="57">
        <v>2</v>
      </c>
      <c r="E118" s="57" t="s">
        <v>489</v>
      </c>
      <c r="F118" s="57" t="s">
        <v>490</v>
      </c>
      <c r="G118" s="57" t="s">
        <v>486</v>
      </c>
    </row>
    <row r="119" spans="1:85" ht="15" customHeight="1" x14ac:dyDescent="0.2">
      <c r="A119" s="57" t="s">
        <v>120</v>
      </c>
      <c r="B119" s="57" t="s">
        <v>119</v>
      </c>
      <c r="C119" s="57" t="s">
        <v>77</v>
      </c>
      <c r="D119" s="57">
        <v>2</v>
      </c>
      <c r="E119" s="57" t="s">
        <v>491</v>
      </c>
      <c r="F119" s="57" t="s">
        <v>492</v>
      </c>
      <c r="G119" s="57" t="s">
        <v>486</v>
      </c>
    </row>
    <row r="120" spans="1:85" ht="15" customHeight="1" x14ac:dyDescent="0.2">
      <c r="A120" s="57" t="s">
        <v>116</v>
      </c>
      <c r="B120" s="57" t="s">
        <v>115</v>
      </c>
      <c r="C120" s="57" t="s">
        <v>77</v>
      </c>
      <c r="D120" s="57">
        <v>1</v>
      </c>
      <c r="E120" s="57" t="s">
        <v>493</v>
      </c>
      <c r="F120" s="57" t="s">
        <v>494</v>
      </c>
      <c r="G120" s="57" t="s">
        <v>486</v>
      </c>
    </row>
    <row r="121" spans="1:85" ht="15" customHeight="1" x14ac:dyDescent="0.2">
      <c r="A121" s="57" t="s">
        <v>153</v>
      </c>
      <c r="B121" s="57" t="s">
        <v>330</v>
      </c>
      <c r="C121" s="57" t="s">
        <v>77</v>
      </c>
      <c r="D121" s="57">
        <v>1</v>
      </c>
      <c r="E121" s="57" t="s">
        <v>495</v>
      </c>
      <c r="F121" s="57" t="s">
        <v>496</v>
      </c>
      <c r="G121" s="57" t="s">
        <v>486</v>
      </c>
    </row>
    <row r="122" spans="1:85" ht="15" customHeight="1" x14ac:dyDescent="0.2">
      <c r="A122" s="57" t="s">
        <v>144</v>
      </c>
      <c r="B122" s="57" t="s">
        <v>143</v>
      </c>
      <c r="C122" s="57" t="s">
        <v>77</v>
      </c>
      <c r="D122" s="57">
        <v>2</v>
      </c>
      <c r="E122" s="57" t="s">
        <v>497</v>
      </c>
      <c r="F122" s="57" t="s">
        <v>498</v>
      </c>
      <c r="G122" s="57" t="s">
        <v>486</v>
      </c>
    </row>
    <row r="123" spans="1:85" ht="15" customHeight="1" x14ac:dyDescent="0.2">
      <c r="A123" s="57" t="s">
        <v>134</v>
      </c>
      <c r="B123" s="57" t="s">
        <v>133</v>
      </c>
      <c r="C123" s="57" t="s">
        <v>77</v>
      </c>
      <c r="D123" s="57">
        <v>2</v>
      </c>
      <c r="E123" s="57" t="s">
        <v>499</v>
      </c>
      <c r="F123" s="57" t="s">
        <v>500</v>
      </c>
      <c r="G123" s="57" t="s">
        <v>486</v>
      </c>
    </row>
    <row r="124" spans="1:85" ht="15" customHeight="1" x14ac:dyDescent="0.2">
      <c r="A124" s="57" t="s">
        <v>132</v>
      </c>
      <c r="B124" s="57" t="s">
        <v>130</v>
      </c>
      <c r="C124" s="57" t="s">
        <v>77</v>
      </c>
      <c r="D124" s="57">
        <v>0</v>
      </c>
      <c r="E124" s="57" t="s">
        <v>501</v>
      </c>
      <c r="F124" s="57" t="s">
        <v>502</v>
      </c>
      <c r="G124" s="57" t="s">
        <v>486</v>
      </c>
    </row>
    <row r="125" spans="1:85" ht="15" customHeight="1" x14ac:dyDescent="0.2">
      <c r="A125" s="57" t="s">
        <v>127</v>
      </c>
      <c r="B125" s="57" t="s">
        <v>126</v>
      </c>
      <c r="C125" s="57" t="s">
        <v>77</v>
      </c>
      <c r="D125" s="57">
        <v>2</v>
      </c>
      <c r="E125" s="57" t="s">
        <v>503</v>
      </c>
      <c r="F125" s="57" t="s">
        <v>504</v>
      </c>
      <c r="G125" s="57" t="s">
        <v>486</v>
      </c>
    </row>
    <row r="126" spans="1:85" s="57" customFormat="1" ht="15" customHeight="1" x14ac:dyDescent="0.2">
      <c r="A126" s="57" t="s">
        <v>118</v>
      </c>
      <c r="B126" s="57" t="s">
        <v>117</v>
      </c>
      <c r="C126" s="57" t="s">
        <v>77</v>
      </c>
      <c r="D126" s="57">
        <v>1</v>
      </c>
      <c r="E126" s="57" t="s">
        <v>505</v>
      </c>
      <c r="F126" s="57" t="s">
        <v>506</v>
      </c>
      <c r="G126" s="57" t="s">
        <v>507</v>
      </c>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c r="AS126" s="60"/>
      <c r="AT126" s="60"/>
      <c r="AU126" s="60"/>
      <c r="AV126" s="60"/>
      <c r="AW126" s="60"/>
      <c r="AX126" s="60"/>
      <c r="AY126" s="60"/>
      <c r="AZ126" s="60"/>
      <c r="BA126" s="60"/>
      <c r="BB126" s="60"/>
      <c r="BC126" s="60"/>
      <c r="BD126" s="60"/>
      <c r="BE126" s="60"/>
      <c r="BF126" s="60"/>
      <c r="BG126" s="60"/>
      <c r="BH126" s="60"/>
      <c r="BI126" s="60"/>
      <c r="BJ126" s="60"/>
      <c r="BK126" s="60"/>
      <c r="BL126" s="60"/>
      <c r="BM126" s="60"/>
      <c r="BN126" s="60"/>
      <c r="BO126" s="60"/>
      <c r="BP126" s="60"/>
      <c r="BQ126" s="60"/>
      <c r="BR126" s="60"/>
      <c r="BS126" s="60"/>
      <c r="BT126" s="60"/>
      <c r="BU126" s="60"/>
      <c r="BV126" s="60"/>
      <c r="BW126" s="60"/>
      <c r="BX126" s="60"/>
      <c r="BY126" s="60"/>
      <c r="BZ126" s="60"/>
      <c r="CA126" s="60"/>
      <c r="CB126" s="60"/>
      <c r="CC126" s="60"/>
      <c r="CD126" s="60"/>
      <c r="CE126" s="60"/>
      <c r="CF126" s="60"/>
      <c r="CG126" s="60"/>
    </row>
    <row r="127" spans="1:85" s="57" customFormat="1" ht="15" customHeight="1" x14ac:dyDescent="0.2">
      <c r="A127" s="57" t="s">
        <v>99</v>
      </c>
      <c r="B127" s="57" t="s">
        <v>97</v>
      </c>
      <c r="C127" s="57" t="s">
        <v>78</v>
      </c>
      <c r="D127" s="57">
        <v>1</v>
      </c>
      <c r="E127" s="57" t="s">
        <v>508</v>
      </c>
      <c r="F127" s="57" t="s">
        <v>509</v>
      </c>
      <c r="G127" s="57" t="s">
        <v>507</v>
      </c>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c r="AO127" s="60"/>
      <c r="AP127" s="60"/>
      <c r="AQ127" s="60"/>
      <c r="AR127" s="60"/>
      <c r="AS127" s="60"/>
      <c r="AT127" s="60"/>
      <c r="AU127" s="60"/>
      <c r="AV127" s="60"/>
      <c r="AW127" s="60"/>
      <c r="AX127" s="60"/>
      <c r="AY127" s="60"/>
      <c r="AZ127" s="60"/>
      <c r="BA127" s="60"/>
      <c r="BB127" s="60"/>
      <c r="BC127" s="60"/>
      <c r="BD127" s="60"/>
      <c r="BE127" s="60"/>
      <c r="BF127" s="60"/>
      <c r="BG127" s="60"/>
      <c r="BH127" s="60"/>
      <c r="BI127" s="60"/>
      <c r="BJ127" s="60"/>
      <c r="BK127" s="60"/>
      <c r="BL127" s="60"/>
      <c r="BM127" s="60"/>
      <c r="BN127" s="60"/>
      <c r="BO127" s="60"/>
      <c r="BP127" s="60"/>
      <c r="BQ127" s="60"/>
      <c r="BR127" s="60"/>
      <c r="BS127" s="60"/>
      <c r="BT127" s="60"/>
      <c r="BU127" s="60"/>
      <c r="BV127" s="60"/>
      <c r="BW127" s="60"/>
      <c r="BX127" s="60"/>
      <c r="BY127" s="60"/>
      <c r="BZ127" s="60"/>
      <c r="CA127" s="60"/>
      <c r="CB127" s="60"/>
      <c r="CC127" s="60"/>
      <c r="CD127" s="60"/>
      <c r="CE127" s="60"/>
      <c r="CF127" s="60"/>
      <c r="CG127" s="60"/>
    </row>
    <row r="128" spans="1:85" s="57" customFormat="1" ht="15" customHeight="1" x14ac:dyDescent="0.2">
      <c r="A128" s="57" t="s">
        <v>102</v>
      </c>
      <c r="B128" s="57" t="s">
        <v>101</v>
      </c>
      <c r="C128" s="57" t="s">
        <v>78</v>
      </c>
      <c r="D128" s="57">
        <v>2</v>
      </c>
      <c r="E128" s="57" t="s">
        <v>510</v>
      </c>
      <c r="F128" s="57" t="s">
        <v>511</v>
      </c>
      <c r="G128" s="57" t="s">
        <v>507</v>
      </c>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c r="AO128" s="60"/>
      <c r="AP128" s="60"/>
      <c r="AQ128" s="60"/>
      <c r="AR128" s="60"/>
      <c r="AS128" s="60"/>
      <c r="AT128" s="60"/>
      <c r="AU128" s="60"/>
      <c r="AV128" s="60"/>
      <c r="AW128" s="60"/>
      <c r="AX128" s="60"/>
      <c r="AY128" s="60"/>
      <c r="AZ128" s="60"/>
      <c r="BA128" s="60"/>
      <c r="BB128" s="60"/>
      <c r="BC128" s="60"/>
      <c r="BD128" s="60"/>
      <c r="BE128" s="60"/>
      <c r="BF128" s="60"/>
      <c r="BG128" s="60"/>
      <c r="BH128" s="60"/>
      <c r="BI128" s="60"/>
      <c r="BJ128" s="60"/>
      <c r="BK128" s="60"/>
      <c r="BL128" s="60"/>
      <c r="BM128" s="60"/>
      <c r="BN128" s="60"/>
      <c r="BO128" s="60"/>
      <c r="BP128" s="60"/>
      <c r="BQ128" s="60"/>
      <c r="BR128" s="60"/>
      <c r="BS128" s="60"/>
      <c r="BT128" s="60"/>
      <c r="BU128" s="60"/>
      <c r="BV128" s="60"/>
      <c r="BW128" s="60"/>
      <c r="BX128" s="60"/>
      <c r="BY128" s="60"/>
      <c r="BZ128" s="60"/>
      <c r="CA128" s="60"/>
      <c r="CB128" s="60"/>
      <c r="CC128" s="60"/>
      <c r="CD128" s="60"/>
      <c r="CE128" s="60"/>
      <c r="CF128" s="60"/>
      <c r="CG128" s="60"/>
    </row>
    <row r="129" spans="1:85" s="57" customFormat="1" ht="15" customHeight="1" x14ac:dyDescent="0.2">
      <c r="A129" s="57" t="s">
        <v>132</v>
      </c>
      <c r="B129" s="57" t="s">
        <v>130</v>
      </c>
      <c r="C129" s="57" t="s">
        <v>78</v>
      </c>
      <c r="D129" s="57">
        <v>2</v>
      </c>
      <c r="E129" s="57" t="s">
        <v>512</v>
      </c>
      <c r="F129" s="57" t="s">
        <v>513</v>
      </c>
      <c r="G129" s="57" t="s">
        <v>507</v>
      </c>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c r="AO129" s="60"/>
      <c r="AP129" s="60"/>
      <c r="AQ129" s="60"/>
      <c r="AR129" s="60"/>
      <c r="AS129" s="60"/>
      <c r="AT129" s="60"/>
      <c r="AU129" s="60"/>
      <c r="AV129" s="60"/>
      <c r="AW129" s="60"/>
      <c r="AX129" s="60"/>
      <c r="AY129" s="60"/>
      <c r="AZ129" s="60"/>
      <c r="BA129" s="60"/>
      <c r="BB129" s="60"/>
      <c r="BC129" s="60"/>
      <c r="BD129" s="60"/>
      <c r="BE129" s="60"/>
      <c r="BF129" s="60"/>
      <c r="BG129" s="60"/>
      <c r="BH129" s="60"/>
      <c r="BI129" s="60"/>
      <c r="BJ129" s="60"/>
      <c r="BK129" s="60"/>
      <c r="BL129" s="60"/>
      <c r="BM129" s="60"/>
      <c r="BN129" s="60"/>
      <c r="BO129" s="60"/>
      <c r="BP129" s="60"/>
      <c r="BQ129" s="60"/>
      <c r="BR129" s="60"/>
      <c r="BS129" s="60"/>
      <c r="BT129" s="60"/>
      <c r="BU129" s="60"/>
      <c r="BV129" s="60"/>
      <c r="BW129" s="60"/>
      <c r="BX129" s="60"/>
      <c r="BY129" s="60"/>
      <c r="BZ129" s="60"/>
      <c r="CA129" s="60"/>
      <c r="CB129" s="60"/>
      <c r="CC129" s="60"/>
      <c r="CD129" s="60"/>
      <c r="CE129" s="60"/>
      <c r="CF129" s="60"/>
      <c r="CG129" s="60"/>
    </row>
    <row r="130" spans="1:85" s="57" customFormat="1" ht="15" customHeight="1" x14ac:dyDescent="0.2">
      <c r="A130" s="57" t="s">
        <v>146</v>
      </c>
      <c r="B130" s="57" t="s">
        <v>145</v>
      </c>
      <c r="C130" s="57" t="s">
        <v>78</v>
      </c>
      <c r="D130" s="57">
        <v>1</v>
      </c>
      <c r="E130" s="57" t="s">
        <v>514</v>
      </c>
      <c r="F130" s="57" t="s">
        <v>515</v>
      </c>
      <c r="G130" s="57" t="s">
        <v>507</v>
      </c>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c r="AO130" s="60"/>
      <c r="AP130" s="60"/>
      <c r="AQ130" s="60"/>
      <c r="AR130" s="60"/>
      <c r="AS130" s="60"/>
      <c r="AT130" s="60"/>
      <c r="AU130" s="60"/>
      <c r="AV130" s="60"/>
      <c r="AW130" s="60"/>
      <c r="AX130" s="60"/>
      <c r="AY130" s="60"/>
      <c r="AZ130" s="60"/>
      <c r="BA130" s="60"/>
      <c r="BB130" s="60"/>
      <c r="BC130" s="60"/>
      <c r="BD130" s="60"/>
      <c r="BE130" s="60"/>
      <c r="BF130" s="60"/>
      <c r="BG130" s="60"/>
      <c r="BH130" s="60"/>
      <c r="BI130" s="60"/>
      <c r="BJ130" s="60"/>
      <c r="BK130" s="60"/>
      <c r="BL130" s="60"/>
      <c r="BM130" s="60"/>
      <c r="BN130" s="60"/>
      <c r="BO130" s="60"/>
      <c r="BP130" s="60"/>
      <c r="BQ130" s="60"/>
      <c r="BR130" s="60"/>
      <c r="BS130" s="60"/>
      <c r="BT130" s="60"/>
      <c r="BU130" s="60"/>
      <c r="BV130" s="60"/>
      <c r="BW130" s="60"/>
      <c r="BX130" s="60"/>
      <c r="BY130" s="60"/>
      <c r="BZ130" s="60"/>
      <c r="CA130" s="60"/>
      <c r="CB130" s="60"/>
      <c r="CC130" s="60"/>
      <c r="CD130" s="60"/>
      <c r="CE130" s="60"/>
      <c r="CF130" s="60"/>
      <c r="CG130" s="60"/>
    </row>
    <row r="131" spans="1:85" s="57" customFormat="1" ht="15" customHeight="1" x14ac:dyDescent="0.2">
      <c r="A131" s="57" t="s">
        <v>136</v>
      </c>
      <c r="B131" s="57" t="s">
        <v>135</v>
      </c>
      <c r="C131" s="57" t="s">
        <v>78</v>
      </c>
      <c r="D131" s="57">
        <v>2</v>
      </c>
      <c r="E131" s="57" t="s">
        <v>516</v>
      </c>
      <c r="F131" s="57" t="s">
        <v>517</v>
      </c>
      <c r="G131" s="57" t="s">
        <v>507</v>
      </c>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c r="AO131" s="60"/>
      <c r="AP131" s="60"/>
      <c r="AQ131" s="60"/>
      <c r="AR131" s="60"/>
      <c r="AS131" s="60"/>
      <c r="AT131" s="60"/>
      <c r="AU131" s="60"/>
      <c r="AV131" s="60"/>
      <c r="AW131" s="60"/>
      <c r="AX131" s="60"/>
      <c r="AY131" s="60"/>
      <c r="AZ131" s="60"/>
      <c r="BA131" s="60"/>
      <c r="BB131" s="60"/>
      <c r="BC131" s="60"/>
      <c r="BD131" s="60"/>
      <c r="BE131" s="60"/>
      <c r="BF131" s="60"/>
      <c r="BG131" s="60"/>
      <c r="BH131" s="60"/>
      <c r="BI131" s="60"/>
      <c r="BJ131" s="60"/>
      <c r="BK131" s="60"/>
      <c r="BL131" s="60"/>
      <c r="BM131" s="60"/>
      <c r="BN131" s="60"/>
      <c r="BO131" s="60"/>
      <c r="BP131" s="60"/>
      <c r="BQ131" s="60"/>
      <c r="BR131" s="60"/>
      <c r="BS131" s="60"/>
      <c r="BT131" s="60"/>
      <c r="BU131" s="60"/>
      <c r="BV131" s="60"/>
      <c r="BW131" s="60"/>
      <c r="BX131" s="60"/>
      <c r="BY131" s="60"/>
      <c r="BZ131" s="60"/>
      <c r="CA131" s="60"/>
      <c r="CB131" s="60"/>
      <c r="CC131" s="60"/>
      <c r="CD131" s="60"/>
      <c r="CE131" s="60"/>
      <c r="CF131" s="60"/>
      <c r="CG131" s="60"/>
    </row>
    <row r="132" spans="1:85" s="57" customFormat="1" ht="15" customHeight="1" x14ac:dyDescent="0.2">
      <c r="A132" s="57" t="s">
        <v>148</v>
      </c>
      <c r="B132" s="57" t="s">
        <v>147</v>
      </c>
      <c r="C132" s="57" t="s">
        <v>78</v>
      </c>
      <c r="D132" s="57">
        <v>1</v>
      </c>
      <c r="E132" s="57" t="s">
        <v>518</v>
      </c>
      <c r="F132" s="57" t="s">
        <v>519</v>
      </c>
      <c r="G132" s="57" t="s">
        <v>507</v>
      </c>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c r="AO132" s="60"/>
      <c r="AP132" s="60"/>
      <c r="AQ132" s="60"/>
      <c r="AR132" s="60"/>
      <c r="AS132" s="60"/>
      <c r="AT132" s="60"/>
      <c r="AU132" s="60"/>
      <c r="AV132" s="60"/>
      <c r="AW132" s="60"/>
      <c r="AX132" s="60"/>
      <c r="AY132" s="60"/>
      <c r="AZ132" s="60"/>
      <c r="BA132" s="60"/>
      <c r="BB132" s="60"/>
      <c r="BC132" s="60"/>
      <c r="BD132" s="60"/>
      <c r="BE132" s="60"/>
      <c r="BF132" s="60"/>
      <c r="BG132" s="60"/>
      <c r="BH132" s="60"/>
      <c r="BI132" s="60"/>
      <c r="BJ132" s="60"/>
      <c r="BK132" s="60"/>
      <c r="BL132" s="60"/>
      <c r="BM132" s="60"/>
      <c r="BN132" s="60"/>
      <c r="BO132" s="60"/>
      <c r="BP132" s="60"/>
      <c r="BQ132" s="60"/>
      <c r="BR132" s="60"/>
      <c r="BS132" s="60"/>
      <c r="BT132" s="60"/>
      <c r="BU132" s="60"/>
      <c r="BV132" s="60"/>
      <c r="BW132" s="60"/>
      <c r="BX132" s="60"/>
      <c r="BY132" s="60"/>
      <c r="BZ132" s="60"/>
      <c r="CA132" s="60"/>
      <c r="CB132" s="60"/>
      <c r="CC132" s="60"/>
      <c r="CD132" s="60"/>
      <c r="CE132" s="60"/>
      <c r="CF132" s="60"/>
      <c r="CG132" s="60"/>
    </row>
    <row r="133" spans="1:85" s="57" customFormat="1" ht="15" customHeight="1" x14ac:dyDescent="0.2">
      <c r="A133" s="57" t="s">
        <v>106</v>
      </c>
      <c r="B133" s="57" t="s">
        <v>105</v>
      </c>
      <c r="C133" s="57" t="s">
        <v>79</v>
      </c>
      <c r="D133" s="57">
        <v>2</v>
      </c>
      <c r="E133" s="57" t="s">
        <v>520</v>
      </c>
      <c r="F133" s="57" t="s">
        <v>521</v>
      </c>
      <c r="G133" s="57" t="s">
        <v>522</v>
      </c>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c r="AS133" s="60"/>
      <c r="AT133" s="60"/>
      <c r="AU133" s="60"/>
      <c r="AV133" s="60"/>
      <c r="AW133" s="60"/>
      <c r="AX133" s="60"/>
      <c r="AY133" s="60"/>
      <c r="AZ133" s="60"/>
      <c r="BA133" s="60"/>
      <c r="BB133" s="60"/>
      <c r="BC133" s="60"/>
      <c r="BD133" s="60"/>
      <c r="BE133" s="60"/>
      <c r="BF133" s="60"/>
      <c r="BG133" s="60"/>
      <c r="BH133" s="60"/>
      <c r="BI133" s="60"/>
      <c r="BJ133" s="60"/>
      <c r="BK133" s="60"/>
      <c r="BL133" s="60"/>
      <c r="BM133" s="60"/>
      <c r="BN133" s="60"/>
      <c r="BO133" s="60"/>
      <c r="BP133" s="60"/>
      <c r="BQ133" s="60"/>
      <c r="BR133" s="60"/>
      <c r="BS133" s="60"/>
      <c r="BT133" s="60"/>
      <c r="BU133" s="60"/>
      <c r="BV133" s="60"/>
      <c r="BW133" s="60"/>
      <c r="BX133" s="60"/>
      <c r="BY133" s="60"/>
      <c r="BZ133" s="60"/>
      <c r="CA133" s="60"/>
      <c r="CB133" s="60"/>
      <c r="CC133" s="60"/>
      <c r="CD133" s="60"/>
      <c r="CE133" s="60"/>
      <c r="CF133" s="60"/>
      <c r="CG133" s="60"/>
    </row>
    <row r="134" spans="1:85" s="57" customFormat="1" ht="15" customHeight="1" x14ac:dyDescent="0.2">
      <c r="A134" s="57" t="s">
        <v>104</v>
      </c>
      <c r="B134" s="57" t="s">
        <v>103</v>
      </c>
      <c r="C134" s="57" t="s">
        <v>79</v>
      </c>
      <c r="D134" s="57">
        <v>2</v>
      </c>
      <c r="E134" s="57" t="s">
        <v>523</v>
      </c>
      <c r="F134" s="57" t="s">
        <v>524</v>
      </c>
      <c r="G134" s="57" t="s">
        <v>522</v>
      </c>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0"/>
      <c r="AR134" s="60"/>
      <c r="AS134" s="60"/>
      <c r="AT134" s="60"/>
      <c r="AU134" s="60"/>
      <c r="AV134" s="60"/>
      <c r="AW134" s="60"/>
      <c r="AX134" s="60"/>
      <c r="AY134" s="60"/>
      <c r="AZ134" s="60"/>
      <c r="BA134" s="60"/>
      <c r="BB134" s="60"/>
      <c r="BC134" s="60"/>
      <c r="BD134" s="60"/>
      <c r="BE134" s="60"/>
      <c r="BF134" s="60"/>
      <c r="BG134" s="60"/>
      <c r="BH134" s="60"/>
      <c r="BI134" s="60"/>
      <c r="BJ134" s="60"/>
      <c r="BK134" s="60"/>
      <c r="BL134" s="60"/>
      <c r="BM134" s="60"/>
      <c r="BN134" s="60"/>
      <c r="BO134" s="60"/>
      <c r="BP134" s="60"/>
      <c r="BQ134" s="60"/>
      <c r="BR134" s="60"/>
      <c r="BS134" s="60"/>
      <c r="BT134" s="60"/>
      <c r="BU134" s="60"/>
      <c r="BV134" s="60"/>
      <c r="BW134" s="60"/>
      <c r="BX134" s="60"/>
      <c r="BY134" s="60"/>
      <c r="BZ134" s="60"/>
      <c r="CA134" s="60"/>
      <c r="CB134" s="60"/>
      <c r="CC134" s="60"/>
      <c r="CD134" s="60"/>
      <c r="CE134" s="60"/>
      <c r="CF134" s="60"/>
      <c r="CG134" s="60"/>
    </row>
    <row r="135" spans="1:85" s="57" customFormat="1" ht="15" customHeight="1" x14ac:dyDescent="0.2">
      <c r="A135" s="57" t="s">
        <v>153</v>
      </c>
      <c r="B135" s="57" t="s">
        <v>330</v>
      </c>
      <c r="C135" s="57" t="s">
        <v>79</v>
      </c>
      <c r="D135" s="57">
        <v>2</v>
      </c>
      <c r="E135" s="57" t="s">
        <v>525</v>
      </c>
      <c r="F135" s="57" t="s">
        <v>526</v>
      </c>
      <c r="G135" s="57" t="s">
        <v>522</v>
      </c>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c r="AS135" s="60"/>
      <c r="AT135" s="60"/>
      <c r="AU135" s="60"/>
      <c r="AV135" s="60"/>
      <c r="AW135" s="60"/>
      <c r="AX135" s="60"/>
      <c r="AY135" s="60"/>
      <c r="AZ135" s="60"/>
      <c r="BA135" s="60"/>
      <c r="BB135" s="60"/>
      <c r="BC135" s="60"/>
      <c r="BD135" s="60"/>
      <c r="BE135" s="60"/>
      <c r="BF135" s="60"/>
      <c r="BG135" s="60"/>
      <c r="BH135" s="60"/>
      <c r="BI135" s="60"/>
      <c r="BJ135" s="60"/>
      <c r="BK135" s="60"/>
      <c r="BL135" s="60"/>
      <c r="BM135" s="60"/>
      <c r="BN135" s="60"/>
      <c r="BO135" s="60"/>
      <c r="BP135" s="60"/>
      <c r="BQ135" s="60"/>
      <c r="BR135" s="60"/>
      <c r="BS135" s="60"/>
      <c r="BT135" s="60"/>
      <c r="BU135" s="60"/>
      <c r="BV135" s="60"/>
      <c r="BW135" s="60"/>
      <c r="BX135" s="60"/>
      <c r="BY135" s="60"/>
      <c r="BZ135" s="60"/>
      <c r="CA135" s="60"/>
      <c r="CB135" s="60"/>
      <c r="CC135" s="60"/>
      <c r="CD135" s="60"/>
      <c r="CE135" s="60"/>
      <c r="CF135" s="60"/>
      <c r="CG135" s="60"/>
    </row>
    <row r="136" spans="1:85" s="57" customFormat="1" ht="15" customHeight="1" x14ac:dyDescent="0.2">
      <c r="A136" s="57" t="s">
        <v>120</v>
      </c>
      <c r="B136" s="57" t="s">
        <v>119</v>
      </c>
      <c r="C136" s="57" t="s">
        <v>79</v>
      </c>
      <c r="D136" s="57">
        <v>2</v>
      </c>
      <c r="E136" s="57" t="s">
        <v>527</v>
      </c>
      <c r="F136" s="57" t="s">
        <v>528</v>
      </c>
      <c r="G136" s="57" t="s">
        <v>522</v>
      </c>
      <c r="H136" s="60"/>
      <c r="I136" s="60"/>
      <c r="J136" s="60"/>
      <c r="K136" s="60"/>
      <c r="L136" s="60"/>
      <c r="M136" s="60"/>
      <c r="N136" s="60"/>
      <c r="O136" s="60"/>
      <c r="P136" s="60"/>
      <c r="Q136" s="6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c r="AW136" s="60"/>
      <c r="AX136" s="60"/>
      <c r="AY136" s="60"/>
      <c r="AZ136" s="60"/>
      <c r="BA136" s="60"/>
      <c r="BB136" s="60"/>
      <c r="BC136" s="60"/>
      <c r="BD136" s="60"/>
      <c r="BE136" s="60"/>
      <c r="BF136" s="60"/>
      <c r="BG136" s="60"/>
      <c r="BH136" s="60"/>
      <c r="BI136" s="60"/>
      <c r="BJ136" s="60"/>
      <c r="BK136" s="60"/>
      <c r="BL136" s="60"/>
      <c r="BM136" s="60"/>
      <c r="BN136" s="60"/>
      <c r="BO136" s="60"/>
      <c r="BP136" s="60"/>
      <c r="BQ136" s="60"/>
      <c r="BR136" s="60"/>
      <c r="BS136" s="60"/>
      <c r="BT136" s="60"/>
      <c r="BU136" s="60"/>
      <c r="BV136" s="60"/>
      <c r="BW136" s="60"/>
      <c r="BX136" s="60"/>
      <c r="BY136" s="60"/>
      <c r="BZ136" s="60"/>
      <c r="CA136" s="60"/>
      <c r="CB136" s="60"/>
      <c r="CC136" s="60"/>
      <c r="CD136" s="60"/>
      <c r="CE136" s="60"/>
      <c r="CF136" s="60"/>
      <c r="CG136" s="60"/>
    </row>
    <row r="137" spans="1:85" s="57" customFormat="1" ht="15" customHeight="1" x14ac:dyDescent="0.2">
      <c r="A137" s="57" t="s">
        <v>136</v>
      </c>
      <c r="B137" s="57" t="s">
        <v>135</v>
      </c>
      <c r="C137" s="57" t="s">
        <v>79</v>
      </c>
      <c r="D137" s="57">
        <v>2</v>
      </c>
      <c r="E137" s="57" t="s">
        <v>529</v>
      </c>
      <c r="F137" s="57" t="s">
        <v>530</v>
      </c>
      <c r="G137" s="57" t="s">
        <v>522</v>
      </c>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c r="AS137" s="60"/>
      <c r="AT137" s="60"/>
      <c r="AU137" s="60"/>
      <c r="AV137" s="60"/>
      <c r="AW137" s="60"/>
      <c r="AX137" s="60"/>
      <c r="AY137" s="60"/>
      <c r="AZ137" s="60"/>
      <c r="BA137" s="60"/>
      <c r="BB137" s="60"/>
      <c r="BC137" s="60"/>
      <c r="BD137" s="60"/>
      <c r="BE137" s="60"/>
      <c r="BF137" s="60"/>
      <c r="BG137" s="60"/>
      <c r="BH137" s="60"/>
      <c r="BI137" s="60"/>
      <c r="BJ137" s="60"/>
      <c r="BK137" s="60"/>
      <c r="BL137" s="60"/>
      <c r="BM137" s="60"/>
      <c r="BN137" s="60"/>
      <c r="BO137" s="60"/>
      <c r="BP137" s="60"/>
      <c r="BQ137" s="60"/>
      <c r="BR137" s="60"/>
      <c r="BS137" s="60"/>
      <c r="BT137" s="60"/>
      <c r="BU137" s="60"/>
      <c r="BV137" s="60"/>
      <c r="BW137" s="60"/>
      <c r="BX137" s="60"/>
      <c r="BY137" s="60"/>
      <c r="BZ137" s="60"/>
      <c r="CA137" s="60"/>
      <c r="CB137" s="60"/>
      <c r="CC137" s="60"/>
      <c r="CD137" s="60"/>
      <c r="CE137" s="60"/>
      <c r="CF137" s="60"/>
      <c r="CG137" s="60"/>
    </row>
    <row r="138" spans="1:85" s="57" customFormat="1" ht="15" customHeight="1" x14ac:dyDescent="0.2">
      <c r="A138" s="57" t="s">
        <v>106</v>
      </c>
      <c r="B138" s="57" t="s">
        <v>105</v>
      </c>
      <c r="C138" s="57" t="s">
        <v>80</v>
      </c>
      <c r="D138" s="57">
        <v>2</v>
      </c>
      <c r="E138" s="57" t="s">
        <v>531</v>
      </c>
      <c r="F138" s="57" t="s">
        <v>532</v>
      </c>
      <c r="G138" s="57" t="s">
        <v>533</v>
      </c>
      <c r="H138" s="60"/>
      <c r="I138" s="60"/>
      <c r="J138" s="60"/>
      <c r="K138" s="60"/>
      <c r="L138" s="60"/>
      <c r="M138" s="60"/>
      <c r="N138" s="60"/>
      <c r="O138" s="60"/>
      <c r="P138" s="60"/>
      <c r="Q138" s="60"/>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0"/>
      <c r="AR138" s="60"/>
      <c r="AS138" s="60"/>
      <c r="AT138" s="60"/>
      <c r="AU138" s="60"/>
      <c r="AV138" s="60"/>
      <c r="AW138" s="60"/>
      <c r="AX138" s="60"/>
      <c r="AY138" s="60"/>
      <c r="AZ138" s="60"/>
      <c r="BA138" s="60"/>
      <c r="BB138" s="60"/>
      <c r="BC138" s="60"/>
      <c r="BD138" s="60"/>
      <c r="BE138" s="60"/>
      <c r="BF138" s="60"/>
      <c r="BG138" s="60"/>
      <c r="BH138" s="60"/>
      <c r="BI138" s="60"/>
      <c r="BJ138" s="60"/>
      <c r="BK138" s="60"/>
      <c r="BL138" s="60"/>
      <c r="BM138" s="60"/>
      <c r="BN138" s="60"/>
      <c r="BO138" s="60"/>
      <c r="BP138" s="60"/>
      <c r="BQ138" s="60"/>
      <c r="BR138" s="60"/>
      <c r="BS138" s="60"/>
      <c r="BT138" s="60"/>
      <c r="BU138" s="60"/>
      <c r="BV138" s="60"/>
      <c r="BW138" s="60"/>
      <c r="BX138" s="60"/>
      <c r="BY138" s="60"/>
      <c r="BZ138" s="60"/>
      <c r="CA138" s="60"/>
      <c r="CB138" s="60"/>
      <c r="CC138" s="60"/>
      <c r="CD138" s="60"/>
      <c r="CE138" s="60"/>
      <c r="CF138" s="60"/>
      <c r="CG138" s="60"/>
    </row>
    <row r="139" spans="1:85" s="57" customFormat="1" ht="15" customHeight="1" x14ac:dyDescent="0.2">
      <c r="A139" s="57" t="s">
        <v>102</v>
      </c>
      <c r="B139" s="57" t="s">
        <v>101</v>
      </c>
      <c r="C139" s="57" t="s">
        <v>80</v>
      </c>
      <c r="D139" s="57">
        <v>2</v>
      </c>
      <c r="E139" s="57" t="s">
        <v>534</v>
      </c>
      <c r="F139" s="57" t="s">
        <v>535</v>
      </c>
      <c r="G139" s="57" t="s">
        <v>533</v>
      </c>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c r="AS139" s="60"/>
      <c r="AT139" s="60"/>
      <c r="AU139" s="60"/>
      <c r="AV139" s="60"/>
      <c r="AW139" s="60"/>
      <c r="AX139" s="60"/>
      <c r="AY139" s="60"/>
      <c r="AZ139" s="60"/>
      <c r="BA139" s="60"/>
      <c r="BB139" s="60"/>
      <c r="BC139" s="60"/>
      <c r="BD139" s="60"/>
      <c r="BE139" s="60"/>
      <c r="BF139" s="60"/>
      <c r="BG139" s="60"/>
      <c r="BH139" s="60"/>
      <c r="BI139" s="60"/>
      <c r="BJ139" s="60"/>
      <c r="BK139" s="60"/>
      <c r="BL139" s="60"/>
      <c r="BM139" s="60"/>
      <c r="BN139" s="60"/>
      <c r="BO139" s="60"/>
      <c r="BP139" s="60"/>
      <c r="BQ139" s="60"/>
      <c r="BR139" s="60"/>
      <c r="BS139" s="60"/>
      <c r="BT139" s="60"/>
      <c r="BU139" s="60"/>
      <c r="BV139" s="60"/>
      <c r="BW139" s="60"/>
      <c r="BX139" s="60"/>
      <c r="BY139" s="60"/>
      <c r="BZ139" s="60"/>
      <c r="CA139" s="60"/>
      <c r="CB139" s="60"/>
      <c r="CC139" s="60"/>
      <c r="CD139" s="60"/>
      <c r="CE139" s="60"/>
      <c r="CF139" s="60"/>
      <c r="CG139" s="60"/>
    </row>
    <row r="140" spans="1:85" s="57" customFormat="1" ht="15" customHeight="1" x14ac:dyDescent="0.2">
      <c r="A140" s="57" t="s">
        <v>99</v>
      </c>
      <c r="B140" s="57" t="s">
        <v>97</v>
      </c>
      <c r="C140" s="57" t="s">
        <v>80</v>
      </c>
      <c r="D140" s="57">
        <v>2</v>
      </c>
      <c r="E140" s="57" t="s">
        <v>536</v>
      </c>
      <c r="F140" s="57" t="s">
        <v>537</v>
      </c>
      <c r="G140" s="57" t="s">
        <v>533</v>
      </c>
      <c r="H140" s="60"/>
      <c r="I140" s="60"/>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c r="AR140" s="60"/>
      <c r="AS140" s="60"/>
      <c r="AT140" s="60"/>
      <c r="AU140" s="60"/>
      <c r="AV140" s="60"/>
      <c r="AW140" s="60"/>
      <c r="AX140" s="60"/>
      <c r="AY140" s="60"/>
      <c r="AZ140" s="60"/>
      <c r="BA140" s="60"/>
      <c r="BB140" s="60"/>
      <c r="BC140" s="60"/>
      <c r="BD140" s="60"/>
      <c r="BE140" s="60"/>
      <c r="BF140" s="60"/>
      <c r="BG140" s="60"/>
      <c r="BH140" s="60"/>
      <c r="BI140" s="60"/>
      <c r="BJ140" s="60"/>
      <c r="BK140" s="60"/>
      <c r="BL140" s="60"/>
      <c r="BM140" s="60"/>
      <c r="BN140" s="60"/>
      <c r="BO140" s="60"/>
      <c r="BP140" s="60"/>
      <c r="BQ140" s="60"/>
      <c r="BR140" s="60"/>
      <c r="BS140" s="60"/>
      <c r="BT140" s="60"/>
      <c r="BU140" s="60"/>
      <c r="BV140" s="60"/>
      <c r="BW140" s="60"/>
      <c r="BX140" s="60"/>
      <c r="BY140" s="60"/>
      <c r="BZ140" s="60"/>
      <c r="CA140" s="60"/>
      <c r="CB140" s="60"/>
      <c r="CC140" s="60"/>
      <c r="CD140" s="60"/>
      <c r="CE140" s="60"/>
      <c r="CF140" s="60"/>
      <c r="CG140" s="60"/>
    </row>
    <row r="141" spans="1:85" s="57" customFormat="1" ht="15" customHeight="1" x14ac:dyDescent="0.2">
      <c r="A141" s="57" t="s">
        <v>104</v>
      </c>
      <c r="B141" s="57" t="s">
        <v>103</v>
      </c>
      <c r="C141" s="57" t="s">
        <v>80</v>
      </c>
      <c r="D141" s="57">
        <v>1</v>
      </c>
      <c r="E141" s="57" t="s">
        <v>538</v>
      </c>
      <c r="F141" s="57" t="s">
        <v>539</v>
      </c>
      <c r="G141" s="57" t="s">
        <v>533</v>
      </c>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0"/>
      <c r="AZ141" s="60"/>
      <c r="BA141" s="60"/>
      <c r="BB141" s="60"/>
      <c r="BC141" s="60"/>
      <c r="BD141" s="60"/>
      <c r="BE141" s="60"/>
      <c r="BF141" s="60"/>
      <c r="BG141" s="60"/>
      <c r="BH141" s="60"/>
      <c r="BI141" s="60"/>
      <c r="BJ141" s="60"/>
      <c r="BK141" s="60"/>
      <c r="BL141" s="60"/>
      <c r="BM141" s="60"/>
      <c r="BN141" s="60"/>
      <c r="BO141" s="60"/>
      <c r="BP141" s="60"/>
      <c r="BQ141" s="60"/>
      <c r="BR141" s="60"/>
      <c r="BS141" s="60"/>
      <c r="BT141" s="60"/>
      <c r="BU141" s="60"/>
      <c r="BV141" s="60"/>
      <c r="BW141" s="60"/>
      <c r="BX141" s="60"/>
      <c r="BY141" s="60"/>
      <c r="BZ141" s="60"/>
      <c r="CA141" s="60"/>
      <c r="CB141" s="60"/>
      <c r="CC141" s="60"/>
      <c r="CD141" s="60"/>
      <c r="CE141" s="60"/>
      <c r="CF141" s="60"/>
      <c r="CG141" s="60"/>
    </row>
    <row r="142" spans="1:85" s="57" customFormat="1" ht="15" customHeight="1" x14ac:dyDescent="0.2">
      <c r="A142" s="57" t="s">
        <v>153</v>
      </c>
      <c r="B142" s="57" t="s">
        <v>330</v>
      </c>
      <c r="C142" s="57" t="s">
        <v>81</v>
      </c>
      <c r="D142" s="57">
        <v>2</v>
      </c>
      <c r="E142" s="57" t="s">
        <v>540</v>
      </c>
      <c r="F142" s="57" t="s">
        <v>541</v>
      </c>
      <c r="G142" s="57" t="s">
        <v>542</v>
      </c>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c r="AW142" s="60"/>
      <c r="AX142" s="60"/>
      <c r="AY142" s="60"/>
      <c r="AZ142" s="60"/>
      <c r="BA142" s="60"/>
      <c r="BB142" s="60"/>
      <c r="BC142" s="60"/>
      <c r="BD142" s="60"/>
      <c r="BE142" s="60"/>
      <c r="BF142" s="60"/>
      <c r="BG142" s="60"/>
      <c r="BH142" s="60"/>
      <c r="BI142" s="60"/>
      <c r="BJ142" s="60"/>
      <c r="BK142" s="60"/>
      <c r="BL142" s="60"/>
      <c r="BM142" s="60"/>
      <c r="BN142" s="60"/>
      <c r="BO142" s="60"/>
      <c r="BP142" s="60"/>
      <c r="BQ142" s="60"/>
      <c r="BR142" s="60"/>
      <c r="BS142" s="60"/>
      <c r="BT142" s="60"/>
      <c r="BU142" s="60"/>
      <c r="BV142" s="60"/>
      <c r="BW142" s="60"/>
      <c r="BX142" s="60"/>
      <c r="BY142" s="60"/>
      <c r="BZ142" s="60"/>
      <c r="CA142" s="60"/>
      <c r="CB142" s="60"/>
      <c r="CC142" s="60"/>
      <c r="CD142" s="60"/>
      <c r="CE142" s="60"/>
      <c r="CF142" s="60"/>
      <c r="CG142" s="60"/>
    </row>
    <row r="143" spans="1:85" s="57" customFormat="1" ht="15" customHeight="1" x14ac:dyDescent="0.2">
      <c r="A143" s="57" t="s">
        <v>114</v>
      </c>
      <c r="B143" s="57" t="s">
        <v>113</v>
      </c>
      <c r="C143" s="57" t="s">
        <v>81</v>
      </c>
      <c r="D143" s="57">
        <v>2</v>
      </c>
      <c r="E143" s="57" t="s">
        <v>543</v>
      </c>
      <c r="F143" s="57" t="s">
        <v>544</v>
      </c>
      <c r="G143" s="57" t="s">
        <v>542</v>
      </c>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c r="AW143" s="60"/>
      <c r="AX143" s="60"/>
      <c r="AY143" s="60"/>
      <c r="AZ143" s="60"/>
      <c r="BA143" s="60"/>
      <c r="BB143" s="60"/>
      <c r="BC143" s="60"/>
      <c r="BD143" s="60"/>
      <c r="BE143" s="60"/>
      <c r="BF143" s="60"/>
      <c r="BG143" s="60"/>
      <c r="BH143" s="60"/>
      <c r="BI143" s="60"/>
      <c r="BJ143" s="60"/>
      <c r="BK143" s="60"/>
      <c r="BL143" s="60"/>
      <c r="BM143" s="60"/>
      <c r="BN143" s="60"/>
      <c r="BO143" s="60"/>
      <c r="BP143" s="60"/>
      <c r="BQ143" s="60"/>
      <c r="BR143" s="60"/>
      <c r="BS143" s="60"/>
      <c r="BT143" s="60"/>
      <c r="BU143" s="60"/>
      <c r="BV143" s="60"/>
      <c r="BW143" s="60"/>
      <c r="BX143" s="60"/>
      <c r="BY143" s="60"/>
      <c r="BZ143" s="60"/>
      <c r="CA143" s="60"/>
      <c r="CB143" s="60"/>
      <c r="CC143" s="60"/>
      <c r="CD143" s="60"/>
      <c r="CE143" s="60"/>
      <c r="CF143" s="60"/>
      <c r="CG143" s="60"/>
    </row>
    <row r="144" spans="1:85" s="57" customFormat="1" ht="15" customHeight="1" x14ac:dyDescent="0.2">
      <c r="A144" s="57" t="s">
        <v>161</v>
      </c>
      <c r="B144" s="57" t="s">
        <v>234</v>
      </c>
      <c r="C144" s="57" t="s">
        <v>81</v>
      </c>
      <c r="D144" s="57">
        <v>1</v>
      </c>
      <c r="E144" s="57" t="s">
        <v>545</v>
      </c>
      <c r="F144" s="57" t="s">
        <v>546</v>
      </c>
      <c r="G144" s="57" t="s">
        <v>542</v>
      </c>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0"/>
      <c r="AT144" s="60"/>
      <c r="AU144" s="60"/>
      <c r="AV144" s="60"/>
      <c r="AW144" s="60"/>
      <c r="AX144" s="60"/>
      <c r="AY144" s="60"/>
      <c r="AZ144" s="60"/>
      <c r="BA144" s="60"/>
      <c r="BB144" s="60"/>
      <c r="BC144" s="60"/>
      <c r="BD144" s="60"/>
      <c r="BE144" s="60"/>
      <c r="BF144" s="60"/>
      <c r="BG144" s="60"/>
      <c r="BH144" s="60"/>
      <c r="BI144" s="60"/>
      <c r="BJ144" s="60"/>
      <c r="BK144" s="60"/>
      <c r="BL144" s="60"/>
      <c r="BM144" s="60"/>
      <c r="BN144" s="60"/>
      <c r="BO144" s="60"/>
      <c r="BP144" s="60"/>
      <c r="BQ144" s="60"/>
      <c r="BR144" s="60"/>
      <c r="BS144" s="60"/>
      <c r="BT144" s="60"/>
      <c r="BU144" s="60"/>
      <c r="BV144" s="60"/>
      <c r="BW144" s="60"/>
      <c r="BX144" s="60"/>
      <c r="BY144" s="60"/>
      <c r="BZ144" s="60"/>
      <c r="CA144" s="60"/>
      <c r="CB144" s="60"/>
      <c r="CC144" s="60"/>
      <c r="CD144" s="60"/>
      <c r="CE144" s="60"/>
      <c r="CF144" s="60"/>
      <c r="CG144" s="60"/>
    </row>
    <row r="145" spans="1:85" s="57" customFormat="1" ht="15" customHeight="1" x14ac:dyDescent="0.2">
      <c r="A145" s="57" t="s">
        <v>157</v>
      </c>
      <c r="B145" s="57" t="s">
        <v>234</v>
      </c>
      <c r="C145" s="57" t="s">
        <v>82</v>
      </c>
      <c r="D145" s="57">
        <v>2</v>
      </c>
      <c r="E145" s="57" t="s">
        <v>547</v>
      </c>
      <c r="F145" s="57" t="s">
        <v>548</v>
      </c>
      <c r="G145" s="57" t="s">
        <v>549</v>
      </c>
      <c r="H145" s="60"/>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c r="AW145" s="60"/>
      <c r="AX145" s="60"/>
      <c r="AY145" s="60"/>
      <c r="AZ145" s="60"/>
      <c r="BA145" s="60"/>
      <c r="BB145" s="60"/>
      <c r="BC145" s="60"/>
      <c r="BD145" s="60"/>
      <c r="BE145" s="60"/>
      <c r="BF145" s="60"/>
      <c r="BG145" s="60"/>
      <c r="BH145" s="60"/>
      <c r="BI145" s="60"/>
      <c r="BJ145" s="60"/>
      <c r="BK145" s="60"/>
      <c r="BL145" s="60"/>
      <c r="BM145" s="60"/>
      <c r="BN145" s="60"/>
      <c r="BO145" s="60"/>
      <c r="BP145" s="60"/>
      <c r="BQ145" s="60"/>
      <c r="BR145" s="60"/>
      <c r="BS145" s="60"/>
      <c r="BT145" s="60"/>
      <c r="BU145" s="60"/>
      <c r="BV145" s="60"/>
      <c r="BW145" s="60"/>
      <c r="BX145" s="60"/>
      <c r="BY145" s="60"/>
      <c r="BZ145" s="60"/>
      <c r="CA145" s="60"/>
      <c r="CB145" s="60"/>
      <c r="CC145" s="60"/>
      <c r="CD145" s="60"/>
      <c r="CE145" s="60"/>
      <c r="CF145" s="60"/>
      <c r="CG145" s="60"/>
    </row>
    <row r="146" spans="1:85" s="57" customFormat="1" ht="15" customHeight="1" x14ac:dyDescent="0.2">
      <c r="A146" s="57" t="s">
        <v>161</v>
      </c>
      <c r="B146" s="57" t="s">
        <v>234</v>
      </c>
      <c r="C146" s="57" t="s">
        <v>82</v>
      </c>
      <c r="D146" s="57">
        <v>1</v>
      </c>
      <c r="E146" s="57" t="s">
        <v>550</v>
      </c>
      <c r="F146" s="57" t="s">
        <v>551</v>
      </c>
      <c r="G146" s="57" t="s">
        <v>549</v>
      </c>
      <c r="H146" s="60"/>
      <c r="I146" s="60"/>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c r="AR146" s="60"/>
      <c r="AS146" s="60"/>
      <c r="AT146" s="60"/>
      <c r="AU146" s="60"/>
      <c r="AV146" s="60"/>
      <c r="AW146" s="60"/>
      <c r="AX146" s="60"/>
      <c r="AY146" s="60"/>
      <c r="AZ146" s="60"/>
      <c r="BA146" s="60"/>
      <c r="BB146" s="60"/>
      <c r="BC146" s="60"/>
      <c r="BD146" s="60"/>
      <c r="BE146" s="60"/>
      <c r="BF146" s="60"/>
      <c r="BG146" s="60"/>
      <c r="BH146" s="60"/>
      <c r="BI146" s="60"/>
      <c r="BJ146" s="60"/>
      <c r="BK146" s="60"/>
      <c r="BL146" s="60"/>
      <c r="BM146" s="60"/>
      <c r="BN146" s="60"/>
      <c r="BO146" s="60"/>
      <c r="BP146" s="60"/>
      <c r="BQ146" s="60"/>
      <c r="BR146" s="60"/>
      <c r="BS146" s="60"/>
      <c r="BT146" s="60"/>
      <c r="BU146" s="60"/>
      <c r="BV146" s="60"/>
      <c r="BW146" s="60"/>
      <c r="BX146" s="60"/>
      <c r="BY146" s="60"/>
      <c r="BZ146" s="60"/>
      <c r="CA146" s="60"/>
      <c r="CB146" s="60"/>
      <c r="CC146" s="60"/>
      <c r="CD146" s="60"/>
      <c r="CE146" s="60"/>
      <c r="CF146" s="60"/>
      <c r="CG146" s="60"/>
    </row>
    <row r="147" spans="1:85" s="57" customFormat="1" ht="15" customHeight="1" x14ac:dyDescent="0.2">
      <c r="A147" s="57" t="s">
        <v>104</v>
      </c>
      <c r="B147" s="57" t="s">
        <v>103</v>
      </c>
      <c r="C147" s="57" t="s">
        <v>83</v>
      </c>
      <c r="D147" s="57">
        <v>2</v>
      </c>
      <c r="E147" s="57" t="s">
        <v>552</v>
      </c>
      <c r="F147" s="57" t="s">
        <v>553</v>
      </c>
      <c r="G147" s="57" t="s">
        <v>554</v>
      </c>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c r="AS147" s="60"/>
      <c r="AT147" s="60"/>
      <c r="AU147" s="60"/>
      <c r="AV147" s="60"/>
      <c r="AW147" s="60"/>
      <c r="AX147" s="60"/>
      <c r="AY147" s="60"/>
      <c r="AZ147" s="60"/>
      <c r="BA147" s="60"/>
      <c r="BB147" s="60"/>
      <c r="BC147" s="60"/>
      <c r="BD147" s="60"/>
      <c r="BE147" s="60"/>
      <c r="BF147" s="60"/>
      <c r="BG147" s="60"/>
      <c r="BH147" s="60"/>
      <c r="BI147" s="60"/>
      <c r="BJ147" s="60"/>
      <c r="BK147" s="60"/>
      <c r="BL147" s="60"/>
      <c r="BM147" s="60"/>
      <c r="BN147" s="60"/>
      <c r="BO147" s="60"/>
      <c r="BP147" s="60"/>
      <c r="BQ147" s="60"/>
      <c r="BR147" s="60"/>
      <c r="BS147" s="60"/>
      <c r="BT147" s="60"/>
      <c r="BU147" s="60"/>
      <c r="BV147" s="60"/>
      <c r="BW147" s="60"/>
      <c r="BX147" s="60"/>
      <c r="BY147" s="60"/>
      <c r="BZ147" s="60"/>
      <c r="CA147" s="60"/>
      <c r="CB147" s="60"/>
      <c r="CC147" s="60"/>
      <c r="CD147" s="60"/>
      <c r="CE147" s="60"/>
      <c r="CF147" s="60"/>
      <c r="CG147" s="60"/>
    </row>
    <row r="148" spans="1:85" s="57" customFormat="1" ht="15" customHeight="1" x14ac:dyDescent="0.2">
      <c r="A148" s="57" t="s">
        <v>106</v>
      </c>
      <c r="B148" s="57" t="s">
        <v>105</v>
      </c>
      <c r="C148" s="57" t="s">
        <v>83</v>
      </c>
      <c r="D148" s="57">
        <v>2</v>
      </c>
      <c r="E148" s="57" t="s">
        <v>555</v>
      </c>
      <c r="F148" s="57" t="s">
        <v>556</v>
      </c>
      <c r="G148" s="57" t="s">
        <v>554</v>
      </c>
      <c r="H148" s="60"/>
      <c r="I148" s="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c r="AY148" s="60"/>
      <c r="AZ148" s="60"/>
      <c r="BA148" s="60"/>
      <c r="BB148" s="60"/>
      <c r="BC148" s="60"/>
      <c r="BD148" s="60"/>
      <c r="BE148" s="60"/>
      <c r="BF148" s="60"/>
      <c r="BG148" s="60"/>
      <c r="BH148" s="60"/>
      <c r="BI148" s="60"/>
      <c r="BJ148" s="60"/>
      <c r="BK148" s="60"/>
      <c r="BL148" s="60"/>
      <c r="BM148" s="60"/>
      <c r="BN148" s="60"/>
      <c r="BO148" s="60"/>
      <c r="BP148" s="60"/>
      <c r="BQ148" s="60"/>
      <c r="BR148" s="60"/>
      <c r="BS148" s="60"/>
      <c r="BT148" s="60"/>
      <c r="BU148" s="60"/>
      <c r="BV148" s="60"/>
      <c r="BW148" s="60"/>
      <c r="BX148" s="60"/>
      <c r="BY148" s="60"/>
      <c r="BZ148" s="60"/>
      <c r="CA148" s="60"/>
      <c r="CB148" s="60"/>
      <c r="CC148" s="60"/>
      <c r="CD148" s="60"/>
      <c r="CE148" s="60"/>
      <c r="CF148" s="60"/>
      <c r="CG148" s="60"/>
    </row>
    <row r="149" spans="1:85" s="57" customFormat="1" ht="15" customHeight="1" x14ac:dyDescent="0.2">
      <c r="A149" s="57" t="s">
        <v>99</v>
      </c>
      <c r="B149" s="57" t="s">
        <v>97</v>
      </c>
      <c r="C149" s="57" t="s">
        <v>83</v>
      </c>
      <c r="D149" s="57">
        <v>1</v>
      </c>
      <c r="E149" s="57" t="s">
        <v>557</v>
      </c>
      <c r="F149" s="57" t="s">
        <v>558</v>
      </c>
      <c r="G149" s="57" t="s">
        <v>554</v>
      </c>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c r="AO149" s="60"/>
      <c r="AP149" s="60"/>
      <c r="AQ149" s="60"/>
      <c r="AR149" s="60"/>
      <c r="AS149" s="60"/>
      <c r="AT149" s="60"/>
      <c r="AU149" s="60"/>
      <c r="AV149" s="60"/>
      <c r="AW149" s="60"/>
      <c r="AX149" s="60"/>
      <c r="AY149" s="60"/>
      <c r="AZ149" s="60"/>
      <c r="BA149" s="60"/>
      <c r="BB149" s="60"/>
      <c r="BC149" s="60"/>
      <c r="BD149" s="60"/>
      <c r="BE149" s="60"/>
      <c r="BF149" s="60"/>
      <c r="BG149" s="60"/>
      <c r="BH149" s="60"/>
      <c r="BI149" s="60"/>
      <c r="BJ149" s="60"/>
      <c r="BK149" s="60"/>
      <c r="BL149" s="60"/>
      <c r="BM149" s="60"/>
      <c r="BN149" s="60"/>
      <c r="BO149" s="60"/>
      <c r="BP149" s="60"/>
      <c r="BQ149" s="60"/>
      <c r="BR149" s="60"/>
      <c r="BS149" s="60"/>
      <c r="BT149" s="60"/>
      <c r="BU149" s="60"/>
      <c r="BV149" s="60"/>
      <c r="BW149" s="60"/>
      <c r="BX149" s="60"/>
      <c r="BY149" s="60"/>
      <c r="BZ149" s="60"/>
      <c r="CA149" s="60"/>
      <c r="CB149" s="60"/>
      <c r="CC149" s="60"/>
      <c r="CD149" s="60"/>
      <c r="CE149" s="60"/>
      <c r="CF149" s="60"/>
      <c r="CG149" s="60"/>
    </row>
    <row r="150" spans="1:85" s="57" customFormat="1" ht="15" customHeight="1" x14ac:dyDescent="0.2">
      <c r="A150" s="57" t="s">
        <v>102</v>
      </c>
      <c r="B150" s="57" t="s">
        <v>101</v>
      </c>
      <c r="C150" s="57" t="s">
        <v>83</v>
      </c>
      <c r="D150" s="57">
        <v>1</v>
      </c>
      <c r="E150" s="57" t="s">
        <v>559</v>
      </c>
      <c r="F150" s="57" t="s">
        <v>560</v>
      </c>
      <c r="G150" s="57" t="s">
        <v>554</v>
      </c>
      <c r="H150" s="60"/>
      <c r="I150" s="60"/>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c r="AS150" s="60"/>
      <c r="AT150" s="60"/>
      <c r="AU150" s="60"/>
      <c r="AV150" s="60"/>
      <c r="AW150" s="60"/>
      <c r="AX150" s="60"/>
      <c r="AY150" s="60"/>
      <c r="AZ150" s="60"/>
      <c r="BA150" s="60"/>
      <c r="BB150" s="60"/>
      <c r="BC150" s="60"/>
      <c r="BD150" s="60"/>
      <c r="BE150" s="60"/>
      <c r="BF150" s="60"/>
      <c r="BG150" s="60"/>
      <c r="BH150" s="60"/>
      <c r="BI150" s="60"/>
      <c r="BJ150" s="60"/>
      <c r="BK150" s="60"/>
      <c r="BL150" s="60"/>
      <c r="BM150" s="60"/>
      <c r="BN150" s="60"/>
      <c r="BO150" s="60"/>
      <c r="BP150" s="60"/>
      <c r="BQ150" s="60"/>
      <c r="BR150" s="60"/>
      <c r="BS150" s="60"/>
      <c r="BT150" s="60"/>
      <c r="BU150" s="60"/>
      <c r="BV150" s="60"/>
      <c r="BW150" s="60"/>
      <c r="BX150" s="60"/>
      <c r="BY150" s="60"/>
      <c r="BZ150" s="60"/>
      <c r="CA150" s="60"/>
      <c r="CB150" s="60"/>
      <c r="CC150" s="60"/>
      <c r="CD150" s="60"/>
      <c r="CE150" s="60"/>
      <c r="CF150" s="60"/>
      <c r="CG150" s="60"/>
    </row>
    <row r="151" spans="1:85" s="57" customFormat="1" ht="15" customHeight="1" x14ac:dyDescent="0.2">
      <c r="A151" s="57" t="s">
        <v>114</v>
      </c>
      <c r="B151" s="57" t="s">
        <v>113</v>
      </c>
      <c r="C151" s="57" t="s">
        <v>83</v>
      </c>
      <c r="D151" s="57">
        <v>2</v>
      </c>
      <c r="E151" s="57" t="s">
        <v>561</v>
      </c>
      <c r="F151" s="57" t="s">
        <v>562</v>
      </c>
      <c r="G151" s="57" t="s">
        <v>554</v>
      </c>
      <c r="H151" s="60"/>
      <c r="I151" s="60"/>
      <c r="J151" s="60"/>
      <c r="K151" s="60"/>
      <c r="L151" s="60"/>
      <c r="M151" s="60"/>
      <c r="N151" s="60"/>
      <c r="O151" s="60"/>
      <c r="P151" s="60"/>
      <c r="Q151" s="60"/>
      <c r="R151" s="60"/>
      <c r="S151" s="60"/>
      <c r="T151" s="60"/>
      <c r="U151" s="60"/>
      <c r="V151" s="60"/>
      <c r="W151" s="60"/>
      <c r="X151" s="60"/>
      <c r="Y151" s="60"/>
      <c r="Z151" s="60"/>
      <c r="AA151" s="60"/>
      <c r="AB151" s="60"/>
      <c r="AC151" s="60"/>
      <c r="AD151" s="60"/>
      <c r="AE151" s="60"/>
      <c r="AF151" s="60"/>
      <c r="AG151" s="60"/>
      <c r="AH151" s="60"/>
      <c r="AI151" s="60"/>
      <c r="AJ151" s="60"/>
      <c r="AK151" s="60"/>
      <c r="AL151" s="60"/>
      <c r="AM151" s="60"/>
      <c r="AN151" s="60"/>
      <c r="AO151" s="60"/>
      <c r="AP151" s="60"/>
      <c r="AQ151" s="60"/>
      <c r="AR151" s="60"/>
      <c r="AS151" s="60"/>
      <c r="AT151" s="60"/>
      <c r="AU151" s="60"/>
      <c r="AV151" s="60"/>
      <c r="AW151" s="60"/>
      <c r="AX151" s="60"/>
      <c r="AY151" s="60"/>
      <c r="AZ151" s="60"/>
      <c r="BA151" s="60"/>
      <c r="BB151" s="60"/>
      <c r="BC151" s="60"/>
      <c r="BD151" s="60"/>
      <c r="BE151" s="60"/>
      <c r="BF151" s="60"/>
      <c r="BG151" s="60"/>
      <c r="BH151" s="60"/>
      <c r="BI151" s="60"/>
      <c r="BJ151" s="60"/>
      <c r="BK151" s="60"/>
      <c r="BL151" s="60"/>
      <c r="BM151" s="60"/>
      <c r="BN151" s="60"/>
      <c r="BO151" s="60"/>
      <c r="BP151" s="60"/>
      <c r="BQ151" s="60"/>
      <c r="BR151" s="60"/>
      <c r="BS151" s="60"/>
      <c r="BT151" s="60"/>
      <c r="BU151" s="60"/>
      <c r="BV151" s="60"/>
      <c r="BW151" s="60"/>
      <c r="BX151" s="60"/>
      <c r="BY151" s="60"/>
      <c r="BZ151" s="60"/>
      <c r="CA151" s="60"/>
      <c r="CB151" s="60"/>
      <c r="CC151" s="60"/>
      <c r="CD151" s="60"/>
      <c r="CE151" s="60"/>
      <c r="CF151" s="60"/>
      <c r="CG151" s="60"/>
    </row>
    <row r="152" spans="1:85" s="57" customFormat="1" ht="15" customHeight="1" x14ac:dyDescent="0.2">
      <c r="A152" s="57" t="s">
        <v>108</v>
      </c>
      <c r="B152" s="57" t="s">
        <v>107</v>
      </c>
      <c r="C152" s="57" t="s">
        <v>83</v>
      </c>
      <c r="D152" s="57">
        <v>1</v>
      </c>
      <c r="E152" s="57" t="s">
        <v>563</v>
      </c>
      <c r="F152" s="57" t="s">
        <v>564</v>
      </c>
      <c r="G152" s="57" t="s">
        <v>554</v>
      </c>
      <c r="H152" s="60"/>
      <c r="I152" s="60"/>
      <c r="J152" s="60"/>
      <c r="K152" s="60"/>
      <c r="L152" s="60"/>
      <c r="M152" s="60"/>
      <c r="N152" s="60"/>
      <c r="O152" s="60"/>
      <c r="P152" s="60"/>
      <c r="Q152" s="60"/>
      <c r="R152" s="60"/>
      <c r="S152" s="60"/>
      <c r="T152" s="60"/>
      <c r="U152" s="60"/>
      <c r="V152" s="60"/>
      <c r="W152" s="60"/>
      <c r="X152" s="60"/>
      <c r="Y152" s="60"/>
      <c r="Z152" s="60"/>
      <c r="AA152" s="60"/>
      <c r="AB152" s="60"/>
      <c r="AC152" s="60"/>
      <c r="AD152" s="60"/>
      <c r="AE152" s="60"/>
      <c r="AF152" s="60"/>
      <c r="AG152" s="60"/>
      <c r="AH152" s="60"/>
      <c r="AI152" s="60"/>
      <c r="AJ152" s="60"/>
      <c r="AK152" s="60"/>
      <c r="AL152" s="60"/>
      <c r="AM152" s="60"/>
      <c r="AN152" s="60"/>
      <c r="AO152" s="60"/>
      <c r="AP152" s="60"/>
      <c r="AQ152" s="60"/>
      <c r="AR152" s="60"/>
      <c r="AS152" s="60"/>
      <c r="AT152" s="60"/>
      <c r="AU152" s="60"/>
      <c r="AV152" s="60"/>
      <c r="AW152" s="60"/>
      <c r="AX152" s="60"/>
      <c r="AY152" s="60"/>
      <c r="AZ152" s="60"/>
      <c r="BA152" s="60"/>
      <c r="BB152" s="60"/>
      <c r="BC152" s="60"/>
      <c r="BD152" s="60"/>
      <c r="BE152" s="60"/>
      <c r="BF152" s="60"/>
      <c r="BG152" s="60"/>
      <c r="BH152" s="60"/>
      <c r="BI152" s="60"/>
      <c r="BJ152" s="60"/>
      <c r="BK152" s="60"/>
      <c r="BL152" s="60"/>
      <c r="BM152" s="60"/>
      <c r="BN152" s="60"/>
      <c r="BO152" s="60"/>
      <c r="BP152" s="60"/>
      <c r="BQ152" s="60"/>
      <c r="BR152" s="60"/>
      <c r="BS152" s="60"/>
      <c r="BT152" s="60"/>
      <c r="BU152" s="60"/>
      <c r="BV152" s="60"/>
      <c r="BW152" s="60"/>
      <c r="BX152" s="60"/>
      <c r="BY152" s="60"/>
      <c r="BZ152" s="60"/>
      <c r="CA152" s="60"/>
      <c r="CB152" s="60"/>
      <c r="CC152" s="60"/>
      <c r="CD152" s="60"/>
      <c r="CE152" s="60"/>
      <c r="CF152" s="60"/>
      <c r="CG152" s="60"/>
    </row>
    <row r="153" spans="1:85" s="57" customFormat="1" ht="15" customHeight="1" x14ac:dyDescent="0.2">
      <c r="A153" s="57" t="s">
        <v>120</v>
      </c>
      <c r="B153" s="57" t="s">
        <v>119</v>
      </c>
      <c r="C153" s="57" t="s">
        <v>83</v>
      </c>
      <c r="D153" s="57">
        <v>2</v>
      </c>
      <c r="E153" s="57" t="s">
        <v>565</v>
      </c>
      <c r="F153" s="57" t="s">
        <v>566</v>
      </c>
      <c r="G153" s="57" t="s">
        <v>554</v>
      </c>
      <c r="H153" s="60"/>
      <c r="I153" s="60"/>
      <c r="J153" s="60"/>
      <c r="K153" s="60"/>
      <c r="L153" s="60"/>
      <c r="M153" s="60"/>
      <c r="N153" s="60"/>
      <c r="O153" s="60"/>
      <c r="P153" s="60"/>
      <c r="Q153" s="60"/>
      <c r="R153" s="60"/>
      <c r="S153" s="60"/>
      <c r="T153" s="60"/>
      <c r="U153" s="60"/>
      <c r="V153" s="60"/>
      <c r="W153" s="60"/>
      <c r="X153" s="60"/>
      <c r="Y153" s="60"/>
      <c r="Z153" s="60"/>
      <c r="AA153" s="60"/>
      <c r="AB153" s="60"/>
      <c r="AC153" s="60"/>
      <c r="AD153" s="60"/>
      <c r="AE153" s="60"/>
      <c r="AF153" s="60"/>
      <c r="AG153" s="60"/>
      <c r="AH153" s="60"/>
      <c r="AI153" s="60"/>
      <c r="AJ153" s="60"/>
      <c r="AK153" s="60"/>
      <c r="AL153" s="60"/>
      <c r="AM153" s="60"/>
      <c r="AN153" s="60"/>
      <c r="AO153" s="60"/>
      <c r="AP153" s="60"/>
      <c r="AQ153" s="60"/>
      <c r="AR153" s="60"/>
      <c r="AS153" s="60"/>
      <c r="AT153" s="60"/>
      <c r="AU153" s="60"/>
      <c r="AV153" s="60"/>
      <c r="AW153" s="60"/>
      <c r="AX153" s="60"/>
      <c r="AY153" s="60"/>
      <c r="AZ153" s="60"/>
      <c r="BA153" s="60"/>
      <c r="BB153" s="60"/>
      <c r="BC153" s="60"/>
      <c r="BD153" s="60"/>
      <c r="BE153" s="60"/>
      <c r="BF153" s="60"/>
      <c r="BG153" s="60"/>
      <c r="BH153" s="60"/>
      <c r="BI153" s="60"/>
      <c r="BJ153" s="60"/>
      <c r="BK153" s="60"/>
      <c r="BL153" s="60"/>
      <c r="BM153" s="60"/>
      <c r="BN153" s="60"/>
      <c r="BO153" s="60"/>
      <c r="BP153" s="60"/>
      <c r="BQ153" s="60"/>
      <c r="BR153" s="60"/>
      <c r="BS153" s="60"/>
      <c r="BT153" s="60"/>
      <c r="BU153" s="60"/>
      <c r="BV153" s="60"/>
      <c r="BW153" s="60"/>
      <c r="BX153" s="60"/>
      <c r="BY153" s="60"/>
      <c r="BZ153" s="60"/>
      <c r="CA153" s="60"/>
      <c r="CB153" s="60"/>
      <c r="CC153" s="60"/>
      <c r="CD153" s="60"/>
      <c r="CE153" s="60"/>
      <c r="CF153" s="60"/>
      <c r="CG153" s="60"/>
    </row>
    <row r="154" spans="1:85" s="57" customFormat="1" ht="15" customHeight="1" x14ac:dyDescent="0.2">
      <c r="A154" s="57" t="s">
        <v>118</v>
      </c>
      <c r="B154" s="57" t="s">
        <v>117</v>
      </c>
      <c r="C154" s="57" t="s">
        <v>83</v>
      </c>
      <c r="D154" s="57">
        <v>1</v>
      </c>
      <c r="E154" s="57" t="s">
        <v>567</v>
      </c>
      <c r="F154" s="57" t="s">
        <v>568</v>
      </c>
      <c r="G154" s="57" t="s">
        <v>554</v>
      </c>
      <c r="H154" s="60"/>
      <c r="I154" s="60"/>
      <c r="J154" s="60"/>
      <c r="K154" s="60"/>
      <c r="L154" s="60"/>
      <c r="M154" s="60"/>
      <c r="N154" s="60"/>
      <c r="O154" s="60"/>
      <c r="P154" s="60"/>
      <c r="Q154" s="60"/>
      <c r="R154" s="60"/>
      <c r="S154" s="60"/>
      <c r="T154" s="60"/>
      <c r="U154" s="60"/>
      <c r="V154" s="60"/>
      <c r="W154" s="60"/>
      <c r="X154" s="60"/>
      <c r="Y154" s="60"/>
      <c r="Z154" s="60"/>
      <c r="AA154" s="60"/>
      <c r="AB154" s="60"/>
      <c r="AC154" s="60"/>
      <c r="AD154" s="60"/>
      <c r="AE154" s="60"/>
      <c r="AF154" s="60"/>
      <c r="AG154" s="60"/>
      <c r="AH154" s="60"/>
      <c r="AI154" s="60"/>
      <c r="AJ154" s="60"/>
      <c r="AK154" s="60"/>
      <c r="AL154" s="60"/>
      <c r="AM154" s="60"/>
      <c r="AN154" s="60"/>
      <c r="AO154" s="60"/>
      <c r="AP154" s="60"/>
      <c r="AQ154" s="60"/>
      <c r="AR154" s="60"/>
      <c r="AS154" s="60"/>
      <c r="AT154" s="60"/>
      <c r="AU154" s="60"/>
      <c r="AV154" s="60"/>
      <c r="AW154" s="60"/>
      <c r="AX154" s="60"/>
      <c r="AY154" s="60"/>
      <c r="AZ154" s="60"/>
      <c r="BA154" s="60"/>
      <c r="BB154" s="60"/>
      <c r="BC154" s="60"/>
      <c r="BD154" s="60"/>
      <c r="BE154" s="60"/>
      <c r="BF154" s="60"/>
      <c r="BG154" s="60"/>
      <c r="BH154" s="60"/>
      <c r="BI154" s="60"/>
      <c r="BJ154" s="60"/>
      <c r="BK154" s="60"/>
      <c r="BL154" s="60"/>
      <c r="BM154" s="60"/>
      <c r="BN154" s="60"/>
      <c r="BO154" s="60"/>
      <c r="BP154" s="60"/>
      <c r="BQ154" s="60"/>
      <c r="BR154" s="60"/>
      <c r="BS154" s="60"/>
      <c r="BT154" s="60"/>
      <c r="BU154" s="60"/>
      <c r="BV154" s="60"/>
      <c r="BW154" s="60"/>
      <c r="BX154" s="60"/>
      <c r="BY154" s="60"/>
      <c r="BZ154" s="60"/>
      <c r="CA154" s="60"/>
      <c r="CB154" s="60"/>
      <c r="CC154" s="60"/>
      <c r="CD154" s="60"/>
      <c r="CE154" s="60"/>
      <c r="CF154" s="60"/>
      <c r="CG154" s="60"/>
    </row>
    <row r="155" spans="1:85" s="57" customFormat="1" ht="15" customHeight="1" x14ac:dyDescent="0.2">
      <c r="A155" s="57" t="s">
        <v>116</v>
      </c>
      <c r="B155" s="57" t="s">
        <v>115</v>
      </c>
      <c r="C155" s="57" t="s">
        <v>83</v>
      </c>
      <c r="D155" s="57">
        <v>1</v>
      </c>
      <c r="E155" s="57" t="s">
        <v>569</v>
      </c>
      <c r="F155" s="57" t="s">
        <v>570</v>
      </c>
      <c r="G155" s="57" t="s">
        <v>554</v>
      </c>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c r="AS155" s="60"/>
      <c r="AT155" s="60"/>
      <c r="AU155" s="60"/>
      <c r="AV155" s="60"/>
      <c r="AW155" s="60"/>
      <c r="AX155" s="60"/>
      <c r="AY155" s="60"/>
      <c r="AZ155" s="60"/>
      <c r="BA155" s="60"/>
      <c r="BB155" s="60"/>
      <c r="BC155" s="60"/>
      <c r="BD155" s="60"/>
      <c r="BE155" s="60"/>
      <c r="BF155" s="60"/>
      <c r="BG155" s="60"/>
      <c r="BH155" s="60"/>
      <c r="BI155" s="60"/>
      <c r="BJ155" s="60"/>
      <c r="BK155" s="60"/>
      <c r="BL155" s="60"/>
      <c r="BM155" s="60"/>
      <c r="BN155" s="60"/>
      <c r="BO155" s="60"/>
      <c r="BP155" s="60"/>
      <c r="BQ155" s="60"/>
      <c r="BR155" s="60"/>
      <c r="BS155" s="60"/>
      <c r="BT155" s="60"/>
      <c r="BU155" s="60"/>
      <c r="BV155" s="60"/>
      <c r="BW155" s="60"/>
      <c r="BX155" s="60"/>
      <c r="BY155" s="60"/>
      <c r="BZ155" s="60"/>
      <c r="CA155" s="60"/>
      <c r="CB155" s="60"/>
      <c r="CC155" s="60"/>
      <c r="CD155" s="60"/>
      <c r="CE155" s="60"/>
      <c r="CF155" s="60"/>
      <c r="CG155" s="60"/>
    </row>
    <row r="156" spans="1:85" s="57" customFormat="1" ht="15" customHeight="1" x14ac:dyDescent="0.2">
      <c r="A156" s="57" t="s">
        <v>153</v>
      </c>
      <c r="B156" s="57" t="s">
        <v>330</v>
      </c>
      <c r="C156" s="57" t="s">
        <v>83</v>
      </c>
      <c r="D156" s="57">
        <v>2</v>
      </c>
      <c r="E156" s="57" t="s">
        <v>571</v>
      </c>
      <c r="F156" s="57" t="s">
        <v>572</v>
      </c>
      <c r="G156" s="57" t="s">
        <v>554</v>
      </c>
      <c r="H156" s="60"/>
      <c r="I156" s="60"/>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c r="AW156" s="60"/>
      <c r="AX156" s="60"/>
      <c r="AY156" s="60"/>
      <c r="AZ156" s="60"/>
      <c r="BA156" s="60"/>
      <c r="BB156" s="60"/>
      <c r="BC156" s="60"/>
      <c r="BD156" s="60"/>
      <c r="BE156" s="60"/>
      <c r="BF156" s="60"/>
      <c r="BG156" s="60"/>
      <c r="BH156" s="60"/>
      <c r="BI156" s="60"/>
      <c r="BJ156" s="60"/>
      <c r="BK156" s="60"/>
      <c r="BL156" s="60"/>
      <c r="BM156" s="60"/>
      <c r="BN156" s="60"/>
      <c r="BO156" s="60"/>
      <c r="BP156" s="60"/>
      <c r="BQ156" s="60"/>
      <c r="BR156" s="60"/>
      <c r="BS156" s="60"/>
      <c r="BT156" s="60"/>
      <c r="BU156" s="60"/>
      <c r="BV156" s="60"/>
      <c r="BW156" s="60"/>
      <c r="BX156" s="60"/>
      <c r="BY156" s="60"/>
      <c r="BZ156" s="60"/>
      <c r="CA156" s="60"/>
      <c r="CB156" s="60"/>
      <c r="CC156" s="60"/>
      <c r="CD156" s="60"/>
      <c r="CE156" s="60"/>
      <c r="CF156" s="60"/>
      <c r="CG156" s="60"/>
    </row>
    <row r="157" spans="1:85" s="57" customFormat="1" ht="15" customHeight="1" x14ac:dyDescent="0.2">
      <c r="A157" s="57" t="s">
        <v>132</v>
      </c>
      <c r="B157" s="57" t="s">
        <v>130</v>
      </c>
      <c r="C157" s="57" t="s">
        <v>83</v>
      </c>
      <c r="D157" s="57">
        <v>1</v>
      </c>
      <c r="E157" s="57" t="s">
        <v>573</v>
      </c>
      <c r="F157" s="57" t="s">
        <v>574</v>
      </c>
      <c r="G157" s="57" t="s">
        <v>554</v>
      </c>
      <c r="H157" s="60"/>
      <c r="I157" s="60"/>
      <c r="J157" s="60"/>
      <c r="K157" s="60"/>
      <c r="L157" s="60"/>
      <c r="M157" s="60"/>
      <c r="N157" s="60"/>
      <c r="O157" s="60"/>
      <c r="P157" s="60"/>
      <c r="Q157" s="60"/>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c r="AO157" s="60"/>
      <c r="AP157" s="60"/>
      <c r="AQ157" s="60"/>
      <c r="AR157" s="60"/>
      <c r="AS157" s="60"/>
      <c r="AT157" s="60"/>
      <c r="AU157" s="60"/>
      <c r="AV157" s="60"/>
      <c r="AW157" s="60"/>
      <c r="AX157" s="60"/>
      <c r="AY157" s="60"/>
      <c r="AZ157" s="60"/>
      <c r="BA157" s="60"/>
      <c r="BB157" s="60"/>
      <c r="BC157" s="60"/>
      <c r="BD157" s="60"/>
      <c r="BE157" s="60"/>
      <c r="BF157" s="60"/>
      <c r="BG157" s="60"/>
      <c r="BH157" s="60"/>
      <c r="BI157" s="60"/>
      <c r="BJ157" s="60"/>
      <c r="BK157" s="60"/>
      <c r="BL157" s="60"/>
      <c r="BM157" s="60"/>
      <c r="BN157" s="60"/>
      <c r="BO157" s="60"/>
      <c r="BP157" s="60"/>
      <c r="BQ157" s="60"/>
      <c r="BR157" s="60"/>
      <c r="BS157" s="60"/>
      <c r="BT157" s="60"/>
      <c r="BU157" s="60"/>
      <c r="BV157" s="60"/>
      <c r="BW157" s="60"/>
      <c r="BX157" s="60"/>
      <c r="BY157" s="60"/>
      <c r="BZ157" s="60"/>
      <c r="CA157" s="60"/>
      <c r="CB157" s="60"/>
      <c r="CC157" s="60"/>
      <c r="CD157" s="60"/>
      <c r="CE157" s="60"/>
      <c r="CF157" s="60"/>
      <c r="CG157" s="60"/>
    </row>
    <row r="158" spans="1:85" s="57" customFormat="1" ht="15" customHeight="1" x14ac:dyDescent="0.2">
      <c r="A158" s="57" t="s">
        <v>144</v>
      </c>
      <c r="B158" s="57" t="s">
        <v>143</v>
      </c>
      <c r="C158" s="57" t="s">
        <v>83</v>
      </c>
      <c r="D158" s="57">
        <v>2</v>
      </c>
      <c r="E158" s="57" t="s">
        <v>575</v>
      </c>
      <c r="F158" s="57" t="s">
        <v>576</v>
      </c>
      <c r="G158" s="57" t="s">
        <v>554</v>
      </c>
      <c r="H158" s="60"/>
      <c r="I158" s="60"/>
      <c r="J158" s="60"/>
      <c r="K158" s="60"/>
      <c r="L158" s="60"/>
      <c r="M158" s="60"/>
      <c r="N158" s="60"/>
      <c r="O158" s="60"/>
      <c r="P158" s="60"/>
      <c r="Q158" s="60"/>
      <c r="R158" s="60"/>
      <c r="S158" s="6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0"/>
      <c r="AZ158" s="60"/>
      <c r="BA158" s="60"/>
      <c r="BB158" s="60"/>
      <c r="BC158" s="60"/>
      <c r="BD158" s="60"/>
      <c r="BE158" s="60"/>
      <c r="BF158" s="60"/>
      <c r="BG158" s="60"/>
      <c r="BH158" s="60"/>
      <c r="BI158" s="60"/>
      <c r="BJ158" s="60"/>
      <c r="BK158" s="60"/>
      <c r="BL158" s="60"/>
      <c r="BM158" s="60"/>
      <c r="BN158" s="60"/>
      <c r="BO158" s="60"/>
      <c r="BP158" s="60"/>
      <c r="BQ158" s="60"/>
      <c r="BR158" s="60"/>
      <c r="BS158" s="60"/>
      <c r="BT158" s="60"/>
      <c r="BU158" s="60"/>
      <c r="BV158" s="60"/>
      <c r="BW158" s="60"/>
      <c r="BX158" s="60"/>
      <c r="BY158" s="60"/>
      <c r="BZ158" s="60"/>
      <c r="CA158" s="60"/>
      <c r="CB158" s="60"/>
      <c r="CC158" s="60"/>
      <c r="CD158" s="60"/>
      <c r="CE158" s="60"/>
      <c r="CF158" s="60"/>
      <c r="CG158" s="60"/>
    </row>
    <row r="159" spans="1:85" s="57" customFormat="1" ht="15" customHeight="1" x14ac:dyDescent="0.2">
      <c r="A159" s="57" t="s">
        <v>134</v>
      </c>
      <c r="B159" s="57" t="s">
        <v>133</v>
      </c>
      <c r="C159" s="57" t="s">
        <v>83</v>
      </c>
      <c r="D159" s="57">
        <v>2</v>
      </c>
      <c r="E159" s="57" t="s">
        <v>577</v>
      </c>
      <c r="F159" s="57" t="s">
        <v>578</v>
      </c>
      <c r="G159" s="57" t="s">
        <v>554</v>
      </c>
      <c r="H159" s="60"/>
      <c r="I159" s="60"/>
      <c r="J159" s="60"/>
      <c r="K159" s="60"/>
      <c r="L159" s="60"/>
      <c r="M159" s="60"/>
      <c r="N159" s="60"/>
      <c r="O159" s="60"/>
      <c r="P159" s="60"/>
      <c r="Q159" s="60"/>
      <c r="R159" s="60"/>
      <c r="S159" s="60"/>
      <c r="T159" s="60"/>
      <c r="U159" s="60"/>
      <c r="V159" s="60"/>
      <c r="W159" s="60"/>
      <c r="X159" s="60"/>
      <c r="Y159" s="60"/>
      <c r="Z159" s="60"/>
      <c r="AA159" s="60"/>
      <c r="AB159" s="60"/>
      <c r="AC159" s="60"/>
      <c r="AD159" s="60"/>
      <c r="AE159" s="60"/>
      <c r="AF159" s="60"/>
      <c r="AG159" s="60"/>
      <c r="AH159" s="60"/>
      <c r="AI159" s="60"/>
      <c r="AJ159" s="60"/>
      <c r="AK159" s="60"/>
      <c r="AL159" s="60"/>
      <c r="AM159" s="60"/>
      <c r="AN159" s="60"/>
      <c r="AO159" s="60"/>
      <c r="AP159" s="60"/>
      <c r="AQ159" s="60"/>
      <c r="AR159" s="60"/>
      <c r="AS159" s="60"/>
      <c r="AT159" s="60"/>
      <c r="AU159" s="60"/>
      <c r="AV159" s="60"/>
      <c r="AW159" s="60"/>
      <c r="AX159" s="60"/>
      <c r="AY159" s="60"/>
      <c r="AZ159" s="60"/>
      <c r="BA159" s="60"/>
      <c r="BB159" s="60"/>
      <c r="BC159" s="60"/>
      <c r="BD159" s="60"/>
      <c r="BE159" s="60"/>
      <c r="BF159" s="60"/>
      <c r="BG159" s="60"/>
      <c r="BH159" s="60"/>
      <c r="BI159" s="60"/>
      <c r="BJ159" s="60"/>
      <c r="BK159" s="60"/>
      <c r="BL159" s="60"/>
      <c r="BM159" s="60"/>
      <c r="BN159" s="60"/>
      <c r="BO159" s="60"/>
      <c r="BP159" s="60"/>
      <c r="BQ159" s="60"/>
      <c r="BR159" s="60"/>
      <c r="BS159" s="60"/>
      <c r="BT159" s="60"/>
      <c r="BU159" s="60"/>
      <c r="BV159" s="60"/>
      <c r="BW159" s="60"/>
      <c r="BX159" s="60"/>
      <c r="BY159" s="60"/>
      <c r="BZ159" s="60"/>
      <c r="CA159" s="60"/>
      <c r="CB159" s="60"/>
      <c r="CC159" s="60"/>
      <c r="CD159" s="60"/>
      <c r="CE159" s="60"/>
      <c r="CF159" s="60"/>
      <c r="CG159" s="60"/>
    </row>
    <row r="160" spans="1:85" s="57" customFormat="1" ht="15" customHeight="1" x14ac:dyDescent="0.2">
      <c r="A160" s="57" t="s">
        <v>146</v>
      </c>
      <c r="B160" s="57" t="s">
        <v>145</v>
      </c>
      <c r="C160" s="57" t="s">
        <v>83</v>
      </c>
      <c r="D160" s="57">
        <v>2</v>
      </c>
      <c r="E160" s="57" t="s">
        <v>579</v>
      </c>
      <c r="F160" s="57" t="s">
        <v>580</v>
      </c>
      <c r="G160" s="57" t="s">
        <v>554</v>
      </c>
      <c r="H160" s="60"/>
      <c r="I160" s="60"/>
      <c r="J160" s="60"/>
      <c r="K160" s="60"/>
      <c r="L160" s="60"/>
      <c r="M160" s="60"/>
      <c r="N160" s="60"/>
      <c r="O160" s="60"/>
      <c r="P160" s="60"/>
      <c r="Q160" s="6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c r="AP160" s="60"/>
      <c r="AQ160" s="60"/>
      <c r="AR160" s="60"/>
      <c r="AS160" s="60"/>
      <c r="AT160" s="60"/>
      <c r="AU160" s="60"/>
      <c r="AV160" s="60"/>
      <c r="AW160" s="60"/>
      <c r="AX160" s="60"/>
      <c r="AY160" s="60"/>
      <c r="AZ160" s="60"/>
      <c r="BA160" s="60"/>
      <c r="BB160" s="60"/>
      <c r="BC160" s="60"/>
      <c r="BD160" s="60"/>
      <c r="BE160" s="60"/>
      <c r="BF160" s="60"/>
      <c r="BG160" s="60"/>
      <c r="BH160" s="60"/>
      <c r="BI160" s="60"/>
      <c r="BJ160" s="60"/>
      <c r="BK160" s="60"/>
      <c r="BL160" s="60"/>
      <c r="BM160" s="60"/>
      <c r="BN160" s="60"/>
      <c r="BO160" s="60"/>
      <c r="BP160" s="60"/>
      <c r="BQ160" s="60"/>
      <c r="BR160" s="60"/>
      <c r="BS160" s="60"/>
      <c r="BT160" s="60"/>
      <c r="BU160" s="60"/>
      <c r="BV160" s="60"/>
      <c r="BW160" s="60"/>
      <c r="BX160" s="60"/>
      <c r="BY160" s="60"/>
      <c r="BZ160" s="60"/>
      <c r="CA160" s="60"/>
      <c r="CB160" s="60"/>
      <c r="CC160" s="60"/>
      <c r="CD160" s="60"/>
      <c r="CE160" s="60"/>
      <c r="CF160" s="60"/>
      <c r="CG160" s="60"/>
    </row>
    <row r="161" spans="1:85" s="57" customFormat="1" ht="15" customHeight="1" x14ac:dyDescent="0.2">
      <c r="A161" s="57" t="s">
        <v>136</v>
      </c>
      <c r="B161" s="57" t="s">
        <v>135</v>
      </c>
      <c r="C161" s="57" t="s">
        <v>83</v>
      </c>
      <c r="D161" s="57">
        <v>2</v>
      </c>
      <c r="E161" s="57" t="s">
        <v>581</v>
      </c>
      <c r="F161" s="57" t="s">
        <v>582</v>
      </c>
      <c r="G161" s="57" t="s">
        <v>554</v>
      </c>
      <c r="H161" s="60"/>
      <c r="I161" s="60"/>
      <c r="J161" s="60"/>
      <c r="K161" s="60"/>
      <c r="L161" s="60"/>
      <c r="M161" s="60"/>
      <c r="N161" s="60"/>
      <c r="O161" s="60"/>
      <c r="P161" s="60"/>
      <c r="Q161" s="60"/>
      <c r="R161" s="60"/>
      <c r="S161" s="60"/>
      <c r="T161" s="60"/>
      <c r="U161" s="60"/>
      <c r="V161" s="60"/>
      <c r="W161" s="60"/>
      <c r="X161" s="60"/>
      <c r="Y161" s="60"/>
      <c r="Z161" s="60"/>
      <c r="AA161" s="60"/>
      <c r="AB161" s="60"/>
      <c r="AC161" s="60"/>
      <c r="AD161" s="60"/>
      <c r="AE161" s="60"/>
      <c r="AF161" s="60"/>
      <c r="AG161" s="60"/>
      <c r="AH161" s="60"/>
      <c r="AI161" s="60"/>
      <c r="AJ161" s="60"/>
      <c r="AK161" s="60"/>
      <c r="AL161" s="60"/>
      <c r="AM161" s="60"/>
      <c r="AN161" s="60"/>
      <c r="AO161" s="60"/>
      <c r="AP161" s="60"/>
      <c r="AQ161" s="60"/>
      <c r="AR161" s="60"/>
      <c r="AS161" s="60"/>
      <c r="AT161" s="60"/>
      <c r="AU161" s="60"/>
      <c r="AV161" s="60"/>
      <c r="AW161" s="60"/>
      <c r="AX161" s="60"/>
      <c r="AY161" s="60"/>
      <c r="AZ161" s="60"/>
      <c r="BA161" s="60"/>
      <c r="BB161" s="60"/>
      <c r="BC161" s="60"/>
      <c r="BD161" s="60"/>
      <c r="BE161" s="60"/>
      <c r="BF161" s="60"/>
      <c r="BG161" s="60"/>
      <c r="BH161" s="60"/>
      <c r="BI161" s="60"/>
      <c r="BJ161" s="60"/>
      <c r="BK161" s="60"/>
      <c r="BL161" s="60"/>
      <c r="BM161" s="60"/>
      <c r="BN161" s="60"/>
      <c r="BO161" s="60"/>
      <c r="BP161" s="60"/>
      <c r="BQ161" s="60"/>
      <c r="BR161" s="60"/>
      <c r="BS161" s="60"/>
      <c r="BT161" s="60"/>
      <c r="BU161" s="60"/>
      <c r="BV161" s="60"/>
      <c r="BW161" s="60"/>
      <c r="BX161" s="60"/>
      <c r="BY161" s="60"/>
      <c r="BZ161" s="60"/>
      <c r="CA161" s="60"/>
      <c r="CB161" s="60"/>
      <c r="CC161" s="60"/>
      <c r="CD161" s="60"/>
      <c r="CE161" s="60"/>
      <c r="CF161" s="60"/>
      <c r="CG161" s="60"/>
    </row>
    <row r="162" spans="1:85" s="57" customFormat="1" ht="15" customHeight="1" x14ac:dyDescent="0.2">
      <c r="A162" s="57" t="s">
        <v>148</v>
      </c>
      <c r="B162" s="57" t="s">
        <v>147</v>
      </c>
      <c r="C162" s="57" t="s">
        <v>83</v>
      </c>
      <c r="D162" s="57">
        <v>2</v>
      </c>
      <c r="E162" s="57" t="s">
        <v>583</v>
      </c>
      <c r="F162" s="57" t="s">
        <v>584</v>
      </c>
      <c r="G162" s="57" t="s">
        <v>554</v>
      </c>
      <c r="H162" s="60"/>
      <c r="I162" s="60"/>
      <c r="J162" s="60"/>
      <c r="K162" s="60"/>
      <c r="L162" s="60"/>
      <c r="M162" s="60"/>
      <c r="N162" s="60"/>
      <c r="O162" s="60"/>
      <c r="P162" s="60"/>
      <c r="Q162" s="60"/>
      <c r="R162" s="60"/>
      <c r="S162" s="60"/>
      <c r="T162" s="60"/>
      <c r="U162" s="60"/>
      <c r="V162" s="60"/>
      <c r="W162" s="60"/>
      <c r="X162" s="60"/>
      <c r="Y162" s="60"/>
      <c r="Z162" s="60"/>
      <c r="AA162" s="60"/>
      <c r="AB162" s="60"/>
      <c r="AC162" s="60"/>
      <c r="AD162" s="60"/>
      <c r="AE162" s="60"/>
      <c r="AF162" s="60"/>
      <c r="AG162" s="60"/>
      <c r="AH162" s="60"/>
      <c r="AI162" s="60"/>
      <c r="AJ162" s="60"/>
      <c r="AK162" s="60"/>
      <c r="AL162" s="60"/>
      <c r="AM162" s="60"/>
      <c r="AN162" s="60"/>
      <c r="AO162" s="60"/>
      <c r="AP162" s="60"/>
      <c r="AQ162" s="60"/>
      <c r="AR162" s="60"/>
      <c r="AS162" s="60"/>
      <c r="AT162" s="60"/>
      <c r="AU162" s="60"/>
      <c r="AV162" s="60"/>
      <c r="AW162" s="60"/>
      <c r="AX162" s="60"/>
      <c r="AY162" s="60"/>
      <c r="AZ162" s="60"/>
      <c r="BA162" s="60"/>
      <c r="BB162" s="60"/>
      <c r="BC162" s="60"/>
      <c r="BD162" s="60"/>
      <c r="BE162" s="60"/>
      <c r="BF162" s="60"/>
      <c r="BG162" s="60"/>
      <c r="BH162" s="60"/>
      <c r="BI162" s="60"/>
      <c r="BJ162" s="60"/>
      <c r="BK162" s="60"/>
      <c r="BL162" s="60"/>
      <c r="BM162" s="60"/>
      <c r="BN162" s="60"/>
      <c r="BO162" s="60"/>
      <c r="BP162" s="60"/>
      <c r="BQ162" s="60"/>
      <c r="BR162" s="60"/>
      <c r="BS162" s="60"/>
      <c r="BT162" s="60"/>
      <c r="BU162" s="60"/>
      <c r="BV162" s="60"/>
      <c r="BW162" s="60"/>
      <c r="BX162" s="60"/>
      <c r="BY162" s="60"/>
      <c r="BZ162" s="60"/>
      <c r="CA162" s="60"/>
      <c r="CB162" s="60"/>
      <c r="CC162" s="60"/>
      <c r="CD162" s="60"/>
      <c r="CE162" s="60"/>
      <c r="CF162" s="60"/>
      <c r="CG162" s="60"/>
    </row>
    <row r="163" spans="1:85" s="57" customFormat="1" ht="15" customHeight="1" x14ac:dyDescent="0.2">
      <c r="A163" s="57" t="s">
        <v>123</v>
      </c>
      <c r="B163" s="57" t="s">
        <v>121</v>
      </c>
      <c r="C163" s="57" t="s">
        <v>83</v>
      </c>
      <c r="D163" s="57">
        <v>1</v>
      </c>
      <c r="E163" s="57" t="s">
        <v>585</v>
      </c>
      <c r="F163" s="57" t="s">
        <v>586</v>
      </c>
      <c r="G163" s="57" t="s">
        <v>554</v>
      </c>
      <c r="H163" s="60"/>
      <c r="I163" s="60"/>
      <c r="J163" s="60"/>
      <c r="K163" s="60"/>
      <c r="L163" s="60"/>
      <c r="M163" s="60"/>
      <c r="N163" s="60"/>
      <c r="O163" s="60"/>
      <c r="P163" s="60"/>
      <c r="Q163" s="60"/>
      <c r="R163" s="60"/>
      <c r="S163" s="60"/>
      <c r="T163" s="60"/>
      <c r="U163" s="60"/>
      <c r="V163" s="60"/>
      <c r="W163" s="60"/>
      <c r="X163" s="60"/>
      <c r="Y163" s="60"/>
      <c r="Z163" s="60"/>
      <c r="AA163" s="60"/>
      <c r="AB163" s="60"/>
      <c r="AC163" s="60"/>
      <c r="AD163" s="60"/>
      <c r="AE163" s="60"/>
      <c r="AF163" s="60"/>
      <c r="AG163" s="60"/>
      <c r="AH163" s="60"/>
      <c r="AI163" s="60"/>
      <c r="AJ163" s="60"/>
      <c r="AK163" s="60"/>
      <c r="AL163" s="60"/>
      <c r="AM163" s="60"/>
      <c r="AN163" s="60"/>
      <c r="AO163" s="60"/>
      <c r="AP163" s="60"/>
      <c r="AQ163" s="60"/>
      <c r="AR163" s="60"/>
      <c r="AS163" s="60"/>
      <c r="AT163" s="60"/>
      <c r="AU163" s="60"/>
      <c r="AV163" s="60"/>
      <c r="AW163" s="60"/>
      <c r="AX163" s="60"/>
      <c r="AY163" s="60"/>
      <c r="AZ163" s="60"/>
      <c r="BA163" s="60"/>
      <c r="BB163" s="60"/>
      <c r="BC163" s="60"/>
      <c r="BD163" s="60"/>
      <c r="BE163" s="60"/>
      <c r="BF163" s="60"/>
      <c r="BG163" s="60"/>
      <c r="BH163" s="60"/>
      <c r="BI163" s="60"/>
      <c r="BJ163" s="60"/>
      <c r="BK163" s="60"/>
      <c r="BL163" s="60"/>
      <c r="BM163" s="60"/>
      <c r="BN163" s="60"/>
      <c r="BO163" s="60"/>
      <c r="BP163" s="60"/>
      <c r="BQ163" s="60"/>
      <c r="BR163" s="60"/>
      <c r="BS163" s="60"/>
      <c r="BT163" s="60"/>
      <c r="BU163" s="60"/>
      <c r="BV163" s="60"/>
      <c r="BW163" s="60"/>
      <c r="BX163" s="60"/>
      <c r="BY163" s="60"/>
      <c r="BZ163" s="60"/>
      <c r="CA163" s="60"/>
      <c r="CB163" s="60"/>
      <c r="CC163" s="60"/>
      <c r="CD163" s="60"/>
      <c r="CE163" s="60"/>
      <c r="CF163" s="60"/>
      <c r="CG163" s="60"/>
    </row>
    <row r="164" spans="1:85" s="57" customFormat="1" ht="15" customHeight="1" x14ac:dyDescent="0.2">
      <c r="A164" s="57" t="s">
        <v>125</v>
      </c>
      <c r="B164" s="57" t="s">
        <v>124</v>
      </c>
      <c r="C164" s="57" t="s">
        <v>83</v>
      </c>
      <c r="D164" s="57">
        <v>2</v>
      </c>
      <c r="E164" s="57" t="s">
        <v>587</v>
      </c>
      <c r="F164" s="57" t="s">
        <v>588</v>
      </c>
      <c r="G164" s="57" t="s">
        <v>554</v>
      </c>
      <c r="H164" s="60"/>
      <c r="I164" s="60"/>
      <c r="J164" s="60"/>
      <c r="K164" s="60"/>
      <c r="L164" s="60"/>
      <c r="M164" s="60"/>
      <c r="N164" s="60"/>
      <c r="O164" s="60"/>
      <c r="P164" s="60"/>
      <c r="Q164" s="60"/>
      <c r="R164" s="60"/>
      <c r="S164" s="60"/>
      <c r="T164" s="60"/>
      <c r="U164" s="60"/>
      <c r="V164" s="60"/>
      <c r="W164" s="60"/>
      <c r="X164" s="60"/>
      <c r="Y164" s="60"/>
      <c r="Z164" s="60"/>
      <c r="AA164" s="60"/>
      <c r="AB164" s="60"/>
      <c r="AC164" s="60"/>
      <c r="AD164" s="60"/>
      <c r="AE164" s="60"/>
      <c r="AF164" s="60"/>
      <c r="AG164" s="60"/>
      <c r="AH164" s="60"/>
      <c r="AI164" s="60"/>
      <c r="AJ164" s="60"/>
      <c r="AK164" s="60"/>
      <c r="AL164" s="60"/>
      <c r="AM164" s="60"/>
      <c r="AN164" s="60"/>
      <c r="AO164" s="60"/>
      <c r="AP164" s="60"/>
      <c r="AQ164" s="60"/>
      <c r="AR164" s="60"/>
      <c r="AS164" s="60"/>
      <c r="AT164" s="60"/>
      <c r="AU164" s="60"/>
      <c r="AV164" s="60"/>
      <c r="AW164" s="60"/>
      <c r="AX164" s="60"/>
      <c r="AY164" s="60"/>
      <c r="AZ164" s="60"/>
      <c r="BA164" s="60"/>
      <c r="BB164" s="60"/>
      <c r="BC164" s="60"/>
      <c r="BD164" s="60"/>
      <c r="BE164" s="60"/>
      <c r="BF164" s="60"/>
      <c r="BG164" s="60"/>
      <c r="BH164" s="60"/>
      <c r="BI164" s="60"/>
      <c r="BJ164" s="60"/>
      <c r="BK164" s="60"/>
      <c r="BL164" s="60"/>
      <c r="BM164" s="60"/>
      <c r="BN164" s="60"/>
      <c r="BO164" s="60"/>
      <c r="BP164" s="60"/>
      <c r="BQ164" s="60"/>
      <c r="BR164" s="60"/>
      <c r="BS164" s="60"/>
      <c r="BT164" s="60"/>
      <c r="BU164" s="60"/>
      <c r="BV164" s="60"/>
      <c r="BW164" s="60"/>
      <c r="BX164" s="60"/>
      <c r="BY164" s="60"/>
      <c r="BZ164" s="60"/>
      <c r="CA164" s="60"/>
      <c r="CB164" s="60"/>
      <c r="CC164" s="60"/>
      <c r="CD164" s="60"/>
      <c r="CE164" s="60"/>
      <c r="CF164" s="60"/>
      <c r="CG164" s="60"/>
    </row>
    <row r="165" spans="1:85" s="57" customFormat="1" ht="15" customHeight="1" x14ac:dyDescent="0.2">
      <c r="A165" s="57" t="s">
        <v>127</v>
      </c>
      <c r="B165" s="57" t="s">
        <v>126</v>
      </c>
      <c r="C165" s="57" t="s">
        <v>83</v>
      </c>
      <c r="D165" s="57">
        <v>2</v>
      </c>
      <c r="E165" s="57" t="s">
        <v>589</v>
      </c>
      <c r="F165" s="57" t="s">
        <v>590</v>
      </c>
      <c r="G165" s="57" t="s">
        <v>554</v>
      </c>
      <c r="H165" s="60"/>
      <c r="I165" s="60"/>
      <c r="J165" s="60"/>
      <c r="K165" s="60"/>
      <c r="L165" s="60"/>
      <c r="M165" s="60"/>
      <c r="N165" s="60"/>
      <c r="O165" s="60"/>
      <c r="P165" s="60"/>
      <c r="Q165" s="60"/>
      <c r="R165" s="60"/>
      <c r="S165" s="60"/>
      <c r="T165" s="60"/>
      <c r="U165" s="60"/>
      <c r="V165" s="60"/>
      <c r="W165" s="60"/>
      <c r="X165" s="60"/>
      <c r="Y165" s="60"/>
      <c r="Z165" s="60"/>
      <c r="AA165" s="60"/>
      <c r="AB165" s="60"/>
      <c r="AC165" s="60"/>
      <c r="AD165" s="60"/>
      <c r="AE165" s="60"/>
      <c r="AF165" s="60"/>
      <c r="AG165" s="60"/>
      <c r="AH165" s="60"/>
      <c r="AI165" s="60"/>
      <c r="AJ165" s="60"/>
      <c r="AK165" s="60"/>
      <c r="AL165" s="60"/>
      <c r="AM165" s="60"/>
      <c r="AN165" s="60"/>
      <c r="AO165" s="60"/>
      <c r="AP165" s="60"/>
      <c r="AQ165" s="60"/>
      <c r="AR165" s="60"/>
      <c r="AS165" s="60"/>
      <c r="AT165" s="60"/>
      <c r="AU165" s="60"/>
      <c r="AV165" s="60"/>
      <c r="AW165" s="60"/>
      <c r="AX165" s="60"/>
      <c r="AY165" s="60"/>
      <c r="AZ165" s="60"/>
      <c r="BA165" s="60"/>
      <c r="BB165" s="60"/>
      <c r="BC165" s="60"/>
      <c r="BD165" s="60"/>
      <c r="BE165" s="60"/>
      <c r="BF165" s="60"/>
      <c r="BG165" s="60"/>
      <c r="BH165" s="60"/>
      <c r="BI165" s="60"/>
      <c r="BJ165" s="60"/>
      <c r="BK165" s="60"/>
      <c r="BL165" s="60"/>
      <c r="BM165" s="60"/>
      <c r="BN165" s="60"/>
      <c r="BO165" s="60"/>
      <c r="BP165" s="60"/>
      <c r="BQ165" s="60"/>
      <c r="BR165" s="60"/>
      <c r="BS165" s="60"/>
      <c r="BT165" s="60"/>
      <c r="BU165" s="60"/>
      <c r="BV165" s="60"/>
      <c r="BW165" s="60"/>
      <c r="BX165" s="60"/>
      <c r="BY165" s="60"/>
      <c r="BZ165" s="60"/>
      <c r="CA165" s="60"/>
      <c r="CB165" s="60"/>
      <c r="CC165" s="60"/>
      <c r="CD165" s="60"/>
      <c r="CE165" s="60"/>
      <c r="CF165" s="60"/>
      <c r="CG165" s="60"/>
    </row>
    <row r="166" spans="1:85" s="57" customFormat="1" ht="15" customHeight="1" x14ac:dyDescent="0.2">
      <c r="A166" s="57" t="s">
        <v>129</v>
      </c>
      <c r="B166" s="57" t="s">
        <v>128</v>
      </c>
      <c r="C166" s="57" t="s">
        <v>83</v>
      </c>
      <c r="D166" s="57">
        <v>2</v>
      </c>
      <c r="E166" s="57" t="s">
        <v>591</v>
      </c>
      <c r="F166" s="57" t="s">
        <v>592</v>
      </c>
      <c r="G166" s="57" t="s">
        <v>554</v>
      </c>
      <c r="H166" s="60"/>
      <c r="I166" s="60"/>
      <c r="J166" s="60"/>
      <c r="K166" s="60"/>
      <c r="L166" s="60"/>
      <c r="M166" s="60"/>
      <c r="N166" s="60"/>
      <c r="O166" s="60"/>
      <c r="P166" s="60"/>
      <c r="Q166" s="60"/>
      <c r="R166" s="60"/>
      <c r="S166" s="60"/>
      <c r="T166" s="60"/>
      <c r="U166" s="60"/>
      <c r="V166" s="60"/>
      <c r="W166" s="60"/>
      <c r="X166" s="60"/>
      <c r="Y166" s="60"/>
      <c r="Z166" s="60"/>
      <c r="AA166" s="60"/>
      <c r="AB166" s="60"/>
      <c r="AC166" s="60"/>
      <c r="AD166" s="60"/>
      <c r="AE166" s="60"/>
      <c r="AF166" s="60"/>
      <c r="AG166" s="60"/>
      <c r="AH166" s="60"/>
      <c r="AI166" s="60"/>
      <c r="AJ166" s="60"/>
      <c r="AK166" s="60"/>
      <c r="AL166" s="60"/>
      <c r="AM166" s="60"/>
      <c r="AN166" s="60"/>
      <c r="AO166" s="60"/>
      <c r="AP166" s="60"/>
      <c r="AQ166" s="60"/>
      <c r="AR166" s="60"/>
      <c r="AS166" s="60"/>
      <c r="AT166" s="60"/>
      <c r="AU166" s="60"/>
      <c r="AV166" s="60"/>
      <c r="AW166" s="60"/>
      <c r="AX166" s="60"/>
      <c r="AY166" s="60"/>
      <c r="AZ166" s="60"/>
      <c r="BA166" s="60"/>
      <c r="BB166" s="60"/>
      <c r="BC166" s="60"/>
      <c r="BD166" s="60"/>
      <c r="BE166" s="60"/>
      <c r="BF166" s="60"/>
      <c r="BG166" s="60"/>
      <c r="BH166" s="60"/>
      <c r="BI166" s="60"/>
      <c r="BJ166" s="60"/>
      <c r="BK166" s="60"/>
      <c r="BL166" s="60"/>
      <c r="BM166" s="60"/>
      <c r="BN166" s="60"/>
      <c r="BO166" s="60"/>
      <c r="BP166" s="60"/>
      <c r="BQ166" s="60"/>
      <c r="BR166" s="60"/>
      <c r="BS166" s="60"/>
      <c r="BT166" s="60"/>
      <c r="BU166" s="60"/>
      <c r="BV166" s="60"/>
      <c r="BW166" s="60"/>
      <c r="BX166" s="60"/>
      <c r="BY166" s="60"/>
      <c r="BZ166" s="60"/>
      <c r="CA166" s="60"/>
      <c r="CB166" s="60"/>
      <c r="CC166" s="60"/>
      <c r="CD166" s="60"/>
      <c r="CE166" s="60"/>
      <c r="CF166" s="60"/>
      <c r="CG166" s="60"/>
    </row>
    <row r="167" spans="1:85" s="57" customFormat="1" ht="15" customHeight="1" x14ac:dyDescent="0.2">
      <c r="A167" s="57" t="s">
        <v>264</v>
      </c>
      <c r="B167" s="57" t="s">
        <v>258</v>
      </c>
      <c r="C167" s="57" t="s">
        <v>83</v>
      </c>
      <c r="D167" s="57">
        <v>2</v>
      </c>
      <c r="E167" s="57" t="s">
        <v>593</v>
      </c>
      <c r="F167" s="57" t="s">
        <v>594</v>
      </c>
      <c r="G167" s="57" t="s">
        <v>554</v>
      </c>
      <c r="H167" s="60"/>
      <c r="I167" s="60"/>
      <c r="J167" s="60"/>
      <c r="K167" s="60"/>
      <c r="L167" s="60"/>
      <c r="M167" s="60"/>
      <c r="N167" s="60"/>
      <c r="O167" s="60"/>
      <c r="P167" s="60"/>
      <c r="Q167" s="60"/>
      <c r="R167" s="60"/>
      <c r="S167" s="60"/>
      <c r="T167" s="60"/>
      <c r="U167" s="60"/>
      <c r="V167" s="60"/>
      <c r="W167" s="60"/>
      <c r="X167" s="60"/>
      <c r="Y167" s="60"/>
      <c r="Z167" s="60"/>
      <c r="AA167" s="60"/>
      <c r="AB167" s="60"/>
      <c r="AC167" s="60"/>
      <c r="AD167" s="60"/>
      <c r="AE167" s="60"/>
      <c r="AF167" s="60"/>
      <c r="AG167" s="60"/>
      <c r="AH167" s="60"/>
      <c r="AI167" s="60"/>
      <c r="AJ167" s="60"/>
      <c r="AK167" s="60"/>
      <c r="AL167" s="60"/>
      <c r="AM167" s="60"/>
      <c r="AN167" s="60"/>
      <c r="AO167" s="60"/>
      <c r="AP167" s="60"/>
      <c r="AQ167" s="60"/>
      <c r="AR167" s="60"/>
      <c r="AS167" s="60"/>
      <c r="AT167" s="60"/>
      <c r="AU167" s="60"/>
      <c r="AV167" s="60"/>
      <c r="AW167" s="60"/>
      <c r="AX167" s="60"/>
      <c r="AY167" s="60"/>
      <c r="AZ167" s="60"/>
      <c r="BA167" s="60"/>
      <c r="BB167" s="60"/>
      <c r="BC167" s="60"/>
      <c r="BD167" s="60"/>
      <c r="BE167" s="60"/>
      <c r="BF167" s="60"/>
      <c r="BG167" s="60"/>
      <c r="BH167" s="60"/>
      <c r="BI167" s="60"/>
      <c r="BJ167" s="60"/>
      <c r="BK167" s="60"/>
      <c r="BL167" s="60"/>
      <c r="BM167" s="60"/>
      <c r="BN167" s="60"/>
      <c r="BO167" s="60"/>
      <c r="BP167" s="60"/>
      <c r="BQ167" s="60"/>
      <c r="BR167" s="60"/>
      <c r="BS167" s="60"/>
      <c r="BT167" s="60"/>
      <c r="BU167" s="60"/>
      <c r="BV167" s="60"/>
      <c r="BW167" s="60"/>
      <c r="BX167" s="60"/>
      <c r="BY167" s="60"/>
      <c r="BZ167" s="60"/>
      <c r="CA167" s="60"/>
      <c r="CB167" s="60"/>
      <c r="CC167" s="60"/>
      <c r="CD167" s="60"/>
      <c r="CE167" s="60"/>
      <c r="CF167" s="60"/>
      <c r="CG167" s="60"/>
    </row>
    <row r="168" spans="1:85" s="57" customFormat="1" ht="15" customHeight="1" x14ac:dyDescent="0.2">
      <c r="A168" s="57" t="s">
        <v>157</v>
      </c>
      <c r="B168" s="57" t="s">
        <v>234</v>
      </c>
      <c r="C168" s="57" t="s">
        <v>83</v>
      </c>
      <c r="D168" s="57">
        <v>2</v>
      </c>
      <c r="E168" s="57" t="s">
        <v>595</v>
      </c>
      <c r="F168" s="57" t="s">
        <v>596</v>
      </c>
      <c r="G168" s="57" t="s">
        <v>554</v>
      </c>
      <c r="H168" s="60"/>
      <c r="I168" s="60"/>
      <c r="J168" s="60"/>
      <c r="K168" s="60"/>
      <c r="L168" s="60"/>
      <c r="M168" s="60"/>
      <c r="N168" s="60"/>
      <c r="O168" s="60"/>
      <c r="P168" s="60"/>
      <c r="Q168" s="60"/>
      <c r="R168" s="60"/>
      <c r="S168" s="60"/>
      <c r="T168" s="60"/>
      <c r="U168" s="60"/>
      <c r="V168" s="60"/>
      <c r="W168" s="60"/>
      <c r="X168" s="60"/>
      <c r="Y168" s="60"/>
      <c r="Z168" s="60"/>
      <c r="AA168" s="60"/>
      <c r="AB168" s="60"/>
      <c r="AC168" s="60"/>
      <c r="AD168" s="60"/>
      <c r="AE168" s="60"/>
      <c r="AF168" s="60"/>
      <c r="AG168" s="60"/>
      <c r="AH168" s="60"/>
      <c r="AI168" s="60"/>
      <c r="AJ168" s="60"/>
      <c r="AK168" s="60"/>
      <c r="AL168" s="60"/>
      <c r="AM168" s="60"/>
      <c r="AN168" s="60"/>
      <c r="AO168" s="60"/>
      <c r="AP168" s="60"/>
      <c r="AQ168" s="60"/>
      <c r="AR168" s="60"/>
      <c r="AS168" s="60"/>
      <c r="AT168" s="60"/>
      <c r="AU168" s="60"/>
      <c r="AV168" s="60"/>
      <c r="AW168" s="60"/>
      <c r="AX168" s="60"/>
      <c r="AY168" s="60"/>
      <c r="AZ168" s="60"/>
      <c r="BA168" s="60"/>
      <c r="BB168" s="60"/>
      <c r="BC168" s="60"/>
      <c r="BD168" s="60"/>
      <c r="BE168" s="60"/>
      <c r="BF168" s="60"/>
      <c r="BG168" s="60"/>
      <c r="BH168" s="60"/>
      <c r="BI168" s="60"/>
      <c r="BJ168" s="60"/>
      <c r="BK168" s="60"/>
      <c r="BL168" s="60"/>
      <c r="BM168" s="60"/>
      <c r="BN168" s="60"/>
      <c r="BO168" s="60"/>
      <c r="BP168" s="60"/>
      <c r="BQ168" s="60"/>
      <c r="BR168" s="60"/>
      <c r="BS168" s="60"/>
      <c r="BT168" s="60"/>
      <c r="BU168" s="60"/>
      <c r="BV168" s="60"/>
      <c r="BW168" s="60"/>
      <c r="BX168" s="60"/>
      <c r="BY168" s="60"/>
      <c r="BZ168" s="60"/>
      <c r="CA168" s="60"/>
      <c r="CB168" s="60"/>
      <c r="CC168" s="60"/>
      <c r="CD168" s="60"/>
      <c r="CE168" s="60"/>
      <c r="CF168" s="60"/>
      <c r="CG168" s="60"/>
    </row>
    <row r="169" spans="1:85" s="57" customFormat="1" ht="15" customHeight="1" x14ac:dyDescent="0.2">
      <c r="A169" s="57" t="s">
        <v>161</v>
      </c>
      <c r="B169" s="57" t="s">
        <v>234</v>
      </c>
      <c r="C169" s="57" t="s">
        <v>83</v>
      </c>
      <c r="D169" s="57">
        <v>2</v>
      </c>
      <c r="E169" s="57" t="s">
        <v>597</v>
      </c>
      <c r="F169" s="57" t="s">
        <v>598</v>
      </c>
      <c r="G169" s="57" t="s">
        <v>554</v>
      </c>
      <c r="H169" s="60"/>
      <c r="I169" s="60"/>
      <c r="J169" s="60"/>
      <c r="K169" s="60"/>
      <c r="L169" s="60"/>
      <c r="M169" s="60"/>
      <c r="N169" s="60"/>
      <c r="O169" s="60"/>
      <c r="P169" s="60"/>
      <c r="Q169" s="60"/>
      <c r="R169" s="60"/>
      <c r="S169" s="60"/>
      <c r="T169" s="60"/>
      <c r="U169" s="60"/>
      <c r="V169" s="60"/>
      <c r="W169" s="60"/>
      <c r="X169" s="60"/>
      <c r="Y169" s="60"/>
      <c r="Z169" s="60"/>
      <c r="AA169" s="60"/>
      <c r="AB169" s="60"/>
      <c r="AC169" s="60"/>
      <c r="AD169" s="60"/>
      <c r="AE169" s="60"/>
      <c r="AF169" s="60"/>
      <c r="AG169" s="60"/>
      <c r="AH169" s="60"/>
      <c r="AI169" s="60"/>
      <c r="AJ169" s="60"/>
      <c r="AK169" s="60"/>
      <c r="AL169" s="60"/>
      <c r="AM169" s="60"/>
      <c r="AN169" s="60"/>
      <c r="AO169" s="60"/>
      <c r="AP169" s="60"/>
      <c r="AQ169" s="60"/>
      <c r="AR169" s="60"/>
      <c r="AS169" s="60"/>
      <c r="AT169" s="60"/>
      <c r="AU169" s="60"/>
      <c r="AV169" s="60"/>
      <c r="AW169" s="60"/>
      <c r="AX169" s="60"/>
      <c r="AY169" s="60"/>
      <c r="AZ169" s="60"/>
      <c r="BA169" s="60"/>
      <c r="BB169" s="60"/>
      <c r="BC169" s="60"/>
      <c r="BD169" s="60"/>
      <c r="BE169" s="60"/>
      <c r="BF169" s="60"/>
      <c r="BG169" s="60"/>
      <c r="BH169" s="60"/>
      <c r="BI169" s="60"/>
      <c r="BJ169" s="60"/>
      <c r="BK169" s="60"/>
      <c r="BL169" s="60"/>
      <c r="BM169" s="60"/>
      <c r="BN169" s="60"/>
      <c r="BO169" s="60"/>
      <c r="BP169" s="60"/>
      <c r="BQ169" s="60"/>
      <c r="BR169" s="60"/>
      <c r="BS169" s="60"/>
      <c r="BT169" s="60"/>
      <c r="BU169" s="60"/>
      <c r="BV169" s="60"/>
      <c r="BW169" s="60"/>
      <c r="BX169" s="60"/>
      <c r="BY169" s="60"/>
      <c r="BZ169" s="60"/>
      <c r="CA169" s="60"/>
      <c r="CB169" s="60"/>
      <c r="CC169" s="60"/>
      <c r="CD169" s="60"/>
      <c r="CE169" s="60"/>
      <c r="CF169" s="60"/>
      <c r="CG169" s="60"/>
    </row>
    <row r="170" spans="1:85" s="57" customFormat="1" ht="15" customHeight="1" x14ac:dyDescent="0.2">
      <c r="A170" s="57" t="s">
        <v>164</v>
      </c>
      <c r="B170" s="57" t="s">
        <v>234</v>
      </c>
      <c r="C170" s="57" t="s">
        <v>83</v>
      </c>
      <c r="D170" s="57">
        <v>2</v>
      </c>
      <c r="E170" s="57" t="s">
        <v>599</v>
      </c>
      <c r="F170" s="57" t="s">
        <v>600</v>
      </c>
      <c r="G170" s="57" t="s">
        <v>554</v>
      </c>
      <c r="H170" s="60"/>
      <c r="I170" s="60"/>
      <c r="J170" s="60"/>
      <c r="K170" s="60"/>
      <c r="L170" s="60"/>
      <c r="M170" s="60"/>
      <c r="N170" s="60"/>
      <c r="O170" s="60"/>
      <c r="P170" s="60"/>
      <c r="Q170" s="60"/>
      <c r="R170" s="60"/>
      <c r="S170" s="60"/>
      <c r="T170" s="60"/>
      <c r="U170" s="60"/>
      <c r="V170" s="60"/>
      <c r="W170" s="60"/>
      <c r="X170" s="60"/>
      <c r="Y170" s="60"/>
      <c r="Z170" s="60"/>
      <c r="AA170" s="60"/>
      <c r="AB170" s="60"/>
      <c r="AC170" s="60"/>
      <c r="AD170" s="60"/>
      <c r="AE170" s="60"/>
      <c r="AF170" s="60"/>
      <c r="AG170" s="60"/>
      <c r="AH170" s="60"/>
      <c r="AI170" s="60"/>
      <c r="AJ170" s="60"/>
      <c r="AK170" s="60"/>
      <c r="AL170" s="60"/>
      <c r="AM170" s="60"/>
      <c r="AN170" s="60"/>
      <c r="AO170" s="60"/>
      <c r="AP170" s="60"/>
      <c r="AQ170" s="60"/>
      <c r="AR170" s="60"/>
      <c r="AS170" s="60"/>
      <c r="AT170" s="60"/>
      <c r="AU170" s="60"/>
      <c r="AV170" s="60"/>
      <c r="AW170" s="60"/>
      <c r="AX170" s="60"/>
      <c r="AY170" s="60"/>
      <c r="AZ170" s="60"/>
      <c r="BA170" s="60"/>
      <c r="BB170" s="60"/>
      <c r="BC170" s="60"/>
      <c r="BD170" s="60"/>
      <c r="BE170" s="60"/>
      <c r="BF170" s="60"/>
      <c r="BG170" s="60"/>
      <c r="BH170" s="60"/>
      <c r="BI170" s="60"/>
      <c r="BJ170" s="60"/>
      <c r="BK170" s="60"/>
      <c r="BL170" s="60"/>
      <c r="BM170" s="60"/>
      <c r="BN170" s="60"/>
      <c r="BO170" s="60"/>
      <c r="BP170" s="60"/>
      <c r="BQ170" s="60"/>
      <c r="BR170" s="60"/>
      <c r="BS170" s="60"/>
      <c r="BT170" s="60"/>
      <c r="BU170" s="60"/>
      <c r="BV170" s="60"/>
      <c r="BW170" s="60"/>
      <c r="BX170" s="60"/>
      <c r="BY170" s="60"/>
      <c r="BZ170" s="60"/>
      <c r="CA170" s="60"/>
      <c r="CB170" s="60"/>
      <c r="CC170" s="60"/>
      <c r="CD170" s="60"/>
      <c r="CE170" s="60"/>
      <c r="CF170" s="60"/>
      <c r="CG170" s="60"/>
    </row>
    <row r="171" spans="1:85" s="57" customFormat="1" ht="15" customHeight="1" x14ac:dyDescent="0.2">
      <c r="A171" s="57" t="s">
        <v>167</v>
      </c>
      <c r="B171" s="57" t="s">
        <v>234</v>
      </c>
      <c r="C171" s="57" t="s">
        <v>83</v>
      </c>
      <c r="D171" s="57">
        <v>2</v>
      </c>
      <c r="E171" s="57" t="s">
        <v>601</v>
      </c>
      <c r="F171" s="57" t="s">
        <v>602</v>
      </c>
      <c r="G171" s="57" t="s">
        <v>554</v>
      </c>
      <c r="H171" s="60"/>
      <c r="I171" s="60"/>
      <c r="J171" s="60"/>
      <c r="K171" s="60"/>
      <c r="L171" s="60"/>
      <c r="M171" s="60"/>
      <c r="N171" s="60"/>
      <c r="O171" s="60"/>
      <c r="P171" s="60"/>
      <c r="Q171" s="60"/>
      <c r="R171" s="60"/>
      <c r="S171" s="60"/>
      <c r="T171" s="60"/>
      <c r="U171" s="60"/>
      <c r="V171" s="60"/>
      <c r="W171" s="60"/>
      <c r="X171" s="60"/>
      <c r="Y171" s="60"/>
      <c r="Z171" s="60"/>
      <c r="AA171" s="60"/>
      <c r="AB171" s="60"/>
      <c r="AC171" s="60"/>
      <c r="AD171" s="60"/>
      <c r="AE171" s="60"/>
      <c r="AF171" s="60"/>
      <c r="AG171" s="60"/>
      <c r="AH171" s="60"/>
      <c r="AI171" s="60"/>
      <c r="AJ171" s="60"/>
      <c r="AK171" s="60"/>
      <c r="AL171" s="60"/>
      <c r="AM171" s="60"/>
      <c r="AN171" s="60"/>
      <c r="AO171" s="60"/>
      <c r="AP171" s="60"/>
      <c r="AQ171" s="60"/>
      <c r="AR171" s="60"/>
      <c r="AS171" s="60"/>
      <c r="AT171" s="60"/>
      <c r="AU171" s="60"/>
      <c r="AV171" s="60"/>
      <c r="AW171" s="60"/>
      <c r="AX171" s="60"/>
      <c r="AY171" s="60"/>
      <c r="AZ171" s="60"/>
      <c r="BA171" s="60"/>
      <c r="BB171" s="60"/>
      <c r="BC171" s="60"/>
      <c r="BD171" s="60"/>
      <c r="BE171" s="60"/>
      <c r="BF171" s="60"/>
      <c r="BG171" s="60"/>
      <c r="BH171" s="60"/>
      <c r="BI171" s="60"/>
      <c r="BJ171" s="60"/>
      <c r="BK171" s="60"/>
      <c r="BL171" s="60"/>
      <c r="BM171" s="60"/>
      <c r="BN171" s="60"/>
      <c r="BO171" s="60"/>
      <c r="BP171" s="60"/>
      <c r="BQ171" s="60"/>
      <c r="BR171" s="60"/>
      <c r="BS171" s="60"/>
      <c r="BT171" s="60"/>
      <c r="BU171" s="60"/>
      <c r="BV171" s="60"/>
      <c r="BW171" s="60"/>
      <c r="BX171" s="60"/>
      <c r="BY171" s="60"/>
      <c r="BZ171" s="60"/>
      <c r="CA171" s="60"/>
      <c r="CB171" s="60"/>
      <c r="CC171" s="60"/>
      <c r="CD171" s="60"/>
      <c r="CE171" s="60"/>
      <c r="CF171" s="60"/>
      <c r="CG171" s="60"/>
    </row>
    <row r="172" spans="1:85" s="57" customFormat="1" ht="15" customHeight="1" x14ac:dyDescent="0.2">
      <c r="A172" s="57" t="s">
        <v>102</v>
      </c>
      <c r="B172" s="57" t="s">
        <v>101</v>
      </c>
      <c r="C172" s="57" t="s">
        <v>85</v>
      </c>
      <c r="D172" s="57">
        <v>2</v>
      </c>
      <c r="E172" s="57" t="s">
        <v>603</v>
      </c>
      <c r="F172" s="57" t="s">
        <v>604</v>
      </c>
      <c r="G172" s="57" t="s">
        <v>605</v>
      </c>
      <c r="H172" s="60"/>
      <c r="I172" s="60"/>
      <c r="J172" s="60"/>
      <c r="K172" s="60"/>
      <c r="L172" s="60"/>
      <c r="M172" s="60"/>
      <c r="N172" s="60"/>
      <c r="O172" s="60"/>
      <c r="P172" s="60"/>
      <c r="Q172" s="60"/>
      <c r="R172" s="60"/>
      <c r="S172" s="60"/>
      <c r="T172" s="60"/>
      <c r="U172" s="60"/>
      <c r="V172" s="60"/>
      <c r="W172" s="60"/>
      <c r="X172" s="60"/>
      <c r="Y172" s="60"/>
      <c r="Z172" s="60"/>
      <c r="AA172" s="60"/>
      <c r="AB172" s="60"/>
      <c r="AC172" s="60"/>
      <c r="AD172" s="60"/>
      <c r="AE172" s="60"/>
      <c r="AF172" s="60"/>
      <c r="AG172" s="60"/>
      <c r="AH172" s="60"/>
      <c r="AI172" s="60"/>
      <c r="AJ172" s="60"/>
      <c r="AK172" s="60"/>
      <c r="AL172" s="60"/>
      <c r="AM172" s="60"/>
      <c r="AN172" s="60"/>
      <c r="AO172" s="60"/>
      <c r="AP172" s="60"/>
      <c r="AQ172" s="60"/>
      <c r="AR172" s="60"/>
      <c r="AS172" s="60"/>
      <c r="AT172" s="60"/>
      <c r="AU172" s="60"/>
      <c r="AV172" s="60"/>
      <c r="AW172" s="60"/>
      <c r="AX172" s="60"/>
      <c r="AY172" s="60"/>
      <c r="AZ172" s="60"/>
      <c r="BA172" s="60"/>
      <c r="BB172" s="60"/>
      <c r="BC172" s="60"/>
      <c r="BD172" s="60"/>
      <c r="BE172" s="60"/>
      <c r="BF172" s="60"/>
      <c r="BG172" s="60"/>
      <c r="BH172" s="60"/>
      <c r="BI172" s="60"/>
      <c r="BJ172" s="60"/>
      <c r="BK172" s="60"/>
      <c r="BL172" s="60"/>
      <c r="BM172" s="60"/>
      <c r="BN172" s="60"/>
      <c r="BO172" s="60"/>
      <c r="BP172" s="60"/>
      <c r="BQ172" s="60"/>
      <c r="BR172" s="60"/>
      <c r="BS172" s="60"/>
      <c r="BT172" s="60"/>
      <c r="BU172" s="60"/>
      <c r="BV172" s="60"/>
      <c r="BW172" s="60"/>
      <c r="BX172" s="60"/>
      <c r="BY172" s="60"/>
      <c r="BZ172" s="60"/>
      <c r="CA172" s="60"/>
      <c r="CB172" s="60"/>
      <c r="CC172" s="60"/>
      <c r="CD172" s="60"/>
      <c r="CE172" s="60"/>
      <c r="CF172" s="60"/>
      <c r="CG172" s="60"/>
    </row>
    <row r="173" spans="1:85" s="57" customFormat="1" ht="15" customHeight="1" x14ac:dyDescent="0.2">
      <c r="A173" s="57" t="s">
        <v>106</v>
      </c>
      <c r="B173" s="57" t="s">
        <v>105</v>
      </c>
      <c r="C173" s="57" t="s">
        <v>85</v>
      </c>
      <c r="D173" s="57">
        <v>1</v>
      </c>
      <c r="E173" s="57" t="s">
        <v>606</v>
      </c>
      <c r="F173" s="57" t="s">
        <v>607</v>
      </c>
      <c r="G173" s="57" t="s">
        <v>605</v>
      </c>
      <c r="H173" s="60"/>
      <c r="I173" s="60"/>
      <c r="J173" s="60"/>
      <c r="K173" s="60"/>
      <c r="L173" s="60"/>
      <c r="M173" s="60"/>
      <c r="N173" s="60"/>
      <c r="O173" s="60"/>
      <c r="P173" s="60"/>
      <c r="Q173" s="60"/>
      <c r="R173" s="60"/>
      <c r="S173" s="60"/>
      <c r="T173" s="60"/>
      <c r="U173" s="60"/>
      <c r="V173" s="60"/>
      <c r="W173" s="60"/>
      <c r="X173" s="60"/>
      <c r="Y173" s="60"/>
      <c r="Z173" s="60"/>
      <c r="AA173" s="60"/>
      <c r="AB173" s="60"/>
      <c r="AC173" s="60"/>
      <c r="AD173" s="60"/>
      <c r="AE173" s="60"/>
      <c r="AF173" s="60"/>
      <c r="AG173" s="60"/>
      <c r="AH173" s="60"/>
      <c r="AI173" s="60"/>
      <c r="AJ173" s="60"/>
      <c r="AK173" s="60"/>
      <c r="AL173" s="60"/>
      <c r="AM173" s="60"/>
      <c r="AN173" s="60"/>
      <c r="AO173" s="60"/>
      <c r="AP173" s="60"/>
      <c r="AQ173" s="60"/>
      <c r="AR173" s="60"/>
      <c r="AS173" s="60"/>
      <c r="AT173" s="60"/>
      <c r="AU173" s="60"/>
      <c r="AV173" s="60"/>
      <c r="AW173" s="60"/>
      <c r="AX173" s="60"/>
      <c r="AY173" s="60"/>
      <c r="AZ173" s="60"/>
      <c r="BA173" s="60"/>
      <c r="BB173" s="60"/>
      <c r="BC173" s="60"/>
      <c r="BD173" s="60"/>
      <c r="BE173" s="60"/>
      <c r="BF173" s="60"/>
      <c r="BG173" s="60"/>
      <c r="BH173" s="60"/>
      <c r="BI173" s="60"/>
      <c r="BJ173" s="60"/>
      <c r="BK173" s="60"/>
      <c r="BL173" s="60"/>
      <c r="BM173" s="60"/>
      <c r="BN173" s="60"/>
      <c r="BO173" s="60"/>
      <c r="BP173" s="60"/>
      <c r="BQ173" s="60"/>
      <c r="BR173" s="60"/>
      <c r="BS173" s="60"/>
      <c r="BT173" s="60"/>
      <c r="BU173" s="60"/>
      <c r="BV173" s="60"/>
      <c r="BW173" s="60"/>
      <c r="BX173" s="60"/>
      <c r="BY173" s="60"/>
      <c r="BZ173" s="60"/>
      <c r="CA173" s="60"/>
      <c r="CB173" s="60"/>
      <c r="CC173" s="60"/>
      <c r="CD173" s="60"/>
      <c r="CE173" s="60"/>
      <c r="CF173" s="60"/>
      <c r="CG173" s="60"/>
    </row>
    <row r="174" spans="1:85" s="57" customFormat="1" ht="15" customHeight="1" x14ac:dyDescent="0.2">
      <c r="A174" s="57" t="s">
        <v>99</v>
      </c>
      <c r="B174" s="57" t="s">
        <v>97</v>
      </c>
      <c r="C174" s="57" t="s">
        <v>85</v>
      </c>
      <c r="D174" s="57">
        <v>1</v>
      </c>
      <c r="E174" s="57" t="s">
        <v>608</v>
      </c>
      <c r="F174" s="57" t="s">
        <v>609</v>
      </c>
      <c r="G174" s="57" t="s">
        <v>605</v>
      </c>
      <c r="H174" s="60"/>
      <c r="I174" s="60"/>
      <c r="J174" s="60"/>
      <c r="K174" s="60"/>
      <c r="L174" s="60"/>
      <c r="M174" s="60"/>
      <c r="N174" s="60"/>
      <c r="O174" s="60"/>
      <c r="P174" s="60"/>
      <c r="Q174" s="60"/>
      <c r="R174" s="60"/>
      <c r="S174" s="60"/>
      <c r="T174" s="60"/>
      <c r="U174" s="60"/>
      <c r="V174" s="60"/>
      <c r="W174" s="60"/>
      <c r="X174" s="60"/>
      <c r="Y174" s="60"/>
      <c r="Z174" s="60"/>
      <c r="AA174" s="60"/>
      <c r="AB174" s="60"/>
      <c r="AC174" s="60"/>
      <c r="AD174" s="60"/>
      <c r="AE174" s="60"/>
      <c r="AF174" s="60"/>
      <c r="AG174" s="60"/>
      <c r="AH174" s="60"/>
      <c r="AI174" s="60"/>
      <c r="AJ174" s="60"/>
      <c r="AK174" s="60"/>
      <c r="AL174" s="60"/>
      <c r="AM174" s="60"/>
      <c r="AN174" s="60"/>
      <c r="AO174" s="60"/>
      <c r="AP174" s="60"/>
      <c r="AQ174" s="60"/>
      <c r="AR174" s="60"/>
      <c r="AS174" s="60"/>
      <c r="AT174" s="60"/>
      <c r="AU174" s="60"/>
      <c r="AV174" s="60"/>
      <c r="AW174" s="60"/>
      <c r="AX174" s="60"/>
      <c r="AY174" s="60"/>
      <c r="AZ174" s="60"/>
      <c r="BA174" s="60"/>
      <c r="BB174" s="60"/>
      <c r="BC174" s="60"/>
      <c r="BD174" s="60"/>
      <c r="BE174" s="60"/>
      <c r="BF174" s="60"/>
      <c r="BG174" s="60"/>
      <c r="BH174" s="60"/>
      <c r="BI174" s="60"/>
      <c r="BJ174" s="60"/>
      <c r="BK174" s="60"/>
      <c r="BL174" s="60"/>
      <c r="BM174" s="60"/>
      <c r="BN174" s="60"/>
      <c r="BO174" s="60"/>
      <c r="BP174" s="60"/>
      <c r="BQ174" s="60"/>
      <c r="BR174" s="60"/>
      <c r="BS174" s="60"/>
      <c r="BT174" s="60"/>
      <c r="BU174" s="60"/>
      <c r="BV174" s="60"/>
      <c r="BW174" s="60"/>
      <c r="BX174" s="60"/>
      <c r="BY174" s="60"/>
      <c r="BZ174" s="60"/>
      <c r="CA174" s="60"/>
      <c r="CB174" s="60"/>
      <c r="CC174" s="60"/>
      <c r="CD174" s="60"/>
      <c r="CE174" s="60"/>
      <c r="CF174" s="60"/>
      <c r="CG174" s="60"/>
    </row>
    <row r="175" spans="1:85" s="57" customFormat="1" ht="15" customHeight="1" x14ac:dyDescent="0.2">
      <c r="A175" s="57" t="s">
        <v>132</v>
      </c>
      <c r="B175" s="57" t="s">
        <v>130</v>
      </c>
      <c r="C175" s="57" t="s">
        <v>86</v>
      </c>
      <c r="D175" s="57">
        <v>1</v>
      </c>
      <c r="E175" s="57" t="s">
        <v>610</v>
      </c>
      <c r="F175" s="57" t="s">
        <v>611</v>
      </c>
      <c r="G175" s="57" t="s">
        <v>612</v>
      </c>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c r="AE175" s="60"/>
      <c r="AF175" s="60"/>
      <c r="AG175" s="60"/>
      <c r="AH175" s="60"/>
      <c r="AI175" s="60"/>
      <c r="AJ175" s="60"/>
      <c r="AK175" s="60"/>
      <c r="AL175" s="60"/>
      <c r="AM175" s="60"/>
      <c r="AN175" s="60"/>
      <c r="AO175" s="60"/>
      <c r="AP175" s="60"/>
      <c r="AQ175" s="60"/>
      <c r="AR175" s="60"/>
      <c r="AS175" s="60"/>
      <c r="AT175" s="60"/>
      <c r="AU175" s="60"/>
      <c r="AV175" s="60"/>
      <c r="AW175" s="60"/>
      <c r="AX175" s="60"/>
      <c r="AY175" s="60"/>
      <c r="AZ175" s="60"/>
      <c r="BA175" s="60"/>
      <c r="BB175" s="60"/>
      <c r="BC175" s="60"/>
      <c r="BD175" s="60"/>
      <c r="BE175" s="60"/>
      <c r="BF175" s="60"/>
      <c r="BG175" s="60"/>
      <c r="BH175" s="60"/>
      <c r="BI175" s="60"/>
      <c r="BJ175" s="60"/>
      <c r="BK175" s="60"/>
      <c r="BL175" s="60"/>
      <c r="BM175" s="60"/>
      <c r="BN175" s="60"/>
      <c r="BO175" s="60"/>
      <c r="BP175" s="60"/>
      <c r="BQ175" s="60"/>
      <c r="BR175" s="60"/>
      <c r="BS175" s="60"/>
      <c r="BT175" s="60"/>
      <c r="BU175" s="60"/>
      <c r="BV175" s="60"/>
      <c r="BW175" s="60"/>
      <c r="BX175" s="60"/>
      <c r="BY175" s="60"/>
      <c r="BZ175" s="60"/>
      <c r="CA175" s="60"/>
      <c r="CB175" s="60"/>
      <c r="CC175" s="60"/>
      <c r="CD175" s="60"/>
      <c r="CE175" s="60"/>
      <c r="CF175" s="60"/>
      <c r="CG175" s="60"/>
    </row>
    <row r="176" spans="1:85" s="57" customFormat="1" ht="15" customHeight="1" x14ac:dyDescent="0.2">
      <c r="A176" s="57" t="s">
        <v>148</v>
      </c>
      <c r="B176" s="57" t="s">
        <v>147</v>
      </c>
      <c r="C176" s="57" t="s">
        <v>86</v>
      </c>
      <c r="D176" s="57">
        <v>1</v>
      </c>
      <c r="E176" s="57" t="s">
        <v>613</v>
      </c>
      <c r="F176" s="57" t="s">
        <v>614</v>
      </c>
      <c r="G176" s="57" t="s">
        <v>612</v>
      </c>
      <c r="H176" s="60"/>
      <c r="I176" s="60"/>
      <c r="J176" s="60"/>
      <c r="K176" s="60"/>
      <c r="L176" s="60"/>
      <c r="M176" s="60"/>
      <c r="N176" s="60"/>
      <c r="O176" s="60"/>
      <c r="P176" s="60"/>
      <c r="Q176" s="60"/>
      <c r="R176" s="60"/>
      <c r="S176" s="60"/>
      <c r="T176" s="60"/>
      <c r="U176" s="60"/>
      <c r="V176" s="60"/>
      <c r="W176" s="60"/>
      <c r="X176" s="60"/>
      <c r="Y176" s="60"/>
      <c r="Z176" s="60"/>
      <c r="AA176" s="60"/>
      <c r="AB176" s="60"/>
      <c r="AC176" s="60"/>
      <c r="AD176" s="60"/>
      <c r="AE176" s="60"/>
      <c r="AF176" s="60"/>
      <c r="AG176" s="60"/>
      <c r="AH176" s="60"/>
      <c r="AI176" s="60"/>
      <c r="AJ176" s="60"/>
      <c r="AK176" s="60"/>
      <c r="AL176" s="60"/>
      <c r="AM176" s="60"/>
      <c r="AN176" s="60"/>
      <c r="AO176" s="60"/>
      <c r="AP176" s="60"/>
      <c r="AQ176" s="60"/>
      <c r="AR176" s="60"/>
      <c r="AS176" s="60"/>
      <c r="AT176" s="60"/>
      <c r="AU176" s="60"/>
      <c r="AV176" s="60"/>
      <c r="AW176" s="60"/>
      <c r="AX176" s="60"/>
      <c r="AY176" s="60"/>
      <c r="AZ176" s="60"/>
      <c r="BA176" s="60"/>
      <c r="BB176" s="60"/>
      <c r="BC176" s="60"/>
      <c r="BD176" s="60"/>
      <c r="BE176" s="60"/>
      <c r="BF176" s="60"/>
      <c r="BG176" s="60"/>
      <c r="BH176" s="60"/>
      <c r="BI176" s="60"/>
      <c r="BJ176" s="60"/>
      <c r="BK176" s="60"/>
      <c r="BL176" s="60"/>
      <c r="BM176" s="60"/>
      <c r="BN176" s="60"/>
      <c r="BO176" s="60"/>
      <c r="BP176" s="60"/>
      <c r="BQ176" s="60"/>
      <c r="BR176" s="60"/>
      <c r="BS176" s="60"/>
      <c r="BT176" s="60"/>
      <c r="BU176" s="60"/>
      <c r="BV176" s="60"/>
      <c r="BW176" s="60"/>
      <c r="BX176" s="60"/>
      <c r="BY176" s="60"/>
      <c r="BZ176" s="60"/>
      <c r="CA176" s="60"/>
      <c r="CB176" s="60"/>
      <c r="CC176" s="60"/>
      <c r="CD176" s="60"/>
      <c r="CE176" s="60"/>
      <c r="CF176" s="60"/>
      <c r="CG176" s="60"/>
    </row>
    <row r="177" spans="1:85" s="57" customFormat="1" ht="15" customHeight="1" x14ac:dyDescent="0.2">
      <c r="A177" s="57" t="s">
        <v>125</v>
      </c>
      <c r="B177" s="57" t="s">
        <v>124</v>
      </c>
      <c r="C177" s="57" t="s">
        <v>86</v>
      </c>
      <c r="D177" s="57">
        <v>1</v>
      </c>
      <c r="E177" s="57" t="s">
        <v>615</v>
      </c>
      <c r="F177" s="57" t="s">
        <v>616</v>
      </c>
      <c r="G177" s="57" t="s">
        <v>612</v>
      </c>
      <c r="H177" s="60"/>
      <c r="I177" s="60"/>
      <c r="J177" s="60"/>
      <c r="K177" s="60"/>
      <c r="L177" s="60"/>
      <c r="M177" s="60"/>
      <c r="N177" s="60"/>
      <c r="O177" s="60"/>
      <c r="P177" s="60"/>
      <c r="Q177" s="60"/>
      <c r="R177" s="60"/>
      <c r="S177" s="60"/>
      <c r="T177" s="60"/>
      <c r="U177" s="60"/>
      <c r="V177" s="60"/>
      <c r="W177" s="60"/>
      <c r="X177" s="60"/>
      <c r="Y177" s="60"/>
      <c r="Z177" s="60"/>
      <c r="AA177" s="60"/>
      <c r="AB177" s="60"/>
      <c r="AC177" s="60"/>
      <c r="AD177" s="60"/>
      <c r="AE177" s="60"/>
      <c r="AF177" s="60"/>
      <c r="AG177" s="60"/>
      <c r="AH177" s="60"/>
      <c r="AI177" s="60"/>
      <c r="AJ177" s="60"/>
      <c r="AK177" s="60"/>
      <c r="AL177" s="60"/>
      <c r="AM177" s="60"/>
      <c r="AN177" s="60"/>
      <c r="AO177" s="60"/>
      <c r="AP177" s="60"/>
      <c r="AQ177" s="60"/>
      <c r="AR177" s="60"/>
      <c r="AS177" s="60"/>
      <c r="AT177" s="60"/>
      <c r="AU177" s="60"/>
      <c r="AV177" s="60"/>
      <c r="AW177" s="60"/>
      <c r="AX177" s="60"/>
      <c r="AY177" s="60"/>
      <c r="AZ177" s="60"/>
      <c r="BA177" s="60"/>
      <c r="BB177" s="60"/>
      <c r="BC177" s="60"/>
      <c r="BD177" s="60"/>
      <c r="BE177" s="60"/>
      <c r="BF177" s="60"/>
      <c r="BG177" s="60"/>
      <c r="BH177" s="60"/>
      <c r="BI177" s="60"/>
      <c r="BJ177" s="60"/>
      <c r="BK177" s="60"/>
      <c r="BL177" s="60"/>
      <c r="BM177" s="60"/>
      <c r="BN177" s="60"/>
      <c r="BO177" s="60"/>
      <c r="BP177" s="60"/>
      <c r="BQ177" s="60"/>
      <c r="BR177" s="60"/>
      <c r="BS177" s="60"/>
      <c r="BT177" s="60"/>
      <c r="BU177" s="60"/>
      <c r="BV177" s="60"/>
      <c r="BW177" s="60"/>
      <c r="BX177" s="60"/>
      <c r="BY177" s="60"/>
      <c r="BZ177" s="60"/>
      <c r="CA177" s="60"/>
      <c r="CB177" s="60"/>
      <c r="CC177" s="60"/>
      <c r="CD177" s="60"/>
      <c r="CE177" s="60"/>
      <c r="CF177" s="60"/>
      <c r="CG177" s="60"/>
    </row>
    <row r="178" spans="1:85" s="57" customFormat="1" ht="15" customHeight="1" x14ac:dyDescent="0.2">
      <c r="A178" s="57" t="s">
        <v>104</v>
      </c>
      <c r="B178" s="57" t="s">
        <v>103</v>
      </c>
      <c r="C178" s="57" t="s">
        <v>86</v>
      </c>
      <c r="D178" s="57">
        <v>1</v>
      </c>
      <c r="E178" s="57" t="s">
        <v>617</v>
      </c>
      <c r="F178" s="57" t="s">
        <v>618</v>
      </c>
      <c r="G178" s="57" t="s">
        <v>612</v>
      </c>
      <c r="H178" s="60"/>
      <c r="I178" s="60"/>
      <c r="J178" s="60"/>
      <c r="K178" s="60"/>
      <c r="L178" s="60"/>
      <c r="M178" s="60"/>
      <c r="N178" s="60"/>
      <c r="O178" s="60"/>
      <c r="P178" s="60"/>
      <c r="Q178" s="60"/>
      <c r="R178" s="60"/>
      <c r="S178" s="60"/>
      <c r="T178" s="60"/>
      <c r="U178" s="60"/>
      <c r="V178" s="60"/>
      <c r="W178" s="60"/>
      <c r="X178" s="60"/>
      <c r="Y178" s="60"/>
      <c r="Z178" s="60"/>
      <c r="AA178" s="60"/>
      <c r="AB178" s="60"/>
      <c r="AC178" s="60"/>
      <c r="AD178" s="60"/>
      <c r="AE178" s="60"/>
      <c r="AF178" s="60"/>
      <c r="AG178" s="60"/>
      <c r="AH178" s="60"/>
      <c r="AI178" s="60"/>
      <c r="AJ178" s="60"/>
      <c r="AK178" s="60"/>
      <c r="AL178" s="60"/>
      <c r="AM178" s="60"/>
      <c r="AN178" s="60"/>
      <c r="AO178" s="60"/>
      <c r="AP178" s="60"/>
      <c r="AQ178" s="60"/>
      <c r="AR178" s="60"/>
      <c r="AS178" s="60"/>
      <c r="AT178" s="60"/>
      <c r="AU178" s="60"/>
      <c r="AV178" s="60"/>
      <c r="AW178" s="60"/>
      <c r="AX178" s="60"/>
      <c r="AY178" s="60"/>
      <c r="AZ178" s="60"/>
      <c r="BA178" s="60"/>
      <c r="BB178" s="60"/>
      <c r="BC178" s="60"/>
      <c r="BD178" s="60"/>
      <c r="BE178" s="60"/>
      <c r="BF178" s="60"/>
      <c r="BG178" s="60"/>
      <c r="BH178" s="60"/>
      <c r="BI178" s="60"/>
      <c r="BJ178" s="60"/>
      <c r="BK178" s="60"/>
      <c r="BL178" s="60"/>
      <c r="BM178" s="60"/>
      <c r="BN178" s="60"/>
      <c r="BO178" s="60"/>
      <c r="BP178" s="60"/>
      <c r="BQ178" s="60"/>
      <c r="BR178" s="60"/>
      <c r="BS178" s="60"/>
      <c r="BT178" s="60"/>
      <c r="BU178" s="60"/>
      <c r="BV178" s="60"/>
      <c r="BW178" s="60"/>
      <c r="BX178" s="60"/>
      <c r="BY178" s="60"/>
      <c r="BZ178" s="60"/>
      <c r="CA178" s="60"/>
      <c r="CB178" s="60"/>
      <c r="CC178" s="60"/>
      <c r="CD178" s="60"/>
      <c r="CE178" s="60"/>
      <c r="CF178" s="60"/>
      <c r="CG178" s="60"/>
    </row>
    <row r="179" spans="1:85" s="57" customFormat="1" ht="15" customHeight="1" x14ac:dyDescent="0.2">
      <c r="A179" s="57" t="s">
        <v>146</v>
      </c>
      <c r="B179" s="57" t="s">
        <v>145</v>
      </c>
      <c r="C179" s="57" t="s">
        <v>79</v>
      </c>
      <c r="D179" s="57">
        <v>2</v>
      </c>
      <c r="E179" s="57" t="s">
        <v>619</v>
      </c>
      <c r="F179" s="57" t="s">
        <v>620</v>
      </c>
      <c r="G179" s="57" t="s">
        <v>522</v>
      </c>
      <c r="H179" s="60"/>
      <c r="I179" s="60"/>
      <c r="J179" s="60"/>
      <c r="K179" s="60"/>
      <c r="L179" s="60"/>
      <c r="M179" s="60"/>
      <c r="N179" s="60"/>
      <c r="O179" s="60"/>
      <c r="P179" s="60"/>
      <c r="Q179" s="60"/>
      <c r="R179" s="60"/>
      <c r="S179" s="60"/>
      <c r="T179" s="60"/>
      <c r="U179" s="60"/>
      <c r="V179" s="60"/>
      <c r="W179" s="60"/>
      <c r="X179" s="60"/>
      <c r="Y179" s="60"/>
      <c r="Z179" s="60"/>
      <c r="AA179" s="60"/>
      <c r="AB179" s="60"/>
      <c r="AC179" s="60"/>
      <c r="AD179" s="60"/>
      <c r="AE179" s="60"/>
      <c r="AF179" s="60"/>
      <c r="AG179" s="60"/>
      <c r="AH179" s="60"/>
      <c r="AI179" s="60"/>
      <c r="AJ179" s="60"/>
      <c r="AK179" s="60"/>
      <c r="AL179" s="60"/>
      <c r="AM179" s="60"/>
      <c r="AN179" s="60"/>
      <c r="AO179" s="60"/>
      <c r="AP179" s="60"/>
      <c r="AQ179" s="60"/>
      <c r="AR179" s="60"/>
      <c r="AS179" s="60"/>
      <c r="AT179" s="60"/>
      <c r="AU179" s="60"/>
      <c r="AV179" s="60"/>
      <c r="AW179" s="60"/>
      <c r="AX179" s="60"/>
      <c r="AY179" s="60"/>
      <c r="AZ179" s="60"/>
      <c r="BA179" s="60"/>
      <c r="BB179" s="60"/>
      <c r="BC179" s="60"/>
      <c r="BD179" s="60"/>
      <c r="BE179" s="60"/>
      <c r="BF179" s="60"/>
      <c r="BG179" s="60"/>
      <c r="BH179" s="60"/>
      <c r="BI179" s="60"/>
      <c r="BJ179" s="60"/>
      <c r="BK179" s="60"/>
      <c r="BL179" s="60"/>
      <c r="BM179" s="60"/>
      <c r="BN179" s="60"/>
      <c r="BO179" s="60"/>
      <c r="BP179" s="60"/>
      <c r="BQ179" s="60"/>
      <c r="BR179" s="60"/>
      <c r="BS179" s="60"/>
      <c r="BT179" s="60"/>
      <c r="BU179" s="60"/>
      <c r="BV179" s="60"/>
      <c r="BW179" s="60"/>
      <c r="BX179" s="60"/>
      <c r="BY179" s="60"/>
      <c r="BZ179" s="60"/>
      <c r="CA179" s="60"/>
      <c r="CB179" s="60"/>
      <c r="CC179" s="60"/>
      <c r="CD179" s="60"/>
      <c r="CE179" s="60"/>
      <c r="CF179" s="60"/>
      <c r="CG179" s="60"/>
    </row>
    <row r="180" spans="1:85" s="57" customFormat="1" ht="15" customHeight="1" x14ac:dyDescent="0.2">
      <c r="A180" s="57" t="s">
        <v>621</v>
      </c>
      <c r="B180" s="57" t="s">
        <v>121</v>
      </c>
      <c r="C180" s="57" t="s">
        <v>79</v>
      </c>
      <c r="D180" s="57">
        <v>2</v>
      </c>
      <c r="E180" s="57" t="s">
        <v>622</v>
      </c>
      <c r="F180" s="57" t="s">
        <v>623</v>
      </c>
      <c r="G180" s="57" t="s">
        <v>522</v>
      </c>
      <c r="H180" s="60"/>
      <c r="I180" s="60"/>
      <c r="J180" s="60"/>
      <c r="K180" s="60"/>
      <c r="L180" s="60"/>
      <c r="M180" s="60"/>
      <c r="N180" s="60"/>
      <c r="O180" s="60"/>
      <c r="P180" s="60"/>
      <c r="Q180" s="60"/>
      <c r="R180" s="60"/>
      <c r="S180" s="60"/>
      <c r="T180" s="60"/>
      <c r="U180" s="60"/>
      <c r="V180" s="60"/>
      <c r="W180" s="60"/>
      <c r="X180" s="60"/>
      <c r="Y180" s="60"/>
      <c r="Z180" s="60"/>
      <c r="AA180" s="60"/>
      <c r="AB180" s="60"/>
      <c r="AC180" s="60"/>
      <c r="AD180" s="60"/>
      <c r="AE180" s="60"/>
      <c r="AF180" s="60"/>
      <c r="AG180" s="60"/>
      <c r="AH180" s="60"/>
      <c r="AI180" s="60"/>
      <c r="AJ180" s="60"/>
      <c r="AK180" s="60"/>
      <c r="AL180" s="60"/>
      <c r="AM180" s="60"/>
      <c r="AN180" s="60"/>
      <c r="AO180" s="60"/>
      <c r="AP180" s="60"/>
      <c r="AQ180" s="60"/>
      <c r="AR180" s="60"/>
      <c r="AS180" s="60"/>
      <c r="AT180" s="60"/>
      <c r="AU180" s="60"/>
      <c r="AV180" s="60"/>
      <c r="AW180" s="60"/>
      <c r="AX180" s="60"/>
      <c r="AY180" s="60"/>
      <c r="AZ180" s="60"/>
      <c r="BA180" s="60"/>
      <c r="BB180" s="60"/>
      <c r="BC180" s="60"/>
      <c r="BD180" s="60"/>
      <c r="BE180" s="60"/>
      <c r="BF180" s="60"/>
      <c r="BG180" s="60"/>
      <c r="BH180" s="60"/>
      <c r="BI180" s="60"/>
      <c r="BJ180" s="60"/>
      <c r="BK180" s="60"/>
      <c r="BL180" s="60"/>
      <c r="BM180" s="60"/>
      <c r="BN180" s="60"/>
      <c r="BO180" s="60"/>
      <c r="BP180" s="60"/>
      <c r="BQ180" s="60"/>
      <c r="BR180" s="60"/>
      <c r="BS180" s="60"/>
      <c r="BT180" s="60"/>
      <c r="BU180" s="60"/>
      <c r="BV180" s="60"/>
      <c r="BW180" s="60"/>
      <c r="BX180" s="60"/>
      <c r="BY180" s="60"/>
      <c r="BZ180" s="60"/>
      <c r="CA180" s="60"/>
      <c r="CB180" s="60"/>
      <c r="CC180" s="60"/>
      <c r="CD180" s="60"/>
      <c r="CE180" s="60"/>
      <c r="CF180" s="60"/>
      <c r="CG180" s="60"/>
    </row>
    <row r="181" spans="1:85" s="57" customFormat="1" ht="15" customHeight="1" x14ac:dyDescent="0.2">
      <c r="A181" s="57" t="s">
        <v>120</v>
      </c>
      <c r="B181" s="57" t="s">
        <v>119</v>
      </c>
      <c r="C181" s="57" t="s">
        <v>81</v>
      </c>
      <c r="D181" s="57">
        <v>1</v>
      </c>
      <c r="E181" s="57" t="s">
        <v>624</v>
      </c>
      <c r="F181" s="57" t="s">
        <v>625</v>
      </c>
      <c r="G181" s="57" t="s">
        <v>626</v>
      </c>
      <c r="H181" s="60"/>
      <c r="I181" s="60"/>
      <c r="J181" s="60"/>
      <c r="K181" s="60"/>
      <c r="L181" s="60"/>
      <c r="M181" s="60"/>
      <c r="N181" s="60"/>
      <c r="O181" s="60"/>
      <c r="P181" s="60"/>
      <c r="Q181" s="60"/>
      <c r="R181" s="60"/>
      <c r="S181" s="60"/>
      <c r="T181" s="60"/>
      <c r="U181" s="60"/>
      <c r="V181" s="60"/>
      <c r="W181" s="60"/>
      <c r="X181" s="60"/>
      <c r="Y181" s="60"/>
      <c r="Z181" s="60"/>
      <c r="AA181" s="60"/>
      <c r="AB181" s="60"/>
      <c r="AC181" s="60"/>
      <c r="AD181" s="60"/>
      <c r="AE181" s="60"/>
      <c r="AF181" s="60"/>
      <c r="AG181" s="60"/>
      <c r="AH181" s="60"/>
      <c r="AI181" s="60"/>
      <c r="AJ181" s="60"/>
      <c r="AK181" s="60"/>
      <c r="AL181" s="60"/>
      <c r="AM181" s="60"/>
      <c r="AN181" s="60"/>
      <c r="AO181" s="60"/>
      <c r="AP181" s="60"/>
      <c r="AQ181" s="60"/>
      <c r="AR181" s="60"/>
      <c r="AS181" s="60"/>
      <c r="AT181" s="60"/>
      <c r="AU181" s="60"/>
      <c r="AV181" s="60"/>
      <c r="AW181" s="60"/>
      <c r="AX181" s="60"/>
      <c r="AY181" s="60"/>
      <c r="AZ181" s="60"/>
      <c r="BA181" s="60"/>
      <c r="BB181" s="60"/>
      <c r="BC181" s="60"/>
      <c r="BD181" s="60"/>
      <c r="BE181" s="60"/>
      <c r="BF181" s="60"/>
      <c r="BG181" s="60"/>
      <c r="BH181" s="60"/>
      <c r="BI181" s="60"/>
      <c r="BJ181" s="60"/>
      <c r="BK181" s="60"/>
      <c r="BL181" s="60"/>
      <c r="BM181" s="60"/>
      <c r="BN181" s="60"/>
      <c r="BO181" s="60"/>
      <c r="BP181" s="60"/>
      <c r="BQ181" s="60"/>
      <c r="BR181" s="60"/>
      <c r="BS181" s="60"/>
      <c r="BT181" s="60"/>
      <c r="BU181" s="60"/>
      <c r="BV181" s="60"/>
      <c r="BW181" s="60"/>
      <c r="BX181" s="60"/>
      <c r="BY181" s="60"/>
      <c r="BZ181" s="60"/>
      <c r="CA181" s="60"/>
      <c r="CB181" s="60"/>
      <c r="CC181" s="60"/>
      <c r="CD181" s="60"/>
      <c r="CE181" s="60"/>
      <c r="CF181" s="60"/>
      <c r="CG181" s="60"/>
    </row>
    <row r="182" spans="1:85" s="57" customFormat="1" ht="15" customHeight="1" x14ac:dyDescent="0.2">
      <c r="A182" s="57" t="s">
        <v>136</v>
      </c>
      <c r="B182" s="57" t="s">
        <v>135</v>
      </c>
      <c r="C182" s="57" t="s">
        <v>86</v>
      </c>
      <c r="D182" s="57">
        <v>1</v>
      </c>
      <c r="E182" s="57" t="s">
        <v>627</v>
      </c>
      <c r="F182" s="57" t="s">
        <v>628</v>
      </c>
      <c r="G182" s="57" t="s">
        <v>629</v>
      </c>
      <c r="H182" s="60"/>
      <c r="I182" s="60"/>
      <c r="J182" s="60"/>
      <c r="K182" s="60"/>
      <c r="L182" s="60"/>
      <c r="M182" s="60"/>
      <c r="N182" s="60"/>
      <c r="O182" s="60"/>
      <c r="P182" s="60"/>
      <c r="Q182" s="60"/>
      <c r="R182" s="60"/>
      <c r="S182" s="60"/>
      <c r="T182" s="60"/>
      <c r="U182" s="60"/>
      <c r="V182" s="60"/>
      <c r="W182" s="60"/>
      <c r="X182" s="60"/>
      <c r="Y182" s="60"/>
      <c r="Z182" s="60"/>
      <c r="AA182" s="60"/>
      <c r="AB182" s="60"/>
      <c r="AC182" s="60"/>
      <c r="AD182" s="60"/>
      <c r="AE182" s="60"/>
      <c r="AF182" s="60"/>
      <c r="AG182" s="60"/>
      <c r="AH182" s="60"/>
      <c r="AI182" s="60"/>
      <c r="AJ182" s="60"/>
      <c r="AK182" s="60"/>
      <c r="AL182" s="60"/>
      <c r="AM182" s="60"/>
      <c r="AN182" s="60"/>
      <c r="AO182" s="60"/>
      <c r="AP182" s="60"/>
      <c r="AQ182" s="60"/>
      <c r="AR182" s="60"/>
      <c r="AS182" s="60"/>
      <c r="AT182" s="60"/>
      <c r="AU182" s="60"/>
      <c r="AV182" s="60"/>
      <c r="AW182" s="60"/>
      <c r="AX182" s="60"/>
      <c r="AY182" s="60"/>
      <c r="AZ182" s="60"/>
      <c r="BA182" s="60"/>
      <c r="BB182" s="60"/>
      <c r="BC182" s="60"/>
      <c r="BD182" s="60"/>
      <c r="BE182" s="60"/>
      <c r="BF182" s="60"/>
      <c r="BG182" s="60"/>
      <c r="BH182" s="60"/>
      <c r="BI182" s="60"/>
      <c r="BJ182" s="60"/>
      <c r="BK182" s="60"/>
      <c r="BL182" s="60"/>
      <c r="BM182" s="60"/>
      <c r="BN182" s="60"/>
      <c r="BO182" s="60"/>
      <c r="BP182" s="60"/>
      <c r="BQ182" s="60"/>
      <c r="BR182" s="60"/>
      <c r="BS182" s="60"/>
      <c r="BT182" s="60"/>
      <c r="BU182" s="60"/>
      <c r="BV182" s="60"/>
      <c r="BW182" s="60"/>
      <c r="BX182" s="60"/>
      <c r="BY182" s="60"/>
      <c r="BZ182" s="60"/>
      <c r="CA182" s="60"/>
      <c r="CB182" s="60"/>
      <c r="CC182" s="60"/>
      <c r="CD182" s="60"/>
      <c r="CE182" s="60"/>
      <c r="CF182" s="60"/>
      <c r="CG182" s="60"/>
    </row>
    <row r="183" spans="1:85" s="57" customFormat="1" ht="15" customHeight="1" x14ac:dyDescent="0.2">
      <c r="A183" s="57" t="s">
        <v>621</v>
      </c>
      <c r="B183" s="57" t="s">
        <v>121</v>
      </c>
      <c r="C183" s="57" t="s">
        <v>86</v>
      </c>
      <c r="D183" s="57">
        <v>1</v>
      </c>
      <c r="E183" s="57" t="s">
        <v>630</v>
      </c>
      <c r="F183" s="57" t="s">
        <v>631</v>
      </c>
      <c r="G183" s="57" t="s">
        <v>629</v>
      </c>
      <c r="H183" s="60"/>
      <c r="I183" s="60"/>
      <c r="J183" s="60"/>
      <c r="K183" s="60"/>
      <c r="L183" s="60"/>
      <c r="M183" s="60"/>
      <c r="N183" s="60"/>
      <c r="O183" s="60"/>
      <c r="P183" s="60"/>
      <c r="Q183" s="60"/>
      <c r="R183" s="60"/>
      <c r="S183" s="60"/>
      <c r="T183" s="60"/>
      <c r="U183" s="60"/>
      <c r="V183" s="60"/>
      <c r="W183" s="60"/>
      <c r="X183" s="60"/>
      <c r="Y183" s="60"/>
      <c r="Z183" s="60"/>
      <c r="AA183" s="60"/>
      <c r="AB183" s="60"/>
      <c r="AC183" s="60"/>
      <c r="AD183" s="60"/>
      <c r="AE183" s="60"/>
      <c r="AF183" s="60"/>
      <c r="AG183" s="60"/>
      <c r="AH183" s="60"/>
      <c r="AI183" s="60"/>
      <c r="AJ183" s="60"/>
      <c r="AK183" s="60"/>
      <c r="AL183" s="60"/>
      <c r="AM183" s="60"/>
      <c r="AN183" s="60"/>
      <c r="AO183" s="60"/>
      <c r="AP183" s="60"/>
      <c r="AQ183" s="60"/>
      <c r="AR183" s="60"/>
      <c r="AS183" s="60"/>
      <c r="AT183" s="60"/>
      <c r="AU183" s="60"/>
      <c r="AV183" s="60"/>
      <c r="AW183" s="60"/>
      <c r="AX183" s="60"/>
      <c r="AY183" s="60"/>
      <c r="AZ183" s="60"/>
      <c r="BA183" s="60"/>
      <c r="BB183" s="60"/>
      <c r="BC183" s="60"/>
      <c r="BD183" s="60"/>
      <c r="BE183" s="60"/>
      <c r="BF183" s="60"/>
      <c r="BG183" s="60"/>
      <c r="BH183" s="60"/>
      <c r="BI183" s="60"/>
      <c r="BJ183" s="60"/>
      <c r="BK183" s="60"/>
      <c r="BL183" s="60"/>
      <c r="BM183" s="60"/>
      <c r="BN183" s="60"/>
      <c r="BO183" s="60"/>
      <c r="BP183" s="60"/>
      <c r="BQ183" s="60"/>
      <c r="BR183" s="60"/>
      <c r="BS183" s="60"/>
      <c r="BT183" s="60"/>
      <c r="BU183" s="60"/>
      <c r="BV183" s="60"/>
      <c r="BW183" s="60"/>
      <c r="BX183" s="60"/>
      <c r="BY183" s="60"/>
      <c r="BZ183" s="60"/>
      <c r="CA183" s="60"/>
      <c r="CB183" s="60"/>
      <c r="CC183" s="60"/>
      <c r="CD183" s="60"/>
      <c r="CE183" s="60"/>
      <c r="CF183" s="60"/>
      <c r="CG183" s="60"/>
    </row>
    <row r="184" spans="1:85" s="60" customFormat="1" ht="15" customHeight="1" x14ac:dyDescent="0.2">
      <c r="A184" s="57" t="s">
        <v>161</v>
      </c>
      <c r="B184" s="57" t="s">
        <v>234</v>
      </c>
      <c r="C184" s="57" t="s">
        <v>84</v>
      </c>
      <c r="D184" s="57">
        <v>2</v>
      </c>
      <c r="E184" s="57" t="s">
        <v>632</v>
      </c>
      <c r="F184" s="57" t="s">
        <v>633</v>
      </c>
      <c r="G184" s="57" t="s">
        <v>634</v>
      </c>
    </row>
    <row r="185" spans="1:85" s="60" customFormat="1" ht="15" customHeight="1" x14ac:dyDescent="0.2">
      <c r="A185" s="57" t="s">
        <v>157</v>
      </c>
      <c r="B185" s="57" t="s">
        <v>234</v>
      </c>
      <c r="C185" s="57" t="s">
        <v>84</v>
      </c>
      <c r="D185" s="57">
        <v>2</v>
      </c>
      <c r="E185" s="57" t="s">
        <v>635</v>
      </c>
      <c r="F185" s="57" t="s">
        <v>636</v>
      </c>
      <c r="G185" s="57" t="s">
        <v>634</v>
      </c>
    </row>
    <row r="186" spans="1:85" s="60" customFormat="1" ht="15" customHeight="1" x14ac:dyDescent="0.2">
      <c r="A186" s="57" t="s">
        <v>153</v>
      </c>
      <c r="B186" s="57" t="s">
        <v>330</v>
      </c>
      <c r="C186" s="57" t="s">
        <v>84</v>
      </c>
      <c r="D186" s="57">
        <v>2</v>
      </c>
      <c r="E186" s="57" t="s">
        <v>637</v>
      </c>
      <c r="F186" s="57" t="s">
        <v>638</v>
      </c>
      <c r="G186" s="57" t="s">
        <v>634</v>
      </c>
    </row>
    <row r="187" spans="1:85" s="60" customFormat="1" ht="15" customHeight="1" x14ac:dyDescent="0.2"/>
    <row r="188" spans="1:85" s="60" customFormat="1" ht="15" customHeight="1" x14ac:dyDescent="0.2"/>
    <row r="189" spans="1:85" s="60" customFormat="1" ht="15" customHeight="1" x14ac:dyDescent="0.2"/>
    <row r="190" spans="1:85" s="13" customFormat="1" ht="15" customHeight="1" x14ac:dyDescent="0.2"/>
    <row r="191" spans="1:85" s="13" customFormat="1" ht="15" customHeight="1" x14ac:dyDescent="0.2"/>
    <row r="192" spans="1:85" s="13" customFormat="1" ht="15" customHeight="1" x14ac:dyDescent="0.2"/>
    <row r="193" s="13" customFormat="1" ht="15" customHeight="1" x14ac:dyDescent="0.2"/>
    <row r="194" s="13" customFormat="1" ht="15" customHeight="1" x14ac:dyDescent="0.2"/>
    <row r="195" s="13" customFormat="1" ht="15" customHeight="1" x14ac:dyDescent="0.2"/>
    <row r="196" s="13" customFormat="1" ht="15" customHeight="1" x14ac:dyDescent="0.2"/>
    <row r="197" s="13" customFormat="1" ht="15" customHeight="1" x14ac:dyDescent="0.2"/>
    <row r="198" s="13" customFormat="1" ht="15" customHeight="1" x14ac:dyDescent="0.2"/>
    <row r="199" s="13" customFormat="1" ht="15" customHeight="1" x14ac:dyDescent="0.2"/>
    <row r="200" s="13" customFormat="1" ht="15" customHeight="1" x14ac:dyDescent="0.2"/>
    <row r="201" s="13" customFormat="1" ht="15" customHeight="1" x14ac:dyDescent="0.2"/>
    <row r="202" s="13" customFormat="1" ht="15" customHeight="1" x14ac:dyDescent="0.2"/>
    <row r="203" s="13" customFormat="1" ht="15" customHeight="1" x14ac:dyDescent="0.2"/>
    <row r="204" s="13" customFormat="1" ht="15" customHeight="1" x14ac:dyDescent="0.2"/>
    <row r="205" s="13" customFormat="1" ht="15" customHeight="1" x14ac:dyDescent="0.2"/>
    <row r="206" s="13" customFormat="1" ht="15" customHeight="1" x14ac:dyDescent="0.2"/>
    <row r="207" s="13" customFormat="1" ht="15" customHeight="1" x14ac:dyDescent="0.2"/>
    <row r="208" s="13" customFormat="1" ht="15" customHeight="1" x14ac:dyDescent="0.2"/>
    <row r="209" s="13" customFormat="1" ht="15" customHeight="1" x14ac:dyDescent="0.2"/>
    <row r="210" s="13" customFormat="1" ht="15" customHeight="1" x14ac:dyDescent="0.2"/>
    <row r="211" s="13" customFormat="1" ht="15" customHeight="1" x14ac:dyDescent="0.2"/>
    <row r="212" s="13" customFormat="1" ht="15" customHeight="1" x14ac:dyDescent="0.2"/>
    <row r="213" s="13" customFormat="1" ht="15" customHeight="1" x14ac:dyDescent="0.2"/>
    <row r="214" s="13" customFormat="1" ht="15" customHeight="1" x14ac:dyDescent="0.2"/>
    <row r="215" s="13" customFormat="1" ht="15" customHeight="1" x14ac:dyDescent="0.2"/>
    <row r="216" s="13" customFormat="1" ht="15" customHeight="1" x14ac:dyDescent="0.2"/>
    <row r="217" s="13" customFormat="1" ht="15" customHeight="1" x14ac:dyDescent="0.2"/>
    <row r="218" s="13" customFormat="1" ht="15" customHeight="1" x14ac:dyDescent="0.2"/>
    <row r="219" s="13" customFormat="1" ht="15" customHeight="1" x14ac:dyDescent="0.2"/>
    <row r="220" s="13" customFormat="1" ht="15" customHeight="1" x14ac:dyDescent="0.2"/>
    <row r="221" s="13" customFormat="1" ht="15" customHeight="1" x14ac:dyDescent="0.2"/>
    <row r="222" s="13" customFormat="1" ht="15" customHeight="1" x14ac:dyDescent="0.2"/>
    <row r="223" s="13" customFormat="1" ht="15" customHeight="1" x14ac:dyDescent="0.2"/>
    <row r="224" s="13" customFormat="1" ht="15" customHeight="1" x14ac:dyDescent="0.2"/>
    <row r="225" s="13" customFormat="1" ht="15" customHeight="1" x14ac:dyDescent="0.2"/>
    <row r="226" s="13" customFormat="1" ht="15" customHeight="1" x14ac:dyDescent="0.2"/>
    <row r="227" s="13" customFormat="1" ht="15" customHeight="1" x14ac:dyDescent="0.2"/>
    <row r="228" s="13" customFormat="1" ht="15" customHeight="1" x14ac:dyDescent="0.2"/>
    <row r="229" s="13" customFormat="1" ht="15" customHeight="1" x14ac:dyDescent="0.2"/>
    <row r="230" s="13" customFormat="1" ht="15" customHeight="1" x14ac:dyDescent="0.2"/>
    <row r="231" s="13" customFormat="1" ht="15" customHeight="1" x14ac:dyDescent="0.2"/>
    <row r="232" s="13" customFormat="1" ht="15" customHeight="1" x14ac:dyDescent="0.2"/>
    <row r="233" s="13" customFormat="1" ht="15" customHeight="1" x14ac:dyDescent="0.2"/>
    <row r="234" s="13" customFormat="1" ht="15" customHeight="1" x14ac:dyDescent="0.2"/>
    <row r="235" s="13" customFormat="1" ht="15" customHeight="1" x14ac:dyDescent="0.2"/>
    <row r="236" s="13" customFormat="1" ht="15" customHeight="1" x14ac:dyDescent="0.2"/>
    <row r="237" s="13" customFormat="1" ht="15" customHeight="1" x14ac:dyDescent="0.2"/>
    <row r="238" s="13" customFormat="1" ht="15" customHeight="1" x14ac:dyDescent="0.2"/>
    <row r="239" s="13" customFormat="1" ht="15" customHeight="1" x14ac:dyDescent="0.2"/>
    <row r="240" s="13" customFormat="1" ht="15" customHeight="1" x14ac:dyDescent="0.2"/>
    <row r="241" s="13" customFormat="1" ht="15" customHeight="1" x14ac:dyDescent="0.2"/>
    <row r="242" s="13" customFormat="1" ht="15" customHeight="1" x14ac:dyDescent="0.2"/>
    <row r="243" s="13" customFormat="1" ht="15" customHeight="1" x14ac:dyDescent="0.2"/>
    <row r="244" s="13" customFormat="1" ht="15" customHeight="1" x14ac:dyDescent="0.2"/>
    <row r="245" s="13" customFormat="1" ht="15" customHeight="1" x14ac:dyDescent="0.2"/>
    <row r="246" s="13" customFormat="1" ht="15" customHeight="1" x14ac:dyDescent="0.2"/>
    <row r="247" s="13" customFormat="1" ht="15" customHeight="1" x14ac:dyDescent="0.2"/>
    <row r="248" s="13" customFormat="1" ht="15" customHeight="1" x14ac:dyDescent="0.2"/>
    <row r="249" s="13" customFormat="1" ht="15" customHeight="1" x14ac:dyDescent="0.2"/>
    <row r="250" s="13" customFormat="1" ht="15" customHeight="1" x14ac:dyDescent="0.2"/>
    <row r="251" s="13" customFormat="1" ht="15" customHeight="1" x14ac:dyDescent="0.2"/>
    <row r="252" s="13" customFormat="1" ht="15" customHeight="1" x14ac:dyDescent="0.2"/>
    <row r="253" s="13" customFormat="1" ht="15" customHeight="1" x14ac:dyDescent="0.2"/>
    <row r="254" s="13" customFormat="1" ht="15" customHeight="1" x14ac:dyDescent="0.2"/>
    <row r="255" s="13" customFormat="1" ht="15" customHeight="1" x14ac:dyDescent="0.2"/>
    <row r="256" s="13" customFormat="1" ht="15" customHeight="1" x14ac:dyDescent="0.2"/>
    <row r="257" s="13" customFormat="1" ht="15" customHeight="1" x14ac:dyDescent="0.2"/>
    <row r="258" s="13" customFormat="1" ht="15" customHeight="1" x14ac:dyDescent="0.2"/>
    <row r="259" s="13" customFormat="1" ht="15" customHeight="1" x14ac:dyDescent="0.2"/>
    <row r="260" s="13" customFormat="1" ht="15" customHeight="1" x14ac:dyDescent="0.2"/>
    <row r="261" s="13" customFormat="1" ht="15" customHeight="1" x14ac:dyDescent="0.2"/>
    <row r="262" s="13" customFormat="1" ht="15" customHeight="1" x14ac:dyDescent="0.2"/>
    <row r="263" s="13" customFormat="1" ht="15" customHeight="1" x14ac:dyDescent="0.2"/>
    <row r="264" s="13" customFormat="1" ht="15" customHeight="1" x14ac:dyDescent="0.2"/>
    <row r="265" s="13" customFormat="1" ht="15" customHeight="1" x14ac:dyDescent="0.2"/>
    <row r="266" s="13" customFormat="1" ht="15" customHeight="1" x14ac:dyDescent="0.2"/>
    <row r="267" s="13" customFormat="1" ht="15" customHeight="1" x14ac:dyDescent="0.2"/>
    <row r="268" s="13" customFormat="1" ht="15" customHeight="1" x14ac:dyDescent="0.2"/>
    <row r="269" s="13" customFormat="1" ht="15" customHeight="1" x14ac:dyDescent="0.2"/>
    <row r="270" s="13" customFormat="1" ht="15" customHeight="1" x14ac:dyDescent="0.2"/>
    <row r="271" s="13" customFormat="1" ht="15" customHeight="1" x14ac:dyDescent="0.2"/>
    <row r="272" s="13" customFormat="1" ht="15" customHeight="1" x14ac:dyDescent="0.2"/>
    <row r="273" s="13" customFormat="1" ht="15" customHeight="1" x14ac:dyDescent="0.2"/>
    <row r="274" s="13" customFormat="1" ht="15" customHeight="1" x14ac:dyDescent="0.2"/>
    <row r="275" s="13" customFormat="1" ht="15" customHeight="1" x14ac:dyDescent="0.2"/>
    <row r="276" s="13" customFormat="1" ht="15" customHeight="1" x14ac:dyDescent="0.2"/>
    <row r="277" s="13" customFormat="1" ht="15" customHeight="1" x14ac:dyDescent="0.2"/>
    <row r="278" s="13" customFormat="1" ht="15" customHeight="1" x14ac:dyDescent="0.2"/>
    <row r="279" s="13" customFormat="1" ht="15" customHeight="1" x14ac:dyDescent="0.2"/>
    <row r="280" s="13" customFormat="1" ht="15" customHeight="1" x14ac:dyDescent="0.2"/>
    <row r="281" s="13" customFormat="1" ht="15" customHeight="1" x14ac:dyDescent="0.2"/>
    <row r="282" s="13" customFormat="1" ht="15" customHeight="1" x14ac:dyDescent="0.2"/>
    <row r="283" s="13" customFormat="1" ht="15" customHeight="1" x14ac:dyDescent="0.2"/>
    <row r="284" s="13" customFormat="1" ht="15" customHeight="1" x14ac:dyDescent="0.2"/>
    <row r="285" s="13" customFormat="1" ht="15" customHeight="1" x14ac:dyDescent="0.2"/>
    <row r="286" s="13" customFormat="1" ht="15" customHeight="1" x14ac:dyDescent="0.2"/>
    <row r="287" s="13" customFormat="1" ht="15" customHeight="1" x14ac:dyDescent="0.2"/>
    <row r="288" s="13" customFormat="1" ht="15" customHeight="1" x14ac:dyDescent="0.2"/>
    <row r="289" s="13" customFormat="1" ht="15" customHeight="1" x14ac:dyDescent="0.2"/>
    <row r="290" s="13" customFormat="1" ht="15" customHeight="1" x14ac:dyDescent="0.2"/>
    <row r="291" s="13" customFormat="1" ht="15" customHeight="1" x14ac:dyDescent="0.2"/>
    <row r="292" s="13" customFormat="1" ht="15" customHeight="1" x14ac:dyDescent="0.2"/>
    <row r="293" s="13" customFormat="1" ht="15" customHeight="1" x14ac:dyDescent="0.2"/>
    <row r="294" s="13" customFormat="1" ht="15" customHeight="1" x14ac:dyDescent="0.2"/>
    <row r="295" s="13" customFormat="1" ht="15" customHeight="1" x14ac:dyDescent="0.2"/>
    <row r="296" s="13" customFormat="1" ht="15" customHeight="1" x14ac:dyDescent="0.2"/>
    <row r="297" s="13" customFormat="1" ht="15" customHeight="1" x14ac:dyDescent="0.2"/>
    <row r="298" s="13" customFormat="1" ht="15" customHeight="1" x14ac:dyDescent="0.2"/>
    <row r="299" s="13" customFormat="1" ht="15" customHeight="1" x14ac:dyDescent="0.2"/>
    <row r="300" s="13" customFormat="1" ht="15" customHeight="1" x14ac:dyDescent="0.2"/>
    <row r="301" s="13" customFormat="1" ht="15" customHeight="1" x14ac:dyDescent="0.2"/>
    <row r="302" s="13" customFormat="1" ht="15" customHeight="1" x14ac:dyDescent="0.2"/>
    <row r="303" s="13" customFormat="1" ht="15" customHeight="1" x14ac:dyDescent="0.2"/>
    <row r="304" s="13" customFormat="1" ht="15" customHeight="1" x14ac:dyDescent="0.2"/>
    <row r="305" s="13" customFormat="1" ht="15" customHeight="1" x14ac:dyDescent="0.2"/>
    <row r="306" s="13" customFormat="1" ht="15" customHeight="1" x14ac:dyDescent="0.2"/>
    <row r="307" s="13" customFormat="1" ht="15" customHeight="1" x14ac:dyDescent="0.2"/>
    <row r="308" s="13" customFormat="1" ht="15" customHeight="1" x14ac:dyDescent="0.2"/>
    <row r="309" s="13" customFormat="1" ht="15" customHeight="1" x14ac:dyDescent="0.2"/>
    <row r="310" s="13" customFormat="1" ht="15" customHeight="1" x14ac:dyDescent="0.2"/>
    <row r="311" s="13" customFormat="1" ht="15" customHeight="1" x14ac:dyDescent="0.2"/>
    <row r="312" s="13" customFormat="1" ht="15" customHeight="1" x14ac:dyDescent="0.2"/>
    <row r="313" s="13" customFormat="1" ht="15" customHeight="1" x14ac:dyDescent="0.2"/>
    <row r="314" s="13" customFormat="1" ht="15" customHeight="1" x14ac:dyDescent="0.2"/>
    <row r="315" s="13" customFormat="1" ht="15" customHeight="1" x14ac:dyDescent="0.2"/>
    <row r="316" s="13" customFormat="1" ht="15" customHeight="1" x14ac:dyDescent="0.2"/>
    <row r="317" s="13" customFormat="1" ht="15" customHeight="1" x14ac:dyDescent="0.2"/>
    <row r="318" s="13" customFormat="1" ht="15" customHeight="1" x14ac:dyDescent="0.2"/>
    <row r="319" s="13" customFormat="1" ht="15" customHeight="1" x14ac:dyDescent="0.2"/>
    <row r="320" s="13" customFormat="1" ht="15" customHeight="1" x14ac:dyDescent="0.2"/>
    <row r="321" s="13" customFormat="1" ht="15" customHeight="1" x14ac:dyDescent="0.2"/>
    <row r="322" s="13" customFormat="1" ht="15" customHeight="1" x14ac:dyDescent="0.2"/>
    <row r="323" s="13" customFormat="1" ht="15" customHeight="1" x14ac:dyDescent="0.2"/>
    <row r="324" s="13" customFormat="1" ht="15" customHeight="1" x14ac:dyDescent="0.2"/>
    <row r="325" s="13" customFormat="1" ht="15" customHeight="1" x14ac:dyDescent="0.2"/>
    <row r="326" s="13" customFormat="1" ht="15" customHeight="1" x14ac:dyDescent="0.2"/>
    <row r="327" s="13" customFormat="1" ht="15" customHeight="1" x14ac:dyDescent="0.2"/>
    <row r="328" s="13" customFormat="1" ht="15" customHeight="1" x14ac:dyDescent="0.2"/>
    <row r="329" s="13" customFormat="1" ht="15" customHeight="1" x14ac:dyDescent="0.2"/>
    <row r="330" s="13" customFormat="1" ht="15" customHeight="1" x14ac:dyDescent="0.2"/>
    <row r="331" s="13" customFormat="1" ht="15" customHeight="1" x14ac:dyDescent="0.2"/>
    <row r="332" s="13" customFormat="1" ht="15" customHeight="1" x14ac:dyDescent="0.2"/>
    <row r="333" s="13" customFormat="1" ht="15" customHeight="1" x14ac:dyDescent="0.2"/>
    <row r="334" s="13" customFormat="1" ht="15" customHeight="1" x14ac:dyDescent="0.2"/>
    <row r="335" s="13" customFormat="1" ht="15" customHeight="1" x14ac:dyDescent="0.2"/>
    <row r="336" s="13" customFormat="1" ht="15" customHeight="1" x14ac:dyDescent="0.2"/>
    <row r="337" s="13" customFormat="1" ht="15" customHeight="1" x14ac:dyDescent="0.2"/>
    <row r="338" s="13" customFormat="1" ht="15" customHeight="1" x14ac:dyDescent="0.2"/>
    <row r="339" s="13" customFormat="1" ht="15" customHeight="1" x14ac:dyDescent="0.2"/>
    <row r="340" s="13" customFormat="1" ht="15" customHeight="1" x14ac:dyDescent="0.2"/>
    <row r="341" s="13" customFormat="1" ht="15" customHeight="1" x14ac:dyDescent="0.2"/>
    <row r="342" s="13" customFormat="1" ht="15" customHeight="1" x14ac:dyDescent="0.2"/>
    <row r="343" s="13" customFormat="1" ht="15" customHeight="1" x14ac:dyDescent="0.2"/>
    <row r="344" s="13" customFormat="1" ht="15" customHeight="1" x14ac:dyDescent="0.2"/>
    <row r="345" s="13" customFormat="1" ht="15" customHeight="1" x14ac:dyDescent="0.2"/>
    <row r="346" s="13" customFormat="1" ht="15" customHeight="1" x14ac:dyDescent="0.2"/>
    <row r="347" s="13" customFormat="1" ht="15" customHeight="1" x14ac:dyDescent="0.2"/>
    <row r="348" s="13" customFormat="1" ht="15" customHeight="1" x14ac:dyDescent="0.2"/>
    <row r="349" s="13" customFormat="1" ht="15" customHeight="1" x14ac:dyDescent="0.2"/>
    <row r="350" s="13" customFormat="1" ht="15" customHeight="1" x14ac:dyDescent="0.2"/>
    <row r="351" s="13" customFormat="1" ht="15" customHeight="1" x14ac:dyDescent="0.2"/>
    <row r="352" s="13" customFormat="1" ht="15" customHeight="1" x14ac:dyDescent="0.2"/>
    <row r="353" s="13" customFormat="1" ht="15" customHeight="1" x14ac:dyDescent="0.2"/>
    <row r="354" s="13" customFormat="1" ht="15" customHeight="1" x14ac:dyDescent="0.2"/>
    <row r="355" s="13" customFormat="1" ht="15" customHeight="1" x14ac:dyDescent="0.2"/>
    <row r="356" s="13" customFormat="1" ht="15" customHeight="1" x14ac:dyDescent="0.2"/>
    <row r="357" s="13" customFormat="1" ht="15" customHeight="1" x14ac:dyDescent="0.2"/>
    <row r="358" s="13" customFormat="1" ht="15" customHeight="1" x14ac:dyDescent="0.2"/>
    <row r="359" s="13" customFormat="1" ht="15" customHeight="1" x14ac:dyDescent="0.2"/>
    <row r="360" s="13" customFormat="1" ht="15" customHeight="1" x14ac:dyDescent="0.2"/>
    <row r="361" s="13" customFormat="1" ht="15" customHeight="1" x14ac:dyDescent="0.2"/>
    <row r="362" s="13" customFormat="1" ht="15" customHeight="1" x14ac:dyDescent="0.2"/>
    <row r="363" s="13" customFormat="1" ht="15" customHeight="1" x14ac:dyDescent="0.2"/>
    <row r="364" s="13" customFormat="1" ht="15" customHeight="1" x14ac:dyDescent="0.2"/>
    <row r="365" s="13" customFormat="1" ht="15" customHeight="1" x14ac:dyDescent="0.2"/>
    <row r="366" s="13" customFormat="1" ht="15" customHeight="1" x14ac:dyDescent="0.2"/>
    <row r="367" s="13" customFormat="1" ht="15" customHeight="1" x14ac:dyDescent="0.2"/>
    <row r="368" s="13" customFormat="1" ht="15" customHeight="1" x14ac:dyDescent="0.2"/>
    <row r="369" s="13" customFormat="1" ht="15" customHeight="1" x14ac:dyDescent="0.2"/>
    <row r="370" s="13" customFormat="1" ht="15" customHeight="1" x14ac:dyDescent="0.2"/>
    <row r="371" s="13" customFormat="1" ht="15" customHeight="1" x14ac:dyDescent="0.2"/>
    <row r="372" s="13" customFormat="1" ht="15" customHeight="1" x14ac:dyDescent="0.2"/>
    <row r="373" s="13" customFormat="1" ht="15" customHeight="1" x14ac:dyDescent="0.2"/>
    <row r="374" s="13" customFormat="1" ht="15" customHeight="1" x14ac:dyDescent="0.2"/>
    <row r="375" s="13" customFormat="1" ht="15" customHeight="1" x14ac:dyDescent="0.2"/>
    <row r="376" s="13" customFormat="1" ht="15" customHeight="1" x14ac:dyDescent="0.2"/>
    <row r="377" s="13" customFormat="1" ht="15" customHeight="1" x14ac:dyDescent="0.2"/>
    <row r="378" s="13" customFormat="1" ht="15" customHeight="1" x14ac:dyDescent="0.2"/>
    <row r="379" s="13" customFormat="1" ht="15" customHeight="1" x14ac:dyDescent="0.2"/>
    <row r="380" s="13" customFormat="1" ht="15" customHeight="1" x14ac:dyDescent="0.2"/>
    <row r="381" s="13" customFormat="1" ht="15" customHeight="1" x14ac:dyDescent="0.2"/>
    <row r="382" s="13" customFormat="1" ht="15" customHeight="1" x14ac:dyDescent="0.2"/>
    <row r="383" s="13" customFormat="1" ht="15" customHeight="1" x14ac:dyDescent="0.2"/>
    <row r="384" s="13" customFormat="1" ht="15" customHeight="1" x14ac:dyDescent="0.2"/>
    <row r="385" s="13" customFormat="1" ht="15" customHeight="1" x14ac:dyDescent="0.2"/>
    <row r="386" s="13" customFormat="1" ht="15" customHeight="1" x14ac:dyDescent="0.2"/>
    <row r="387" s="13" customFormat="1" ht="15" customHeight="1" x14ac:dyDescent="0.2"/>
    <row r="388" s="13" customFormat="1" ht="15" customHeight="1" x14ac:dyDescent="0.2"/>
    <row r="389" s="13" customFormat="1" ht="15" customHeight="1" x14ac:dyDescent="0.2"/>
    <row r="390" s="13" customFormat="1" ht="15" customHeight="1" x14ac:dyDescent="0.2"/>
    <row r="391" s="13" customFormat="1" ht="15" customHeight="1" x14ac:dyDescent="0.2"/>
    <row r="392" s="13" customFormat="1" ht="15" customHeight="1" x14ac:dyDescent="0.2"/>
    <row r="393" s="13" customFormat="1" ht="15" customHeight="1" x14ac:dyDescent="0.2"/>
    <row r="394" s="13" customFormat="1" ht="15" customHeight="1" x14ac:dyDescent="0.2"/>
    <row r="395" s="13" customFormat="1" ht="15" customHeight="1" x14ac:dyDescent="0.2"/>
    <row r="396" s="13" customFormat="1" ht="15" customHeight="1" x14ac:dyDescent="0.2"/>
    <row r="397" s="13" customFormat="1" ht="15" customHeight="1" x14ac:dyDescent="0.2"/>
    <row r="398" s="13" customFormat="1" ht="15" customHeight="1" x14ac:dyDescent="0.2"/>
    <row r="399" s="13" customFormat="1" ht="15" customHeight="1" x14ac:dyDescent="0.2"/>
    <row r="400" s="13" customFormat="1" ht="15" customHeight="1" x14ac:dyDescent="0.2"/>
    <row r="401" s="13" customFormat="1" ht="15" customHeight="1" x14ac:dyDescent="0.2"/>
    <row r="402" s="13" customFormat="1" ht="15" customHeight="1" x14ac:dyDescent="0.2"/>
    <row r="403" s="13" customFormat="1" ht="15" customHeight="1" x14ac:dyDescent="0.2"/>
    <row r="404" s="13" customFormat="1" ht="15" customHeight="1" x14ac:dyDescent="0.2"/>
    <row r="405" s="13" customFormat="1" ht="15" customHeight="1" x14ac:dyDescent="0.2"/>
    <row r="406" s="13" customFormat="1" ht="15" customHeight="1" x14ac:dyDescent="0.2"/>
    <row r="407" s="13" customFormat="1" ht="15" customHeight="1" x14ac:dyDescent="0.2"/>
    <row r="408" s="13" customFormat="1" ht="15" customHeight="1" x14ac:dyDescent="0.2"/>
    <row r="409" s="13" customFormat="1" ht="15" customHeight="1" x14ac:dyDescent="0.2"/>
    <row r="410" s="13" customFormat="1" ht="15" customHeight="1" x14ac:dyDescent="0.2"/>
    <row r="411" s="13" customFormat="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sheetData>
  <dataValidations count="3">
    <dataValidation type="list" allowBlank="1" sqref="A2:A24 A26:A30 A32:A39 A41:A125 A133:A410" xr:uid="{00000000-0002-0000-0300-000000000000}">
      <formula1>$T$1:$T$32</formula1>
      <formula2>0</formula2>
    </dataValidation>
    <dataValidation type="list" allowBlank="1" sqref="C2:C125 C133:C410" xr:uid="{00000000-0002-0000-0300-000001000000}">
      <formula1>$V$1:$V$36</formula1>
      <formula2>0</formula2>
    </dataValidation>
    <dataValidation type="list" allowBlank="1" sqref="D2:D125 D133:D410" xr:uid="{00000000-0002-0000-0300-000002000000}">
      <formula1>"1,2"</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513"/>
  <sheetViews>
    <sheetView zoomScaleNormal="100" workbookViewId="0">
      <pane ySplit="1" topLeftCell="A298" activePane="bottomLeft" state="frozen"/>
      <selection pane="bottomLeft" activeCell="D1" sqref="D1"/>
    </sheetView>
  </sheetViews>
  <sheetFormatPr baseColWidth="10" defaultColWidth="8.6640625" defaultRowHeight="15" x14ac:dyDescent="0.2"/>
  <cols>
    <col min="1" max="1" width="6" customWidth="1"/>
    <col min="2" max="2" width="9" customWidth="1"/>
    <col min="3" max="3" width="34" customWidth="1"/>
    <col min="4" max="4" width="11" customWidth="1"/>
    <col min="5" max="5" width="7" customWidth="1"/>
    <col min="6" max="6" width="14" customWidth="1"/>
    <col min="7" max="7" width="78.6640625" customWidth="1"/>
    <col min="8" max="8" width="11" customWidth="1"/>
    <col min="9" max="9" width="10" customWidth="1"/>
    <col min="10" max="10" width="16" customWidth="1"/>
    <col min="11" max="11" width="14" customWidth="1"/>
    <col min="12" max="12" width="11" customWidth="1"/>
    <col min="13" max="13" width="14" customWidth="1"/>
    <col min="14" max="14" width="12" customWidth="1"/>
    <col min="15" max="15" width="10" customWidth="1"/>
  </cols>
  <sheetData>
    <row r="1" spans="1:15" ht="27.75" customHeight="1" x14ac:dyDescent="0.2">
      <c r="A1" s="61" t="s">
        <v>639</v>
      </c>
      <c r="B1" s="61" t="s">
        <v>640</v>
      </c>
      <c r="C1" s="61" t="s">
        <v>641</v>
      </c>
      <c r="D1" s="61" t="s">
        <v>642</v>
      </c>
      <c r="E1" s="61" t="s">
        <v>96</v>
      </c>
      <c r="F1" s="61" t="s">
        <v>643</v>
      </c>
      <c r="G1" s="61" t="s">
        <v>644</v>
      </c>
      <c r="H1" s="61" t="s">
        <v>645</v>
      </c>
      <c r="I1" s="61" t="s">
        <v>646</v>
      </c>
      <c r="J1" s="61" t="s">
        <v>647</v>
      </c>
      <c r="K1" s="61" t="s">
        <v>648</v>
      </c>
      <c r="L1" s="61" t="s">
        <v>649</v>
      </c>
      <c r="M1" s="61" t="s">
        <v>650</v>
      </c>
      <c r="N1" s="61" t="s">
        <v>651</v>
      </c>
      <c r="O1" s="61" t="s">
        <v>652</v>
      </c>
    </row>
    <row r="2" spans="1:15" ht="15" customHeight="1" x14ac:dyDescent="0.2">
      <c r="A2">
        <v>1</v>
      </c>
      <c r="B2" t="s">
        <v>97</v>
      </c>
      <c r="C2" t="s">
        <v>97</v>
      </c>
      <c r="D2" t="s">
        <v>653</v>
      </c>
      <c r="F2" t="s">
        <v>654</v>
      </c>
      <c r="G2" t="s">
        <v>655</v>
      </c>
      <c r="H2" t="s">
        <v>656</v>
      </c>
      <c r="I2" t="s">
        <v>657</v>
      </c>
      <c r="J2" t="s">
        <v>658</v>
      </c>
      <c r="N2" t="s">
        <v>659</v>
      </c>
      <c r="O2" t="s">
        <v>660</v>
      </c>
    </row>
    <row r="3" spans="1:15" ht="15" customHeight="1" x14ac:dyDescent="0.2">
      <c r="A3">
        <v>1</v>
      </c>
      <c r="B3" t="s">
        <v>97</v>
      </c>
      <c r="C3" t="s">
        <v>97</v>
      </c>
      <c r="D3" t="s">
        <v>653</v>
      </c>
      <c r="F3" t="s">
        <v>661</v>
      </c>
      <c r="G3" t="s">
        <v>662</v>
      </c>
      <c r="H3" t="s">
        <v>656</v>
      </c>
      <c r="I3" t="s">
        <v>657</v>
      </c>
      <c r="J3" t="s">
        <v>663</v>
      </c>
      <c r="N3" t="s">
        <v>659</v>
      </c>
      <c r="O3" t="s">
        <v>664</v>
      </c>
    </row>
    <row r="4" spans="1:15" ht="15" customHeight="1" x14ac:dyDescent="0.2">
      <c r="A4">
        <v>1</v>
      </c>
      <c r="B4" t="s">
        <v>97</v>
      </c>
      <c r="C4" t="s">
        <v>97</v>
      </c>
      <c r="D4" t="s">
        <v>653</v>
      </c>
      <c r="F4" t="s">
        <v>665</v>
      </c>
      <c r="G4" t="s">
        <v>666</v>
      </c>
      <c r="H4" t="s">
        <v>667</v>
      </c>
      <c r="I4" t="s">
        <v>657</v>
      </c>
      <c r="J4" t="s">
        <v>658</v>
      </c>
      <c r="N4" t="s">
        <v>659</v>
      </c>
      <c r="O4" t="s">
        <v>668</v>
      </c>
    </row>
    <row r="5" spans="1:15" ht="15" customHeight="1" x14ac:dyDescent="0.2">
      <c r="A5">
        <v>1</v>
      </c>
      <c r="B5" t="s">
        <v>97</v>
      </c>
      <c r="C5" t="s">
        <v>97</v>
      </c>
      <c r="D5" t="s">
        <v>653</v>
      </c>
      <c r="F5" t="s">
        <v>669</v>
      </c>
      <c r="G5" t="s">
        <v>670</v>
      </c>
      <c r="H5" t="s">
        <v>667</v>
      </c>
      <c r="I5" t="s">
        <v>657</v>
      </c>
      <c r="J5" t="s">
        <v>658</v>
      </c>
      <c r="N5" t="s">
        <v>659</v>
      </c>
      <c r="O5" t="s">
        <v>668</v>
      </c>
    </row>
    <row r="6" spans="1:15" ht="15" customHeight="1" x14ac:dyDescent="0.2">
      <c r="A6">
        <v>1</v>
      </c>
      <c r="B6" t="s">
        <v>97</v>
      </c>
      <c r="C6" t="s">
        <v>97</v>
      </c>
      <c r="D6" t="s">
        <v>653</v>
      </c>
      <c r="F6" t="s">
        <v>671</v>
      </c>
      <c r="G6" t="s">
        <v>672</v>
      </c>
      <c r="H6" t="s">
        <v>673</v>
      </c>
      <c r="I6" t="s">
        <v>657</v>
      </c>
      <c r="J6" t="s">
        <v>658</v>
      </c>
      <c r="N6" t="s">
        <v>659</v>
      </c>
      <c r="O6" t="s">
        <v>674</v>
      </c>
    </row>
    <row r="7" spans="1:15" ht="15" customHeight="1" x14ac:dyDescent="0.2">
      <c r="A7">
        <v>1</v>
      </c>
      <c r="B7" t="s">
        <v>97</v>
      </c>
      <c r="C7" t="s">
        <v>97</v>
      </c>
      <c r="D7" t="s">
        <v>653</v>
      </c>
      <c r="F7" t="s">
        <v>675</v>
      </c>
      <c r="G7" t="s">
        <v>676</v>
      </c>
      <c r="H7" t="s">
        <v>677</v>
      </c>
      <c r="I7" t="s">
        <v>678</v>
      </c>
      <c r="J7" t="s">
        <v>658</v>
      </c>
      <c r="N7" t="s">
        <v>659</v>
      </c>
      <c r="O7" t="s">
        <v>679</v>
      </c>
    </row>
    <row r="8" spans="1:15" ht="15" customHeight="1" x14ac:dyDescent="0.2">
      <c r="A8">
        <v>1</v>
      </c>
      <c r="B8" t="s">
        <v>97</v>
      </c>
      <c r="C8" t="s">
        <v>97</v>
      </c>
      <c r="D8" t="s">
        <v>653</v>
      </c>
      <c r="F8" t="s">
        <v>680</v>
      </c>
      <c r="G8" t="s">
        <v>681</v>
      </c>
      <c r="H8" t="s">
        <v>673</v>
      </c>
      <c r="I8" t="s">
        <v>657</v>
      </c>
      <c r="J8" t="s">
        <v>658</v>
      </c>
      <c r="N8" t="s">
        <v>659</v>
      </c>
      <c r="O8" t="s">
        <v>682</v>
      </c>
    </row>
    <row r="9" spans="1:15" ht="15" customHeight="1" x14ac:dyDescent="0.2">
      <c r="A9">
        <v>1</v>
      </c>
      <c r="B9" t="s">
        <v>97</v>
      </c>
      <c r="C9" t="s">
        <v>97</v>
      </c>
      <c r="D9" t="s">
        <v>653</v>
      </c>
      <c r="F9" t="s">
        <v>683</v>
      </c>
      <c r="G9" t="s">
        <v>684</v>
      </c>
      <c r="H9" t="s">
        <v>673</v>
      </c>
      <c r="I9" t="s">
        <v>657</v>
      </c>
      <c r="J9" t="s">
        <v>658</v>
      </c>
      <c r="K9" t="s">
        <v>685</v>
      </c>
      <c r="N9" t="s">
        <v>659</v>
      </c>
      <c r="O9" t="s">
        <v>686</v>
      </c>
    </row>
    <row r="10" spans="1:15" ht="15" customHeight="1" x14ac:dyDescent="0.2">
      <c r="A10">
        <v>2</v>
      </c>
      <c r="B10" t="s">
        <v>101</v>
      </c>
      <c r="C10" t="s">
        <v>101</v>
      </c>
      <c r="D10" t="s">
        <v>653</v>
      </c>
      <c r="F10" t="s">
        <v>687</v>
      </c>
      <c r="G10" t="s">
        <v>688</v>
      </c>
      <c r="H10" t="s">
        <v>673</v>
      </c>
      <c r="I10" t="s">
        <v>657</v>
      </c>
      <c r="J10" t="s">
        <v>658</v>
      </c>
      <c r="N10" t="s">
        <v>659</v>
      </c>
      <c r="O10">
        <v>33</v>
      </c>
    </row>
    <row r="11" spans="1:15" ht="15" customHeight="1" x14ac:dyDescent="0.2">
      <c r="A11">
        <v>2</v>
      </c>
      <c r="B11" t="s">
        <v>101</v>
      </c>
      <c r="C11" t="s">
        <v>101</v>
      </c>
      <c r="D11" t="s">
        <v>653</v>
      </c>
      <c r="F11" t="s">
        <v>689</v>
      </c>
      <c r="G11" t="s">
        <v>690</v>
      </c>
      <c r="H11" t="s">
        <v>691</v>
      </c>
      <c r="I11" t="s">
        <v>657</v>
      </c>
      <c r="J11" t="s">
        <v>658</v>
      </c>
      <c r="K11" t="s">
        <v>685</v>
      </c>
      <c r="N11" t="s">
        <v>659</v>
      </c>
      <c r="O11" t="s">
        <v>692</v>
      </c>
    </row>
    <row r="12" spans="1:15" ht="15" customHeight="1" x14ac:dyDescent="0.2">
      <c r="A12">
        <v>2</v>
      </c>
      <c r="B12" t="s">
        <v>101</v>
      </c>
      <c r="C12" t="s">
        <v>101</v>
      </c>
      <c r="D12" t="s">
        <v>653</v>
      </c>
      <c r="F12" t="s">
        <v>693</v>
      </c>
      <c r="G12" t="s">
        <v>694</v>
      </c>
      <c r="H12" t="s">
        <v>695</v>
      </c>
      <c r="I12" t="s">
        <v>657</v>
      </c>
      <c r="J12" t="s">
        <v>658</v>
      </c>
      <c r="K12" t="s">
        <v>685</v>
      </c>
      <c r="N12" t="s">
        <v>659</v>
      </c>
      <c r="O12" t="s">
        <v>696</v>
      </c>
    </row>
    <row r="13" spans="1:15" ht="15" customHeight="1" x14ac:dyDescent="0.2">
      <c r="A13">
        <v>2</v>
      </c>
      <c r="B13" t="s">
        <v>101</v>
      </c>
      <c r="C13" t="s">
        <v>101</v>
      </c>
      <c r="D13" t="s">
        <v>653</v>
      </c>
      <c r="F13" t="s">
        <v>697</v>
      </c>
      <c r="G13" t="s">
        <v>698</v>
      </c>
      <c r="H13" t="s">
        <v>699</v>
      </c>
      <c r="I13" t="s">
        <v>678</v>
      </c>
      <c r="J13" t="s">
        <v>658</v>
      </c>
      <c r="K13" t="s">
        <v>685</v>
      </c>
      <c r="N13" t="s">
        <v>659</v>
      </c>
      <c r="O13" t="s">
        <v>696</v>
      </c>
    </row>
    <row r="14" spans="1:15" ht="15" customHeight="1" x14ac:dyDescent="0.2">
      <c r="A14">
        <v>2</v>
      </c>
      <c r="B14" t="s">
        <v>101</v>
      </c>
      <c r="C14" t="s">
        <v>101</v>
      </c>
      <c r="D14" t="s">
        <v>653</v>
      </c>
      <c r="F14" t="s">
        <v>700</v>
      </c>
      <c r="G14" t="s">
        <v>701</v>
      </c>
      <c r="H14" t="s">
        <v>702</v>
      </c>
      <c r="I14" t="s">
        <v>657</v>
      </c>
      <c r="J14" t="s">
        <v>658</v>
      </c>
      <c r="K14" t="s">
        <v>685</v>
      </c>
      <c r="N14" t="s">
        <v>659</v>
      </c>
      <c r="O14" t="s">
        <v>696</v>
      </c>
    </row>
    <row r="15" spans="1:15" ht="15" customHeight="1" x14ac:dyDescent="0.2">
      <c r="A15">
        <v>2</v>
      </c>
      <c r="B15" t="s">
        <v>101</v>
      </c>
      <c r="C15" t="s">
        <v>101</v>
      </c>
      <c r="D15" t="s">
        <v>653</v>
      </c>
      <c r="F15" t="s">
        <v>703</v>
      </c>
      <c r="G15" t="s">
        <v>704</v>
      </c>
      <c r="H15" t="s">
        <v>695</v>
      </c>
      <c r="I15" t="s">
        <v>657</v>
      </c>
      <c r="J15" t="s">
        <v>658</v>
      </c>
      <c r="K15" t="s">
        <v>685</v>
      </c>
      <c r="N15" t="s">
        <v>659</v>
      </c>
      <c r="O15" t="s">
        <v>696</v>
      </c>
    </row>
    <row r="16" spans="1:15" ht="15" customHeight="1" x14ac:dyDescent="0.2">
      <c r="A16">
        <v>2</v>
      </c>
      <c r="B16" t="s">
        <v>101</v>
      </c>
      <c r="C16" t="s">
        <v>101</v>
      </c>
      <c r="D16" t="s">
        <v>653</v>
      </c>
      <c r="F16" t="s">
        <v>705</v>
      </c>
      <c r="G16" t="s">
        <v>706</v>
      </c>
      <c r="H16" t="s">
        <v>699</v>
      </c>
      <c r="I16" t="s">
        <v>678</v>
      </c>
      <c r="J16" t="s">
        <v>658</v>
      </c>
      <c r="K16" t="s">
        <v>685</v>
      </c>
      <c r="N16" t="s">
        <v>659</v>
      </c>
      <c r="O16" t="s">
        <v>696</v>
      </c>
    </row>
    <row r="17" spans="1:15" ht="15" customHeight="1" x14ac:dyDescent="0.2">
      <c r="A17">
        <v>2</v>
      </c>
      <c r="B17" t="s">
        <v>101</v>
      </c>
      <c r="C17" t="s">
        <v>101</v>
      </c>
      <c r="D17" t="s">
        <v>653</v>
      </c>
      <c r="F17" t="s">
        <v>707</v>
      </c>
      <c r="G17" t="s">
        <v>708</v>
      </c>
      <c r="H17" t="s">
        <v>702</v>
      </c>
      <c r="I17" t="s">
        <v>657</v>
      </c>
      <c r="J17" t="s">
        <v>658</v>
      </c>
      <c r="K17" t="s">
        <v>685</v>
      </c>
      <c r="N17" t="s">
        <v>659</v>
      </c>
      <c r="O17" t="s">
        <v>696</v>
      </c>
    </row>
    <row r="18" spans="1:15" ht="15" customHeight="1" x14ac:dyDescent="0.2">
      <c r="A18">
        <v>2</v>
      </c>
      <c r="B18" t="s">
        <v>101</v>
      </c>
      <c r="C18" t="s">
        <v>101</v>
      </c>
      <c r="D18" t="s">
        <v>653</v>
      </c>
      <c r="F18" t="s">
        <v>709</v>
      </c>
      <c r="G18" t="s">
        <v>710</v>
      </c>
      <c r="H18" t="s">
        <v>695</v>
      </c>
      <c r="I18" t="s">
        <v>657</v>
      </c>
      <c r="J18" t="s">
        <v>658</v>
      </c>
      <c r="K18" t="s">
        <v>685</v>
      </c>
      <c r="N18" t="s">
        <v>659</v>
      </c>
      <c r="O18" t="s">
        <v>696</v>
      </c>
    </row>
    <row r="19" spans="1:15" ht="15" customHeight="1" x14ac:dyDescent="0.2">
      <c r="A19">
        <v>2</v>
      </c>
      <c r="B19" t="s">
        <v>101</v>
      </c>
      <c r="C19" t="s">
        <v>101</v>
      </c>
      <c r="D19" t="s">
        <v>653</v>
      </c>
      <c r="F19" t="s">
        <v>711</v>
      </c>
      <c r="G19" t="s">
        <v>712</v>
      </c>
      <c r="H19" t="s">
        <v>699</v>
      </c>
      <c r="I19" t="s">
        <v>678</v>
      </c>
      <c r="J19" t="s">
        <v>658</v>
      </c>
      <c r="K19" t="s">
        <v>685</v>
      </c>
      <c r="N19" t="s">
        <v>659</v>
      </c>
      <c r="O19" t="s">
        <v>696</v>
      </c>
    </row>
    <row r="20" spans="1:15" ht="15" customHeight="1" x14ac:dyDescent="0.2">
      <c r="A20">
        <v>2</v>
      </c>
      <c r="B20" t="s">
        <v>101</v>
      </c>
      <c r="C20" t="s">
        <v>101</v>
      </c>
      <c r="D20" t="s">
        <v>653</v>
      </c>
      <c r="F20" t="s">
        <v>713</v>
      </c>
      <c r="G20" t="s">
        <v>714</v>
      </c>
      <c r="H20" t="s">
        <v>702</v>
      </c>
      <c r="I20" t="s">
        <v>657</v>
      </c>
      <c r="J20" t="s">
        <v>658</v>
      </c>
      <c r="K20" t="s">
        <v>685</v>
      </c>
      <c r="N20" t="s">
        <v>659</v>
      </c>
      <c r="O20" t="s">
        <v>696</v>
      </c>
    </row>
    <row r="21" spans="1:15" ht="15" customHeight="1" x14ac:dyDescent="0.2">
      <c r="A21">
        <v>2</v>
      </c>
      <c r="B21" t="s">
        <v>101</v>
      </c>
      <c r="C21" t="s">
        <v>101</v>
      </c>
      <c r="D21" t="s">
        <v>653</v>
      </c>
      <c r="F21" t="s">
        <v>715</v>
      </c>
      <c r="G21" t="s">
        <v>716</v>
      </c>
      <c r="H21" t="s">
        <v>695</v>
      </c>
      <c r="I21" t="s">
        <v>657</v>
      </c>
      <c r="J21" t="s">
        <v>658</v>
      </c>
      <c r="K21" t="s">
        <v>685</v>
      </c>
      <c r="N21" t="s">
        <v>659</v>
      </c>
      <c r="O21" t="s">
        <v>696</v>
      </c>
    </row>
    <row r="22" spans="1:15" ht="15" customHeight="1" x14ac:dyDescent="0.2">
      <c r="A22">
        <v>2</v>
      </c>
      <c r="B22" t="s">
        <v>101</v>
      </c>
      <c r="C22" t="s">
        <v>101</v>
      </c>
      <c r="D22" t="s">
        <v>653</v>
      </c>
      <c r="F22" t="s">
        <v>717</v>
      </c>
      <c r="G22" t="s">
        <v>718</v>
      </c>
      <c r="H22" t="s">
        <v>699</v>
      </c>
      <c r="I22" t="s">
        <v>678</v>
      </c>
      <c r="J22" t="s">
        <v>658</v>
      </c>
      <c r="K22" t="s">
        <v>685</v>
      </c>
      <c r="N22" t="s">
        <v>659</v>
      </c>
      <c r="O22" t="s">
        <v>696</v>
      </c>
    </row>
    <row r="23" spans="1:15" ht="15" customHeight="1" x14ac:dyDescent="0.2">
      <c r="A23">
        <v>2</v>
      </c>
      <c r="B23" t="s">
        <v>101</v>
      </c>
      <c r="C23" t="s">
        <v>101</v>
      </c>
      <c r="D23" t="s">
        <v>653</v>
      </c>
      <c r="F23" t="s">
        <v>719</v>
      </c>
      <c r="G23" t="s">
        <v>720</v>
      </c>
      <c r="H23" t="s">
        <v>702</v>
      </c>
      <c r="I23" t="s">
        <v>657</v>
      </c>
      <c r="J23" t="s">
        <v>658</v>
      </c>
      <c r="K23" t="s">
        <v>685</v>
      </c>
      <c r="N23" t="s">
        <v>659</v>
      </c>
      <c r="O23" t="s">
        <v>696</v>
      </c>
    </row>
    <row r="24" spans="1:15" ht="15" customHeight="1" x14ac:dyDescent="0.2">
      <c r="A24">
        <v>2</v>
      </c>
      <c r="B24" t="s">
        <v>101</v>
      </c>
      <c r="C24" t="s">
        <v>101</v>
      </c>
      <c r="D24" t="s">
        <v>653</v>
      </c>
      <c r="F24" t="s">
        <v>721</v>
      </c>
      <c r="G24" t="s">
        <v>722</v>
      </c>
      <c r="H24" t="s">
        <v>695</v>
      </c>
      <c r="I24" t="s">
        <v>657</v>
      </c>
      <c r="J24" t="s">
        <v>658</v>
      </c>
      <c r="K24" t="s">
        <v>685</v>
      </c>
      <c r="N24" t="s">
        <v>659</v>
      </c>
      <c r="O24" t="s">
        <v>696</v>
      </c>
    </row>
    <row r="25" spans="1:15" ht="15" customHeight="1" x14ac:dyDescent="0.2">
      <c r="A25">
        <v>2</v>
      </c>
      <c r="B25" t="s">
        <v>101</v>
      </c>
      <c r="C25" t="s">
        <v>101</v>
      </c>
      <c r="D25" t="s">
        <v>653</v>
      </c>
      <c r="F25" t="s">
        <v>723</v>
      </c>
      <c r="G25" t="s">
        <v>724</v>
      </c>
      <c r="H25" t="s">
        <v>699</v>
      </c>
      <c r="I25" t="s">
        <v>678</v>
      </c>
      <c r="J25" t="s">
        <v>658</v>
      </c>
      <c r="K25" t="s">
        <v>685</v>
      </c>
      <c r="N25" t="s">
        <v>659</v>
      </c>
      <c r="O25" t="s">
        <v>696</v>
      </c>
    </row>
    <row r="26" spans="1:15" ht="15" customHeight="1" x14ac:dyDescent="0.2">
      <c r="A26">
        <v>2</v>
      </c>
      <c r="B26" t="s">
        <v>101</v>
      </c>
      <c r="C26" t="s">
        <v>101</v>
      </c>
      <c r="D26" t="s">
        <v>653</v>
      </c>
      <c r="F26" t="s">
        <v>725</v>
      </c>
      <c r="G26" t="s">
        <v>726</v>
      </c>
      <c r="H26" t="s">
        <v>702</v>
      </c>
      <c r="I26" t="s">
        <v>657</v>
      </c>
      <c r="J26" t="s">
        <v>658</v>
      </c>
      <c r="K26" t="s">
        <v>685</v>
      </c>
      <c r="N26" t="s">
        <v>659</v>
      </c>
      <c r="O26" t="s">
        <v>696</v>
      </c>
    </row>
    <row r="27" spans="1:15" ht="15" customHeight="1" x14ac:dyDescent="0.2">
      <c r="A27">
        <v>2</v>
      </c>
      <c r="B27" t="s">
        <v>101</v>
      </c>
      <c r="C27" t="s">
        <v>101</v>
      </c>
      <c r="D27" t="s">
        <v>653</v>
      </c>
      <c r="F27" t="s">
        <v>727</v>
      </c>
      <c r="G27" t="s">
        <v>728</v>
      </c>
      <c r="H27" t="s">
        <v>673</v>
      </c>
      <c r="I27" t="s">
        <v>657</v>
      </c>
      <c r="J27" t="s">
        <v>658</v>
      </c>
      <c r="N27" t="s">
        <v>659</v>
      </c>
      <c r="O27" t="s">
        <v>729</v>
      </c>
    </row>
    <row r="28" spans="1:15" ht="15" customHeight="1" x14ac:dyDescent="0.2">
      <c r="A28">
        <v>2</v>
      </c>
      <c r="B28" t="s">
        <v>101</v>
      </c>
      <c r="C28" t="s">
        <v>101</v>
      </c>
      <c r="D28" t="s">
        <v>653</v>
      </c>
      <c r="F28" t="s">
        <v>730</v>
      </c>
      <c r="G28" t="s">
        <v>731</v>
      </c>
      <c r="H28" t="s">
        <v>673</v>
      </c>
      <c r="I28" t="s">
        <v>657</v>
      </c>
      <c r="J28" t="s">
        <v>663</v>
      </c>
      <c r="N28" t="s">
        <v>659</v>
      </c>
      <c r="O28" t="s">
        <v>732</v>
      </c>
    </row>
    <row r="29" spans="1:15" ht="15" customHeight="1" x14ac:dyDescent="0.2">
      <c r="A29">
        <v>2</v>
      </c>
      <c r="B29" t="s">
        <v>101</v>
      </c>
      <c r="C29" t="s">
        <v>101</v>
      </c>
      <c r="D29" t="s">
        <v>653</v>
      </c>
      <c r="F29" t="s">
        <v>733</v>
      </c>
      <c r="G29" t="s">
        <v>734</v>
      </c>
      <c r="H29" t="s">
        <v>673</v>
      </c>
      <c r="I29" t="s">
        <v>657</v>
      </c>
      <c r="J29" t="s">
        <v>658</v>
      </c>
      <c r="N29" t="s">
        <v>659</v>
      </c>
      <c r="O29" t="s">
        <v>735</v>
      </c>
    </row>
    <row r="30" spans="1:15" ht="15" customHeight="1" x14ac:dyDescent="0.2">
      <c r="A30">
        <v>2</v>
      </c>
      <c r="B30" t="s">
        <v>101</v>
      </c>
      <c r="C30" t="s">
        <v>101</v>
      </c>
      <c r="D30" t="s">
        <v>653</v>
      </c>
      <c r="F30" t="s">
        <v>736</v>
      </c>
      <c r="G30" t="s">
        <v>737</v>
      </c>
      <c r="H30" t="s">
        <v>673</v>
      </c>
      <c r="I30" t="s">
        <v>657</v>
      </c>
      <c r="J30" t="s">
        <v>658</v>
      </c>
      <c r="N30" t="s">
        <v>659</v>
      </c>
      <c r="O30" t="s">
        <v>738</v>
      </c>
    </row>
    <row r="31" spans="1:15" ht="15" customHeight="1" x14ac:dyDescent="0.2">
      <c r="A31">
        <v>2</v>
      </c>
      <c r="B31" t="s">
        <v>101</v>
      </c>
      <c r="C31" t="s">
        <v>101</v>
      </c>
      <c r="D31" t="s">
        <v>653</v>
      </c>
      <c r="F31" t="s">
        <v>739</v>
      </c>
      <c r="G31" t="s">
        <v>740</v>
      </c>
      <c r="H31" t="s">
        <v>656</v>
      </c>
      <c r="I31" t="s">
        <v>657</v>
      </c>
      <c r="J31" t="s">
        <v>658</v>
      </c>
      <c r="N31" t="s">
        <v>659</v>
      </c>
      <c r="O31" t="s">
        <v>741</v>
      </c>
    </row>
    <row r="32" spans="1:15" ht="15" customHeight="1" x14ac:dyDescent="0.2">
      <c r="A32">
        <v>2</v>
      </c>
      <c r="B32" t="s">
        <v>101</v>
      </c>
      <c r="C32" t="s">
        <v>101</v>
      </c>
      <c r="D32" t="s">
        <v>653</v>
      </c>
      <c r="F32" t="s">
        <v>742</v>
      </c>
      <c r="G32" t="s">
        <v>743</v>
      </c>
      <c r="H32" t="s">
        <v>673</v>
      </c>
      <c r="I32" t="s">
        <v>657</v>
      </c>
      <c r="J32" t="s">
        <v>658</v>
      </c>
      <c r="N32" t="s">
        <v>659</v>
      </c>
      <c r="O32" t="s">
        <v>744</v>
      </c>
    </row>
    <row r="33" spans="1:15" ht="15" customHeight="1" x14ac:dyDescent="0.2">
      <c r="A33">
        <v>2</v>
      </c>
      <c r="B33" t="s">
        <v>101</v>
      </c>
      <c r="C33" t="s">
        <v>101</v>
      </c>
      <c r="D33" t="s">
        <v>653</v>
      </c>
      <c r="F33" t="s">
        <v>745</v>
      </c>
      <c r="G33" t="s">
        <v>746</v>
      </c>
      <c r="H33" t="s">
        <v>673</v>
      </c>
      <c r="I33" t="s">
        <v>657</v>
      </c>
      <c r="J33" t="s">
        <v>658</v>
      </c>
      <c r="N33" t="s">
        <v>659</v>
      </c>
      <c r="O33" t="s">
        <v>747</v>
      </c>
    </row>
    <row r="34" spans="1:15" ht="15" customHeight="1" x14ac:dyDescent="0.2">
      <c r="A34">
        <v>3</v>
      </c>
      <c r="B34" t="s">
        <v>103</v>
      </c>
      <c r="C34" t="s">
        <v>103</v>
      </c>
      <c r="D34" t="s">
        <v>653</v>
      </c>
      <c r="F34" t="s">
        <v>748</v>
      </c>
      <c r="G34" t="s">
        <v>749</v>
      </c>
      <c r="H34" t="s">
        <v>750</v>
      </c>
      <c r="I34" t="s">
        <v>657</v>
      </c>
      <c r="J34" t="s">
        <v>658</v>
      </c>
      <c r="N34" t="s">
        <v>659</v>
      </c>
      <c r="O34">
        <v>37</v>
      </c>
    </row>
    <row r="35" spans="1:15" ht="15" customHeight="1" x14ac:dyDescent="0.2">
      <c r="A35">
        <v>3</v>
      </c>
      <c r="B35" t="s">
        <v>103</v>
      </c>
      <c r="C35" t="s">
        <v>103</v>
      </c>
      <c r="D35" t="s">
        <v>653</v>
      </c>
      <c r="F35" t="s">
        <v>751</v>
      </c>
      <c r="G35" t="s">
        <v>752</v>
      </c>
      <c r="H35" t="s">
        <v>750</v>
      </c>
      <c r="I35" t="s">
        <v>657</v>
      </c>
      <c r="J35" t="s">
        <v>658</v>
      </c>
      <c r="N35" t="s">
        <v>659</v>
      </c>
      <c r="O35" t="s">
        <v>753</v>
      </c>
    </row>
    <row r="36" spans="1:15" ht="15" customHeight="1" x14ac:dyDescent="0.2">
      <c r="A36">
        <v>3</v>
      </c>
      <c r="B36" t="s">
        <v>103</v>
      </c>
      <c r="C36" t="s">
        <v>103</v>
      </c>
      <c r="D36" t="s">
        <v>653</v>
      </c>
      <c r="F36" t="s">
        <v>754</v>
      </c>
      <c r="G36" t="s">
        <v>755</v>
      </c>
      <c r="H36" t="s">
        <v>750</v>
      </c>
      <c r="I36" t="s">
        <v>657</v>
      </c>
      <c r="J36" t="s">
        <v>658</v>
      </c>
      <c r="N36" t="s">
        <v>659</v>
      </c>
      <c r="O36" t="s">
        <v>756</v>
      </c>
    </row>
    <row r="37" spans="1:15" ht="15" customHeight="1" x14ac:dyDescent="0.2">
      <c r="A37">
        <v>3</v>
      </c>
      <c r="B37" t="s">
        <v>103</v>
      </c>
      <c r="C37" t="s">
        <v>103</v>
      </c>
      <c r="D37" t="s">
        <v>653</v>
      </c>
      <c r="F37" t="s">
        <v>757</v>
      </c>
      <c r="G37" t="s">
        <v>758</v>
      </c>
      <c r="H37" t="s">
        <v>759</v>
      </c>
      <c r="I37" t="s">
        <v>678</v>
      </c>
      <c r="J37" t="s">
        <v>658</v>
      </c>
      <c r="N37" t="s">
        <v>659</v>
      </c>
      <c r="O37" t="s">
        <v>760</v>
      </c>
    </row>
    <row r="38" spans="1:15" ht="15" customHeight="1" x14ac:dyDescent="0.2">
      <c r="A38">
        <v>3</v>
      </c>
      <c r="B38" t="s">
        <v>103</v>
      </c>
      <c r="C38" t="s">
        <v>103</v>
      </c>
      <c r="D38" t="s">
        <v>653</v>
      </c>
      <c r="F38" t="s">
        <v>761</v>
      </c>
      <c r="G38" t="s">
        <v>762</v>
      </c>
      <c r="H38" t="s">
        <v>750</v>
      </c>
      <c r="I38" t="s">
        <v>657</v>
      </c>
      <c r="J38" t="s">
        <v>658</v>
      </c>
      <c r="N38" t="s">
        <v>659</v>
      </c>
      <c r="O38" t="s">
        <v>763</v>
      </c>
    </row>
    <row r="39" spans="1:15" ht="15" customHeight="1" x14ac:dyDescent="0.2">
      <c r="A39">
        <v>3</v>
      </c>
      <c r="B39" t="s">
        <v>103</v>
      </c>
      <c r="C39" t="s">
        <v>103</v>
      </c>
      <c r="D39" t="s">
        <v>653</v>
      </c>
      <c r="F39" t="s">
        <v>764</v>
      </c>
      <c r="G39" t="s">
        <v>765</v>
      </c>
      <c r="H39" t="s">
        <v>750</v>
      </c>
      <c r="I39" t="s">
        <v>657</v>
      </c>
      <c r="J39" t="s">
        <v>658</v>
      </c>
      <c r="N39" t="s">
        <v>659</v>
      </c>
      <c r="O39" t="s">
        <v>766</v>
      </c>
    </row>
    <row r="40" spans="1:15" ht="15" customHeight="1" x14ac:dyDescent="0.2">
      <c r="A40">
        <v>3</v>
      </c>
      <c r="B40" t="s">
        <v>103</v>
      </c>
      <c r="C40" t="s">
        <v>103</v>
      </c>
      <c r="D40" t="s">
        <v>653</v>
      </c>
      <c r="F40" t="s">
        <v>767</v>
      </c>
      <c r="G40" t="s">
        <v>768</v>
      </c>
      <c r="H40" t="s">
        <v>750</v>
      </c>
      <c r="I40" t="s">
        <v>657</v>
      </c>
      <c r="J40" t="s">
        <v>658</v>
      </c>
      <c r="N40" t="s">
        <v>659</v>
      </c>
      <c r="O40" t="s">
        <v>769</v>
      </c>
    </row>
    <row r="41" spans="1:15" ht="15" customHeight="1" x14ac:dyDescent="0.2">
      <c r="A41">
        <v>3</v>
      </c>
      <c r="B41" t="s">
        <v>103</v>
      </c>
      <c r="C41" t="s">
        <v>103</v>
      </c>
      <c r="D41" t="s">
        <v>653</v>
      </c>
      <c r="F41" t="s">
        <v>770</v>
      </c>
      <c r="G41" t="s">
        <v>771</v>
      </c>
      <c r="H41" t="s">
        <v>750</v>
      </c>
      <c r="I41" t="s">
        <v>657</v>
      </c>
      <c r="J41" t="s">
        <v>658</v>
      </c>
      <c r="N41" t="s">
        <v>659</v>
      </c>
      <c r="O41" t="s">
        <v>772</v>
      </c>
    </row>
    <row r="42" spans="1:15" ht="15" customHeight="1" x14ac:dyDescent="0.2">
      <c r="A42">
        <v>3</v>
      </c>
      <c r="B42" t="s">
        <v>103</v>
      </c>
      <c r="C42" t="s">
        <v>103</v>
      </c>
      <c r="D42" t="s">
        <v>653</v>
      </c>
      <c r="F42" t="s">
        <v>773</v>
      </c>
      <c r="G42" t="s">
        <v>774</v>
      </c>
      <c r="H42" t="s">
        <v>759</v>
      </c>
      <c r="I42" t="s">
        <v>678</v>
      </c>
      <c r="J42" t="s">
        <v>658</v>
      </c>
      <c r="N42" t="s">
        <v>659</v>
      </c>
      <c r="O42" t="s">
        <v>760</v>
      </c>
    </row>
    <row r="43" spans="1:15" ht="15" customHeight="1" x14ac:dyDescent="0.2">
      <c r="A43">
        <v>3</v>
      </c>
      <c r="B43" t="s">
        <v>103</v>
      </c>
      <c r="C43" t="s">
        <v>103</v>
      </c>
      <c r="D43" t="s">
        <v>653</v>
      </c>
      <c r="F43" t="s">
        <v>775</v>
      </c>
      <c r="G43" t="s">
        <v>776</v>
      </c>
      <c r="H43" t="s">
        <v>750</v>
      </c>
      <c r="I43" t="s">
        <v>657</v>
      </c>
      <c r="J43" t="s">
        <v>658</v>
      </c>
      <c r="K43" t="s">
        <v>685</v>
      </c>
      <c r="N43" t="s">
        <v>659</v>
      </c>
      <c r="O43" t="s">
        <v>777</v>
      </c>
    </row>
    <row r="44" spans="1:15" ht="15" customHeight="1" x14ac:dyDescent="0.2">
      <c r="A44">
        <v>3</v>
      </c>
      <c r="B44" t="s">
        <v>103</v>
      </c>
      <c r="C44" t="s">
        <v>103</v>
      </c>
      <c r="D44" t="s">
        <v>653</v>
      </c>
      <c r="F44" t="s">
        <v>778</v>
      </c>
      <c r="G44" t="s">
        <v>779</v>
      </c>
      <c r="H44" t="s">
        <v>750</v>
      </c>
      <c r="I44" t="s">
        <v>657</v>
      </c>
      <c r="J44" t="s">
        <v>658</v>
      </c>
      <c r="K44" t="s">
        <v>685</v>
      </c>
      <c r="N44" t="s">
        <v>659</v>
      </c>
      <c r="O44" t="s">
        <v>780</v>
      </c>
    </row>
    <row r="45" spans="1:15" ht="15" customHeight="1" x14ac:dyDescent="0.2">
      <c r="A45">
        <v>3</v>
      </c>
      <c r="B45" t="s">
        <v>103</v>
      </c>
      <c r="C45" t="s">
        <v>103</v>
      </c>
      <c r="D45" t="s">
        <v>653</v>
      </c>
      <c r="F45" t="s">
        <v>781</v>
      </c>
      <c r="G45" t="s">
        <v>782</v>
      </c>
      <c r="H45" t="s">
        <v>750</v>
      </c>
      <c r="I45" t="s">
        <v>657</v>
      </c>
      <c r="J45" t="s">
        <v>658</v>
      </c>
      <c r="K45" t="s">
        <v>685</v>
      </c>
      <c r="N45" t="s">
        <v>659</v>
      </c>
      <c r="O45" t="s">
        <v>783</v>
      </c>
    </row>
    <row r="46" spans="1:15" ht="15" customHeight="1" x14ac:dyDescent="0.2">
      <c r="A46">
        <v>3</v>
      </c>
      <c r="B46" t="s">
        <v>103</v>
      </c>
      <c r="C46" t="s">
        <v>103</v>
      </c>
      <c r="D46" t="s">
        <v>653</v>
      </c>
      <c r="F46" t="s">
        <v>784</v>
      </c>
      <c r="G46" t="s">
        <v>785</v>
      </c>
      <c r="H46" t="s">
        <v>750</v>
      </c>
      <c r="I46" t="s">
        <v>657</v>
      </c>
      <c r="J46" t="s">
        <v>658</v>
      </c>
      <c r="K46" t="s">
        <v>685</v>
      </c>
      <c r="N46" t="s">
        <v>659</v>
      </c>
      <c r="O46" t="s">
        <v>786</v>
      </c>
    </row>
    <row r="47" spans="1:15" ht="15" customHeight="1" x14ac:dyDescent="0.2">
      <c r="A47">
        <v>3</v>
      </c>
      <c r="B47" t="s">
        <v>103</v>
      </c>
      <c r="C47" t="s">
        <v>103</v>
      </c>
      <c r="D47" t="s">
        <v>653</v>
      </c>
      <c r="F47" t="s">
        <v>787</v>
      </c>
      <c r="G47" t="s">
        <v>788</v>
      </c>
      <c r="H47" t="s">
        <v>750</v>
      </c>
      <c r="I47" t="s">
        <v>657</v>
      </c>
      <c r="J47" t="s">
        <v>658</v>
      </c>
      <c r="K47" t="s">
        <v>685</v>
      </c>
      <c r="N47" t="s">
        <v>659</v>
      </c>
      <c r="O47" t="s">
        <v>789</v>
      </c>
    </row>
    <row r="48" spans="1:15" ht="15" customHeight="1" x14ac:dyDescent="0.2">
      <c r="A48">
        <v>3</v>
      </c>
      <c r="B48" t="s">
        <v>103</v>
      </c>
      <c r="C48" t="s">
        <v>103</v>
      </c>
      <c r="D48" t="s">
        <v>653</v>
      </c>
      <c r="F48" t="s">
        <v>790</v>
      </c>
      <c r="G48" t="s">
        <v>791</v>
      </c>
      <c r="H48" t="s">
        <v>759</v>
      </c>
      <c r="I48" t="s">
        <v>678</v>
      </c>
      <c r="J48" t="s">
        <v>658</v>
      </c>
      <c r="K48" t="s">
        <v>685</v>
      </c>
      <c r="N48" t="s">
        <v>659</v>
      </c>
      <c r="O48" t="s">
        <v>760</v>
      </c>
    </row>
    <row r="49" spans="1:15" ht="15" customHeight="1" x14ac:dyDescent="0.2">
      <c r="A49">
        <v>3</v>
      </c>
      <c r="B49" t="s">
        <v>103</v>
      </c>
      <c r="C49" t="s">
        <v>103</v>
      </c>
      <c r="D49" t="s">
        <v>653</v>
      </c>
      <c r="F49" t="s">
        <v>792</v>
      </c>
      <c r="G49" t="s">
        <v>793</v>
      </c>
      <c r="H49" t="s">
        <v>750</v>
      </c>
      <c r="I49" t="s">
        <v>657</v>
      </c>
      <c r="J49" t="s">
        <v>658</v>
      </c>
      <c r="K49" t="s">
        <v>685</v>
      </c>
      <c r="N49" t="s">
        <v>659</v>
      </c>
      <c r="O49">
        <v>39</v>
      </c>
    </row>
    <row r="50" spans="1:15" ht="15" customHeight="1" x14ac:dyDescent="0.2">
      <c r="A50">
        <v>3</v>
      </c>
      <c r="B50" t="s">
        <v>103</v>
      </c>
      <c r="C50" t="s">
        <v>103</v>
      </c>
      <c r="D50" t="s">
        <v>653</v>
      </c>
      <c r="F50" t="s">
        <v>794</v>
      </c>
      <c r="G50" t="s">
        <v>795</v>
      </c>
      <c r="H50" t="s">
        <v>750</v>
      </c>
      <c r="I50" t="s">
        <v>657</v>
      </c>
      <c r="J50" t="s">
        <v>658</v>
      </c>
      <c r="K50" t="s">
        <v>685</v>
      </c>
      <c r="N50" t="s">
        <v>659</v>
      </c>
      <c r="O50">
        <v>39</v>
      </c>
    </row>
    <row r="51" spans="1:15" ht="15" customHeight="1" x14ac:dyDescent="0.2">
      <c r="A51">
        <v>3</v>
      </c>
      <c r="B51" t="s">
        <v>103</v>
      </c>
      <c r="C51" t="s">
        <v>103</v>
      </c>
      <c r="D51" t="s">
        <v>653</v>
      </c>
      <c r="F51" t="s">
        <v>796</v>
      </c>
      <c r="G51" t="s">
        <v>797</v>
      </c>
      <c r="H51" t="s">
        <v>759</v>
      </c>
      <c r="I51" t="s">
        <v>678</v>
      </c>
      <c r="J51" t="s">
        <v>658</v>
      </c>
      <c r="K51" t="s">
        <v>685</v>
      </c>
      <c r="N51" t="s">
        <v>659</v>
      </c>
      <c r="O51">
        <v>40</v>
      </c>
    </row>
    <row r="52" spans="1:15" ht="15" customHeight="1" x14ac:dyDescent="0.2">
      <c r="A52">
        <v>3</v>
      </c>
      <c r="B52" t="s">
        <v>103</v>
      </c>
      <c r="C52" t="s">
        <v>103</v>
      </c>
      <c r="D52" t="s">
        <v>653</v>
      </c>
      <c r="F52" t="s">
        <v>798</v>
      </c>
      <c r="G52" t="s">
        <v>799</v>
      </c>
      <c r="H52" t="s">
        <v>800</v>
      </c>
      <c r="I52" t="s">
        <v>657</v>
      </c>
      <c r="J52" t="s">
        <v>658</v>
      </c>
      <c r="K52" t="s">
        <v>685</v>
      </c>
      <c r="N52" t="s">
        <v>659</v>
      </c>
      <c r="O52">
        <v>41</v>
      </c>
    </row>
    <row r="53" spans="1:15" ht="15" customHeight="1" x14ac:dyDescent="0.2">
      <c r="A53">
        <v>3</v>
      </c>
      <c r="B53" t="s">
        <v>103</v>
      </c>
      <c r="C53" t="s">
        <v>103</v>
      </c>
      <c r="D53" t="s">
        <v>653</v>
      </c>
      <c r="F53" t="s">
        <v>801</v>
      </c>
      <c r="G53" t="s">
        <v>802</v>
      </c>
      <c r="H53" t="s">
        <v>656</v>
      </c>
      <c r="I53" t="s">
        <v>657</v>
      </c>
      <c r="J53" t="s">
        <v>658</v>
      </c>
      <c r="K53" t="s">
        <v>685</v>
      </c>
      <c r="N53" t="s">
        <v>659</v>
      </c>
      <c r="O53">
        <v>42</v>
      </c>
    </row>
    <row r="54" spans="1:15" ht="15" customHeight="1" x14ac:dyDescent="0.2">
      <c r="A54">
        <v>3</v>
      </c>
      <c r="B54" t="s">
        <v>103</v>
      </c>
      <c r="C54" t="s">
        <v>103</v>
      </c>
      <c r="D54" t="s">
        <v>653</v>
      </c>
      <c r="F54" t="s">
        <v>803</v>
      </c>
      <c r="G54" t="s">
        <v>804</v>
      </c>
      <c r="H54" t="s">
        <v>673</v>
      </c>
      <c r="I54" t="s">
        <v>657</v>
      </c>
      <c r="J54" t="s">
        <v>658</v>
      </c>
      <c r="K54" t="s">
        <v>685</v>
      </c>
      <c r="N54" t="s">
        <v>659</v>
      </c>
      <c r="O54">
        <v>43</v>
      </c>
    </row>
    <row r="55" spans="1:15" ht="15" customHeight="1" x14ac:dyDescent="0.2">
      <c r="A55">
        <v>3</v>
      </c>
      <c r="B55" t="s">
        <v>103</v>
      </c>
      <c r="C55" t="s">
        <v>103</v>
      </c>
      <c r="D55" t="s">
        <v>653</v>
      </c>
      <c r="F55" t="s">
        <v>805</v>
      </c>
      <c r="G55" t="s">
        <v>806</v>
      </c>
      <c r="H55" t="s">
        <v>807</v>
      </c>
      <c r="I55" t="s">
        <v>678</v>
      </c>
      <c r="J55" t="s">
        <v>663</v>
      </c>
      <c r="K55" t="s">
        <v>685</v>
      </c>
      <c r="N55" t="s">
        <v>659</v>
      </c>
      <c r="O55" t="s">
        <v>808</v>
      </c>
    </row>
    <row r="56" spans="1:15" ht="15" customHeight="1" x14ac:dyDescent="0.2">
      <c r="A56">
        <v>3</v>
      </c>
      <c r="B56" t="s">
        <v>103</v>
      </c>
      <c r="C56" t="s">
        <v>103</v>
      </c>
      <c r="D56" t="s">
        <v>653</v>
      </c>
      <c r="F56" t="s">
        <v>809</v>
      </c>
      <c r="G56" t="s">
        <v>810</v>
      </c>
      <c r="H56" t="s">
        <v>807</v>
      </c>
      <c r="I56" t="s">
        <v>678</v>
      </c>
      <c r="J56" t="s">
        <v>663</v>
      </c>
      <c r="K56" t="s">
        <v>685</v>
      </c>
      <c r="N56" t="s">
        <v>659</v>
      </c>
      <c r="O56" t="s">
        <v>808</v>
      </c>
    </row>
    <row r="57" spans="1:15" ht="15" customHeight="1" x14ac:dyDescent="0.2">
      <c r="A57">
        <v>4</v>
      </c>
      <c r="B57" t="s">
        <v>105</v>
      </c>
      <c r="C57" t="s">
        <v>105</v>
      </c>
      <c r="D57" t="s">
        <v>653</v>
      </c>
      <c r="F57" t="s">
        <v>811</v>
      </c>
      <c r="G57" t="s">
        <v>812</v>
      </c>
      <c r="H57" t="s">
        <v>691</v>
      </c>
      <c r="I57" t="s">
        <v>657</v>
      </c>
      <c r="J57" t="s">
        <v>658</v>
      </c>
      <c r="N57" t="s">
        <v>659</v>
      </c>
      <c r="O57">
        <v>44</v>
      </c>
    </row>
    <row r="58" spans="1:15" ht="15" customHeight="1" x14ac:dyDescent="0.2">
      <c r="A58">
        <v>4</v>
      </c>
      <c r="B58" t="s">
        <v>105</v>
      </c>
      <c r="C58" t="s">
        <v>105</v>
      </c>
      <c r="D58" t="s">
        <v>653</v>
      </c>
      <c r="F58" t="s">
        <v>813</v>
      </c>
      <c r="G58" t="s">
        <v>814</v>
      </c>
      <c r="H58" t="s">
        <v>691</v>
      </c>
      <c r="I58" t="s">
        <v>657</v>
      </c>
      <c r="J58" t="s">
        <v>658</v>
      </c>
      <c r="N58" t="s">
        <v>659</v>
      </c>
      <c r="O58">
        <v>50</v>
      </c>
    </row>
    <row r="59" spans="1:15" ht="15" customHeight="1" x14ac:dyDescent="0.2">
      <c r="A59">
        <v>4</v>
      </c>
      <c r="B59" t="s">
        <v>105</v>
      </c>
      <c r="C59" t="s">
        <v>105</v>
      </c>
      <c r="D59" t="s">
        <v>653</v>
      </c>
      <c r="F59" t="s">
        <v>815</v>
      </c>
      <c r="G59" t="s">
        <v>816</v>
      </c>
      <c r="H59" t="s">
        <v>691</v>
      </c>
      <c r="I59" t="s">
        <v>657</v>
      </c>
      <c r="J59" t="s">
        <v>658</v>
      </c>
      <c r="N59" t="s">
        <v>659</v>
      </c>
      <c r="O59" t="s">
        <v>817</v>
      </c>
    </row>
    <row r="60" spans="1:15" ht="15" customHeight="1" x14ac:dyDescent="0.2">
      <c r="A60">
        <v>4</v>
      </c>
      <c r="B60" t="s">
        <v>105</v>
      </c>
      <c r="C60" t="s">
        <v>105</v>
      </c>
      <c r="D60" t="s">
        <v>653</v>
      </c>
      <c r="F60" t="s">
        <v>818</v>
      </c>
      <c r="G60" t="s">
        <v>819</v>
      </c>
      <c r="H60" t="s">
        <v>691</v>
      </c>
      <c r="I60" t="s">
        <v>657</v>
      </c>
      <c r="J60" t="s">
        <v>658</v>
      </c>
      <c r="K60" t="s">
        <v>820</v>
      </c>
      <c r="N60" t="s">
        <v>659</v>
      </c>
      <c r="O60" t="s">
        <v>821</v>
      </c>
    </row>
    <row r="61" spans="1:15" ht="15" customHeight="1" x14ac:dyDescent="0.2">
      <c r="A61">
        <v>4</v>
      </c>
      <c r="B61" t="s">
        <v>105</v>
      </c>
      <c r="C61" t="s">
        <v>105</v>
      </c>
      <c r="D61" t="s">
        <v>653</v>
      </c>
      <c r="F61" t="s">
        <v>822</v>
      </c>
      <c r="G61" t="s">
        <v>823</v>
      </c>
      <c r="H61" t="s">
        <v>691</v>
      </c>
      <c r="I61" t="s">
        <v>657</v>
      </c>
      <c r="J61" t="s">
        <v>658</v>
      </c>
      <c r="K61" t="s">
        <v>820</v>
      </c>
      <c r="N61" t="s">
        <v>659</v>
      </c>
      <c r="O61" t="s">
        <v>824</v>
      </c>
    </row>
    <row r="62" spans="1:15" ht="15" customHeight="1" x14ac:dyDescent="0.2">
      <c r="A62">
        <v>4</v>
      </c>
      <c r="B62" t="s">
        <v>105</v>
      </c>
      <c r="C62" t="s">
        <v>105</v>
      </c>
      <c r="D62" t="s">
        <v>653</v>
      </c>
      <c r="F62" t="s">
        <v>825</v>
      </c>
      <c r="G62" t="s">
        <v>826</v>
      </c>
      <c r="H62" t="s">
        <v>691</v>
      </c>
      <c r="I62" t="s">
        <v>657</v>
      </c>
      <c r="J62" t="s">
        <v>658</v>
      </c>
      <c r="N62" t="s">
        <v>659</v>
      </c>
      <c r="O62" t="s">
        <v>827</v>
      </c>
    </row>
    <row r="63" spans="1:15" ht="15" customHeight="1" x14ac:dyDescent="0.2">
      <c r="A63">
        <v>4</v>
      </c>
      <c r="B63" t="s">
        <v>105</v>
      </c>
      <c r="C63" t="s">
        <v>105</v>
      </c>
      <c r="D63" t="s">
        <v>653</v>
      </c>
      <c r="F63" t="s">
        <v>828</v>
      </c>
      <c r="G63" t="s">
        <v>829</v>
      </c>
      <c r="H63" t="s">
        <v>830</v>
      </c>
      <c r="I63" t="s">
        <v>657</v>
      </c>
      <c r="J63" t="s">
        <v>658</v>
      </c>
      <c r="N63" t="s">
        <v>659</v>
      </c>
      <c r="O63" t="s">
        <v>831</v>
      </c>
    </row>
    <row r="64" spans="1:15" ht="15" customHeight="1" x14ac:dyDescent="0.2">
      <c r="A64">
        <v>4</v>
      </c>
      <c r="B64" t="s">
        <v>105</v>
      </c>
      <c r="C64" t="s">
        <v>105</v>
      </c>
      <c r="D64" t="s">
        <v>653</v>
      </c>
      <c r="F64" t="s">
        <v>832</v>
      </c>
      <c r="G64" t="s">
        <v>833</v>
      </c>
      <c r="H64" t="s">
        <v>834</v>
      </c>
      <c r="I64" t="s">
        <v>678</v>
      </c>
      <c r="J64" t="s">
        <v>658</v>
      </c>
      <c r="N64" t="s">
        <v>659</v>
      </c>
      <c r="O64" t="s">
        <v>835</v>
      </c>
    </row>
    <row r="65" spans="1:15" ht="15" customHeight="1" x14ac:dyDescent="0.2">
      <c r="A65">
        <v>4</v>
      </c>
      <c r="B65" t="s">
        <v>105</v>
      </c>
      <c r="C65" t="s">
        <v>105</v>
      </c>
      <c r="D65" t="s">
        <v>653</v>
      </c>
      <c r="F65" t="s">
        <v>836</v>
      </c>
      <c r="G65" t="s">
        <v>837</v>
      </c>
      <c r="H65" t="s">
        <v>830</v>
      </c>
      <c r="I65" t="s">
        <v>657</v>
      </c>
      <c r="J65" t="s">
        <v>658</v>
      </c>
      <c r="N65" t="s">
        <v>659</v>
      </c>
      <c r="O65" t="s">
        <v>838</v>
      </c>
    </row>
    <row r="66" spans="1:15" ht="15" customHeight="1" x14ac:dyDescent="0.2">
      <c r="A66">
        <v>4</v>
      </c>
      <c r="B66" t="s">
        <v>105</v>
      </c>
      <c r="C66" t="s">
        <v>105</v>
      </c>
      <c r="D66" t="s">
        <v>653</v>
      </c>
      <c r="F66" t="s">
        <v>839</v>
      </c>
      <c r="G66" t="s">
        <v>840</v>
      </c>
      <c r="H66" t="s">
        <v>830</v>
      </c>
      <c r="I66" t="s">
        <v>657</v>
      </c>
      <c r="J66" t="s">
        <v>658</v>
      </c>
      <c r="N66" t="s">
        <v>659</v>
      </c>
      <c r="O66" t="s">
        <v>841</v>
      </c>
    </row>
    <row r="67" spans="1:15" ht="15" customHeight="1" x14ac:dyDescent="0.2">
      <c r="A67">
        <v>4</v>
      </c>
      <c r="B67" t="s">
        <v>105</v>
      </c>
      <c r="C67" t="s">
        <v>105</v>
      </c>
      <c r="D67" t="s">
        <v>653</v>
      </c>
      <c r="F67" t="s">
        <v>842</v>
      </c>
      <c r="G67" t="s">
        <v>843</v>
      </c>
      <c r="H67" t="s">
        <v>830</v>
      </c>
      <c r="I67" t="s">
        <v>657</v>
      </c>
      <c r="J67" t="s">
        <v>658</v>
      </c>
      <c r="N67" t="s">
        <v>659</v>
      </c>
      <c r="O67">
        <v>51</v>
      </c>
    </row>
    <row r="68" spans="1:15" ht="15" customHeight="1" x14ac:dyDescent="0.2">
      <c r="A68">
        <v>4</v>
      </c>
      <c r="B68" t="s">
        <v>105</v>
      </c>
      <c r="C68" t="s">
        <v>105</v>
      </c>
      <c r="D68" t="s">
        <v>653</v>
      </c>
      <c r="F68" t="s">
        <v>844</v>
      </c>
      <c r="G68" t="s">
        <v>845</v>
      </c>
      <c r="H68" t="s">
        <v>830</v>
      </c>
      <c r="I68" t="s">
        <v>657</v>
      </c>
      <c r="J68" t="s">
        <v>658</v>
      </c>
      <c r="N68" t="s">
        <v>659</v>
      </c>
      <c r="O68" t="s">
        <v>846</v>
      </c>
    </row>
    <row r="69" spans="1:15" ht="15" customHeight="1" x14ac:dyDescent="0.2">
      <c r="A69">
        <v>4</v>
      </c>
      <c r="B69" t="s">
        <v>105</v>
      </c>
      <c r="C69" t="s">
        <v>105</v>
      </c>
      <c r="D69" t="s">
        <v>653</v>
      </c>
      <c r="F69" t="s">
        <v>847</v>
      </c>
      <c r="G69" t="s">
        <v>848</v>
      </c>
      <c r="H69" t="s">
        <v>830</v>
      </c>
      <c r="I69" t="s">
        <v>657</v>
      </c>
      <c r="J69" t="s">
        <v>658</v>
      </c>
      <c r="N69" t="s">
        <v>659</v>
      </c>
      <c r="O69" t="s">
        <v>849</v>
      </c>
    </row>
    <row r="70" spans="1:15" ht="15" customHeight="1" x14ac:dyDescent="0.2">
      <c r="A70">
        <v>4</v>
      </c>
      <c r="B70" t="s">
        <v>105</v>
      </c>
      <c r="C70" t="s">
        <v>105</v>
      </c>
      <c r="D70" t="s">
        <v>653</v>
      </c>
      <c r="F70" t="s">
        <v>850</v>
      </c>
      <c r="G70" t="s">
        <v>851</v>
      </c>
      <c r="H70" t="s">
        <v>673</v>
      </c>
      <c r="I70" t="s">
        <v>657</v>
      </c>
      <c r="J70" t="s">
        <v>658</v>
      </c>
      <c r="K70" t="s">
        <v>685</v>
      </c>
      <c r="N70" t="s">
        <v>659</v>
      </c>
      <c r="O70">
        <v>47</v>
      </c>
    </row>
    <row r="71" spans="1:15" ht="15" customHeight="1" x14ac:dyDescent="0.2">
      <c r="A71">
        <v>4</v>
      </c>
      <c r="B71" t="s">
        <v>105</v>
      </c>
      <c r="C71" t="s">
        <v>105</v>
      </c>
      <c r="D71" t="s">
        <v>653</v>
      </c>
      <c r="F71" t="s">
        <v>852</v>
      </c>
      <c r="G71" t="s">
        <v>853</v>
      </c>
      <c r="H71" t="s">
        <v>673</v>
      </c>
      <c r="I71" t="s">
        <v>657</v>
      </c>
      <c r="J71" t="s">
        <v>658</v>
      </c>
      <c r="N71" t="s">
        <v>659</v>
      </c>
      <c r="O71" t="s">
        <v>854</v>
      </c>
    </row>
    <row r="72" spans="1:15" ht="15" customHeight="1" x14ac:dyDescent="0.2">
      <c r="A72">
        <v>4</v>
      </c>
      <c r="B72" t="s">
        <v>105</v>
      </c>
      <c r="C72" t="s">
        <v>105</v>
      </c>
      <c r="D72" t="s">
        <v>653</v>
      </c>
      <c r="F72" t="s">
        <v>855</v>
      </c>
      <c r="G72" t="s">
        <v>856</v>
      </c>
      <c r="H72" t="s">
        <v>673</v>
      </c>
      <c r="I72" t="s">
        <v>657</v>
      </c>
      <c r="J72" t="s">
        <v>658</v>
      </c>
      <c r="K72" t="s">
        <v>685</v>
      </c>
      <c r="N72" t="s">
        <v>659</v>
      </c>
      <c r="O72" t="s">
        <v>857</v>
      </c>
    </row>
    <row r="73" spans="1:15" ht="15" customHeight="1" x14ac:dyDescent="0.2">
      <c r="A73">
        <v>4</v>
      </c>
      <c r="B73" t="s">
        <v>105</v>
      </c>
      <c r="C73" t="s">
        <v>105</v>
      </c>
      <c r="D73" t="s">
        <v>653</v>
      </c>
      <c r="F73" t="s">
        <v>858</v>
      </c>
      <c r="G73" t="s">
        <v>859</v>
      </c>
      <c r="H73" t="s">
        <v>667</v>
      </c>
      <c r="I73" t="s">
        <v>657</v>
      </c>
      <c r="J73" t="s">
        <v>658</v>
      </c>
      <c r="N73" t="s">
        <v>659</v>
      </c>
      <c r="O73" t="s">
        <v>860</v>
      </c>
    </row>
    <row r="74" spans="1:15" ht="15" customHeight="1" x14ac:dyDescent="0.2">
      <c r="A74">
        <v>4</v>
      </c>
      <c r="B74" t="s">
        <v>105</v>
      </c>
      <c r="C74" t="s">
        <v>105</v>
      </c>
      <c r="D74" t="s">
        <v>653</v>
      </c>
      <c r="F74" t="s">
        <v>861</v>
      </c>
      <c r="G74" t="s">
        <v>862</v>
      </c>
      <c r="H74" t="s">
        <v>759</v>
      </c>
      <c r="I74" t="s">
        <v>678</v>
      </c>
      <c r="J74" t="s">
        <v>658</v>
      </c>
      <c r="N74" t="s">
        <v>659</v>
      </c>
      <c r="O74" t="s">
        <v>863</v>
      </c>
    </row>
    <row r="75" spans="1:15" ht="15" customHeight="1" x14ac:dyDescent="0.2">
      <c r="A75">
        <v>4</v>
      </c>
      <c r="B75" t="s">
        <v>105</v>
      </c>
      <c r="C75" t="s">
        <v>105</v>
      </c>
      <c r="D75" t="s">
        <v>653</v>
      </c>
      <c r="F75" t="s">
        <v>864</v>
      </c>
      <c r="G75" t="s">
        <v>865</v>
      </c>
      <c r="H75" t="s">
        <v>759</v>
      </c>
      <c r="I75" t="s">
        <v>678</v>
      </c>
      <c r="J75" t="s">
        <v>658</v>
      </c>
      <c r="N75" t="s">
        <v>659</v>
      </c>
      <c r="O75" t="s">
        <v>863</v>
      </c>
    </row>
    <row r="76" spans="1:15" ht="15" customHeight="1" x14ac:dyDescent="0.2">
      <c r="A76">
        <v>4</v>
      </c>
      <c r="B76" t="s">
        <v>105</v>
      </c>
      <c r="C76" t="s">
        <v>105</v>
      </c>
      <c r="D76" t="s">
        <v>653</v>
      </c>
      <c r="F76" t="s">
        <v>866</v>
      </c>
      <c r="G76" t="s">
        <v>867</v>
      </c>
      <c r="H76" t="s">
        <v>759</v>
      </c>
      <c r="I76" t="s">
        <v>678</v>
      </c>
      <c r="J76" t="s">
        <v>663</v>
      </c>
      <c r="N76" t="s">
        <v>659</v>
      </c>
      <c r="O76" t="s">
        <v>863</v>
      </c>
    </row>
    <row r="77" spans="1:15" ht="15" customHeight="1" x14ac:dyDescent="0.2">
      <c r="A77">
        <v>4</v>
      </c>
      <c r="B77" t="s">
        <v>105</v>
      </c>
      <c r="C77" t="s">
        <v>105</v>
      </c>
      <c r="D77" t="s">
        <v>653</v>
      </c>
      <c r="F77" t="s">
        <v>868</v>
      </c>
      <c r="G77" t="s">
        <v>869</v>
      </c>
      <c r="H77" t="s">
        <v>759</v>
      </c>
      <c r="I77" t="s">
        <v>678</v>
      </c>
      <c r="J77" t="s">
        <v>658</v>
      </c>
      <c r="N77" t="s">
        <v>659</v>
      </c>
      <c r="O77" t="s">
        <v>863</v>
      </c>
    </row>
    <row r="78" spans="1:15" ht="15" customHeight="1" x14ac:dyDescent="0.2">
      <c r="A78">
        <v>4</v>
      </c>
      <c r="B78" t="s">
        <v>105</v>
      </c>
      <c r="C78" t="s">
        <v>105</v>
      </c>
      <c r="D78" t="s">
        <v>653</v>
      </c>
      <c r="F78" t="s">
        <v>870</v>
      </c>
      <c r="G78" t="s">
        <v>871</v>
      </c>
      <c r="H78" t="s">
        <v>759</v>
      </c>
      <c r="I78" t="s">
        <v>678</v>
      </c>
      <c r="J78" t="s">
        <v>658</v>
      </c>
      <c r="N78" t="s">
        <v>659</v>
      </c>
      <c r="O78" t="s">
        <v>863</v>
      </c>
    </row>
    <row r="79" spans="1:15" ht="15" customHeight="1" x14ac:dyDescent="0.2">
      <c r="A79">
        <v>4</v>
      </c>
      <c r="B79" t="s">
        <v>105</v>
      </c>
      <c r="C79" t="s">
        <v>105</v>
      </c>
      <c r="D79" t="s">
        <v>653</v>
      </c>
      <c r="F79" t="s">
        <v>872</v>
      </c>
      <c r="G79" t="s">
        <v>873</v>
      </c>
      <c r="H79" t="s">
        <v>673</v>
      </c>
      <c r="I79" t="s">
        <v>657</v>
      </c>
      <c r="J79" t="s">
        <v>658</v>
      </c>
      <c r="N79" t="s">
        <v>659</v>
      </c>
      <c r="O79" t="s">
        <v>863</v>
      </c>
    </row>
    <row r="80" spans="1:15" ht="15" customHeight="1" x14ac:dyDescent="0.2">
      <c r="A80">
        <v>4</v>
      </c>
      <c r="B80" t="s">
        <v>105</v>
      </c>
      <c r="C80" t="s">
        <v>105</v>
      </c>
      <c r="D80" t="s">
        <v>653</v>
      </c>
      <c r="F80" t="s">
        <v>874</v>
      </c>
      <c r="G80" t="s">
        <v>875</v>
      </c>
      <c r="H80" t="s">
        <v>667</v>
      </c>
      <c r="I80" t="s">
        <v>657</v>
      </c>
      <c r="J80" t="s">
        <v>658</v>
      </c>
      <c r="N80" t="s">
        <v>659</v>
      </c>
      <c r="O80" t="s">
        <v>876</v>
      </c>
    </row>
    <row r="81" spans="1:15" ht="15" customHeight="1" x14ac:dyDescent="0.2">
      <c r="A81">
        <v>4</v>
      </c>
      <c r="B81" t="s">
        <v>105</v>
      </c>
      <c r="C81" t="s">
        <v>105</v>
      </c>
      <c r="D81" t="s">
        <v>653</v>
      </c>
      <c r="F81" t="s">
        <v>877</v>
      </c>
      <c r="G81" t="s">
        <v>878</v>
      </c>
      <c r="H81" t="s">
        <v>879</v>
      </c>
      <c r="I81" t="s">
        <v>678</v>
      </c>
      <c r="J81" t="s">
        <v>658</v>
      </c>
      <c r="N81" t="s">
        <v>659</v>
      </c>
      <c r="O81" t="s">
        <v>880</v>
      </c>
    </row>
    <row r="82" spans="1:15" ht="15" customHeight="1" x14ac:dyDescent="0.2">
      <c r="A82">
        <v>4</v>
      </c>
      <c r="B82" t="s">
        <v>105</v>
      </c>
      <c r="C82" t="s">
        <v>105</v>
      </c>
      <c r="D82" t="s">
        <v>653</v>
      </c>
      <c r="F82" t="s">
        <v>881</v>
      </c>
      <c r="G82" t="s">
        <v>882</v>
      </c>
      <c r="H82" t="s">
        <v>673</v>
      </c>
      <c r="I82" t="s">
        <v>657</v>
      </c>
      <c r="J82" t="s">
        <v>658</v>
      </c>
      <c r="N82" t="s">
        <v>659</v>
      </c>
      <c r="O82" t="s">
        <v>883</v>
      </c>
    </row>
    <row r="83" spans="1:15" ht="15" customHeight="1" x14ac:dyDescent="0.2">
      <c r="A83">
        <v>4</v>
      </c>
      <c r="B83" t="s">
        <v>105</v>
      </c>
      <c r="C83" t="s">
        <v>105</v>
      </c>
      <c r="D83" t="s">
        <v>653</v>
      </c>
      <c r="F83" t="s">
        <v>884</v>
      </c>
      <c r="G83" t="s">
        <v>885</v>
      </c>
      <c r="H83" t="s">
        <v>656</v>
      </c>
      <c r="I83" t="s">
        <v>657</v>
      </c>
      <c r="J83" t="s">
        <v>658</v>
      </c>
      <c r="N83" t="s">
        <v>659</v>
      </c>
      <c r="O83" t="s">
        <v>883</v>
      </c>
    </row>
    <row r="84" spans="1:15" ht="15" customHeight="1" x14ac:dyDescent="0.2">
      <c r="A84">
        <v>4</v>
      </c>
      <c r="B84" t="s">
        <v>105</v>
      </c>
      <c r="C84" t="s">
        <v>105</v>
      </c>
      <c r="D84" t="s">
        <v>653</v>
      </c>
      <c r="F84" t="s">
        <v>886</v>
      </c>
      <c r="G84" t="s">
        <v>887</v>
      </c>
      <c r="H84" t="s">
        <v>667</v>
      </c>
      <c r="I84" t="s">
        <v>657</v>
      </c>
      <c r="J84" t="s">
        <v>658</v>
      </c>
      <c r="N84" t="s">
        <v>659</v>
      </c>
      <c r="O84" t="s">
        <v>888</v>
      </c>
    </row>
    <row r="85" spans="1:15" ht="15" customHeight="1" x14ac:dyDescent="0.2">
      <c r="A85">
        <v>4</v>
      </c>
      <c r="B85" t="s">
        <v>105</v>
      </c>
      <c r="C85" t="s">
        <v>105</v>
      </c>
      <c r="D85" t="s">
        <v>653</v>
      </c>
      <c r="F85" t="s">
        <v>889</v>
      </c>
      <c r="G85" t="s">
        <v>890</v>
      </c>
      <c r="H85" t="s">
        <v>673</v>
      </c>
      <c r="I85" t="s">
        <v>657</v>
      </c>
      <c r="J85" t="s">
        <v>658</v>
      </c>
      <c r="N85" t="s">
        <v>659</v>
      </c>
      <c r="O85" t="s">
        <v>891</v>
      </c>
    </row>
    <row r="86" spans="1:15" ht="15" customHeight="1" x14ac:dyDescent="0.2">
      <c r="A86">
        <v>4</v>
      </c>
      <c r="B86" t="s">
        <v>105</v>
      </c>
      <c r="C86" t="s">
        <v>105</v>
      </c>
      <c r="D86" t="s">
        <v>653</v>
      </c>
      <c r="F86" t="s">
        <v>892</v>
      </c>
      <c r="G86" t="s">
        <v>893</v>
      </c>
      <c r="H86" t="s">
        <v>800</v>
      </c>
      <c r="I86" t="s">
        <v>657</v>
      </c>
      <c r="J86" t="s">
        <v>658</v>
      </c>
      <c r="N86" t="s">
        <v>659</v>
      </c>
      <c r="O86">
        <v>53</v>
      </c>
    </row>
    <row r="87" spans="1:15" ht="15" customHeight="1" x14ac:dyDescent="0.2">
      <c r="A87">
        <v>4</v>
      </c>
      <c r="B87" t="s">
        <v>105</v>
      </c>
      <c r="C87" t="s">
        <v>105</v>
      </c>
      <c r="D87" t="s">
        <v>653</v>
      </c>
      <c r="F87" t="s">
        <v>894</v>
      </c>
      <c r="G87" t="s">
        <v>895</v>
      </c>
      <c r="H87" t="s">
        <v>800</v>
      </c>
      <c r="I87" t="s">
        <v>657</v>
      </c>
      <c r="J87" t="s">
        <v>658</v>
      </c>
      <c r="N87" t="s">
        <v>659</v>
      </c>
      <c r="O87">
        <v>53</v>
      </c>
    </row>
    <row r="88" spans="1:15" ht="15" customHeight="1" x14ac:dyDescent="0.2">
      <c r="A88">
        <v>4</v>
      </c>
      <c r="B88" t="s">
        <v>105</v>
      </c>
      <c r="C88" t="s">
        <v>105</v>
      </c>
      <c r="D88" t="s">
        <v>653</v>
      </c>
      <c r="F88" t="s">
        <v>896</v>
      </c>
      <c r="G88" t="s">
        <v>897</v>
      </c>
      <c r="H88" t="s">
        <v>673</v>
      </c>
      <c r="I88" t="s">
        <v>657</v>
      </c>
      <c r="J88" t="s">
        <v>658</v>
      </c>
      <c r="N88" t="s">
        <v>659</v>
      </c>
      <c r="O88">
        <v>55</v>
      </c>
    </row>
    <row r="89" spans="1:15" ht="15" customHeight="1" x14ac:dyDescent="0.2">
      <c r="A89">
        <v>4</v>
      </c>
      <c r="B89" t="s">
        <v>105</v>
      </c>
      <c r="C89" t="s">
        <v>105</v>
      </c>
      <c r="D89" t="s">
        <v>653</v>
      </c>
      <c r="F89" t="s">
        <v>898</v>
      </c>
      <c r="G89" t="s">
        <v>899</v>
      </c>
      <c r="H89" t="s">
        <v>807</v>
      </c>
      <c r="I89" t="s">
        <v>678</v>
      </c>
      <c r="J89" t="s">
        <v>658</v>
      </c>
      <c r="K89" t="s">
        <v>685</v>
      </c>
      <c r="N89" t="s">
        <v>659</v>
      </c>
      <c r="O89" t="s">
        <v>900</v>
      </c>
    </row>
    <row r="90" spans="1:15" ht="15" customHeight="1" x14ac:dyDescent="0.2">
      <c r="A90">
        <v>4</v>
      </c>
      <c r="B90" t="s">
        <v>105</v>
      </c>
      <c r="C90" t="s">
        <v>105</v>
      </c>
      <c r="D90" t="s">
        <v>653</v>
      </c>
      <c r="F90" t="s">
        <v>901</v>
      </c>
      <c r="G90" t="s">
        <v>902</v>
      </c>
      <c r="H90" t="s">
        <v>807</v>
      </c>
      <c r="I90" t="s">
        <v>678</v>
      </c>
      <c r="J90" t="s">
        <v>658</v>
      </c>
      <c r="K90" t="s">
        <v>685</v>
      </c>
      <c r="N90" t="s">
        <v>659</v>
      </c>
      <c r="O90" t="s">
        <v>900</v>
      </c>
    </row>
    <row r="91" spans="1:15" ht="15" customHeight="1" x14ac:dyDescent="0.2">
      <c r="A91">
        <v>4</v>
      </c>
      <c r="B91" t="s">
        <v>105</v>
      </c>
      <c r="C91" t="s">
        <v>105</v>
      </c>
      <c r="D91" t="s">
        <v>653</v>
      </c>
      <c r="F91" t="s">
        <v>903</v>
      </c>
      <c r="G91" t="s">
        <v>904</v>
      </c>
      <c r="H91" t="s">
        <v>807</v>
      </c>
      <c r="I91" t="s">
        <v>678</v>
      </c>
      <c r="J91" t="s">
        <v>658</v>
      </c>
      <c r="K91" t="s">
        <v>685</v>
      </c>
      <c r="N91" t="s">
        <v>659</v>
      </c>
      <c r="O91" t="s">
        <v>900</v>
      </c>
    </row>
    <row r="92" spans="1:15" ht="15" customHeight="1" x14ac:dyDescent="0.2">
      <c r="A92">
        <v>5</v>
      </c>
      <c r="B92" t="s">
        <v>107</v>
      </c>
      <c r="C92" t="s">
        <v>107</v>
      </c>
      <c r="D92" t="s">
        <v>653</v>
      </c>
      <c r="F92" t="s">
        <v>905</v>
      </c>
      <c r="G92" t="s">
        <v>906</v>
      </c>
      <c r="H92" t="s">
        <v>673</v>
      </c>
      <c r="I92" t="s">
        <v>657</v>
      </c>
      <c r="J92" t="s">
        <v>658</v>
      </c>
      <c r="N92" t="s">
        <v>659</v>
      </c>
      <c r="O92" t="s">
        <v>907</v>
      </c>
    </row>
    <row r="93" spans="1:15" ht="15" customHeight="1" x14ac:dyDescent="0.2">
      <c r="A93">
        <v>5</v>
      </c>
      <c r="B93" t="s">
        <v>107</v>
      </c>
      <c r="C93" t="s">
        <v>107</v>
      </c>
      <c r="D93" t="s">
        <v>653</v>
      </c>
      <c r="F93" t="s">
        <v>908</v>
      </c>
      <c r="G93" t="s">
        <v>909</v>
      </c>
      <c r="H93" t="s">
        <v>673</v>
      </c>
      <c r="I93" t="s">
        <v>657</v>
      </c>
      <c r="J93" t="s">
        <v>658</v>
      </c>
      <c r="N93" t="s">
        <v>659</v>
      </c>
      <c r="O93" t="s">
        <v>910</v>
      </c>
    </row>
    <row r="94" spans="1:15" ht="15" customHeight="1" x14ac:dyDescent="0.2">
      <c r="A94">
        <v>5</v>
      </c>
      <c r="B94" t="s">
        <v>107</v>
      </c>
      <c r="C94" t="s">
        <v>107</v>
      </c>
      <c r="D94" t="s">
        <v>653</v>
      </c>
      <c r="F94" t="s">
        <v>911</v>
      </c>
      <c r="G94" t="s">
        <v>912</v>
      </c>
      <c r="H94" t="s">
        <v>673</v>
      </c>
      <c r="I94" t="s">
        <v>657</v>
      </c>
      <c r="J94" t="s">
        <v>658</v>
      </c>
      <c r="N94" t="s">
        <v>659</v>
      </c>
      <c r="O94" t="s">
        <v>913</v>
      </c>
    </row>
    <row r="95" spans="1:15" ht="15" customHeight="1" x14ac:dyDescent="0.2">
      <c r="A95">
        <v>5</v>
      </c>
      <c r="B95" t="s">
        <v>107</v>
      </c>
      <c r="C95" t="s">
        <v>107</v>
      </c>
      <c r="D95" t="s">
        <v>653</v>
      </c>
      <c r="F95" t="s">
        <v>914</v>
      </c>
      <c r="G95" t="s">
        <v>915</v>
      </c>
      <c r="H95" t="s">
        <v>673</v>
      </c>
      <c r="I95" t="s">
        <v>657</v>
      </c>
      <c r="J95" t="s">
        <v>658</v>
      </c>
      <c r="N95" t="s">
        <v>659</v>
      </c>
      <c r="O95" t="s">
        <v>916</v>
      </c>
    </row>
    <row r="96" spans="1:15" ht="15" customHeight="1" x14ac:dyDescent="0.2">
      <c r="A96">
        <v>5</v>
      </c>
      <c r="B96" t="s">
        <v>107</v>
      </c>
      <c r="C96" t="s">
        <v>107</v>
      </c>
      <c r="D96" t="s">
        <v>653</v>
      </c>
      <c r="F96" t="s">
        <v>917</v>
      </c>
      <c r="G96" t="s">
        <v>918</v>
      </c>
      <c r="H96" t="s">
        <v>673</v>
      </c>
      <c r="I96" t="s">
        <v>657</v>
      </c>
      <c r="J96" t="s">
        <v>658</v>
      </c>
      <c r="N96" t="s">
        <v>659</v>
      </c>
      <c r="O96" t="s">
        <v>919</v>
      </c>
    </row>
    <row r="97" spans="1:15" ht="15" customHeight="1" x14ac:dyDescent="0.2">
      <c r="A97">
        <v>5</v>
      </c>
      <c r="B97" t="s">
        <v>107</v>
      </c>
      <c r="C97" t="s">
        <v>107</v>
      </c>
      <c r="D97" t="s">
        <v>653</v>
      </c>
      <c r="F97" t="s">
        <v>920</v>
      </c>
      <c r="G97" t="s">
        <v>921</v>
      </c>
      <c r="H97" t="s">
        <v>673</v>
      </c>
      <c r="I97" t="s">
        <v>657</v>
      </c>
      <c r="J97" t="s">
        <v>658</v>
      </c>
      <c r="N97" t="s">
        <v>659</v>
      </c>
      <c r="O97" t="s">
        <v>922</v>
      </c>
    </row>
    <row r="98" spans="1:15" ht="15" customHeight="1" x14ac:dyDescent="0.2">
      <c r="A98">
        <v>5</v>
      </c>
      <c r="B98" t="s">
        <v>107</v>
      </c>
      <c r="C98" t="s">
        <v>107</v>
      </c>
      <c r="D98" t="s">
        <v>653</v>
      </c>
      <c r="F98" t="s">
        <v>923</v>
      </c>
      <c r="G98" t="s">
        <v>924</v>
      </c>
      <c r="H98" t="s">
        <v>673</v>
      </c>
      <c r="I98" t="s">
        <v>657</v>
      </c>
      <c r="J98" t="s">
        <v>658</v>
      </c>
      <c r="K98" t="s">
        <v>685</v>
      </c>
      <c r="N98" t="s">
        <v>659</v>
      </c>
      <c r="O98">
        <v>13</v>
      </c>
    </row>
    <row r="99" spans="1:15" ht="15" customHeight="1" x14ac:dyDescent="0.2">
      <c r="A99">
        <v>5</v>
      </c>
      <c r="B99" t="s">
        <v>107</v>
      </c>
      <c r="C99" t="s">
        <v>107</v>
      </c>
      <c r="D99" t="s">
        <v>653</v>
      </c>
      <c r="F99" t="s">
        <v>925</v>
      </c>
      <c r="G99" t="s">
        <v>926</v>
      </c>
      <c r="H99" t="s">
        <v>673</v>
      </c>
      <c r="I99" t="s">
        <v>657</v>
      </c>
      <c r="J99" t="s">
        <v>663</v>
      </c>
      <c r="K99" t="s">
        <v>685</v>
      </c>
      <c r="N99" t="s">
        <v>659</v>
      </c>
      <c r="O99">
        <v>13</v>
      </c>
    </row>
    <row r="100" spans="1:15" ht="15" customHeight="1" x14ac:dyDescent="0.2">
      <c r="A100">
        <v>5</v>
      </c>
      <c r="B100" t="s">
        <v>107</v>
      </c>
      <c r="C100" t="s">
        <v>107</v>
      </c>
      <c r="D100" t="s">
        <v>653</v>
      </c>
      <c r="F100" t="s">
        <v>927</v>
      </c>
      <c r="G100" t="s">
        <v>928</v>
      </c>
      <c r="H100" t="s">
        <v>656</v>
      </c>
      <c r="I100" t="s">
        <v>657</v>
      </c>
      <c r="J100" t="s">
        <v>658</v>
      </c>
      <c r="N100" t="s">
        <v>659</v>
      </c>
      <c r="O100">
        <v>14</v>
      </c>
    </row>
    <row r="101" spans="1:15" ht="15" customHeight="1" x14ac:dyDescent="0.2">
      <c r="A101">
        <v>5</v>
      </c>
      <c r="B101" t="s">
        <v>107</v>
      </c>
      <c r="C101" t="s">
        <v>107</v>
      </c>
      <c r="D101" t="s">
        <v>653</v>
      </c>
      <c r="F101" t="s">
        <v>929</v>
      </c>
      <c r="G101" t="s">
        <v>930</v>
      </c>
      <c r="H101" t="s">
        <v>656</v>
      </c>
      <c r="I101" t="s">
        <v>657</v>
      </c>
      <c r="J101" t="s">
        <v>663</v>
      </c>
      <c r="N101" t="s">
        <v>659</v>
      </c>
      <c r="O101" t="s">
        <v>931</v>
      </c>
    </row>
    <row r="102" spans="1:15" ht="15" customHeight="1" x14ac:dyDescent="0.2">
      <c r="A102">
        <v>5</v>
      </c>
      <c r="B102" t="s">
        <v>107</v>
      </c>
      <c r="C102" t="s">
        <v>107</v>
      </c>
      <c r="D102" t="s">
        <v>653</v>
      </c>
      <c r="F102" t="s">
        <v>932</v>
      </c>
      <c r="G102" t="s">
        <v>933</v>
      </c>
      <c r="H102" t="s">
        <v>656</v>
      </c>
      <c r="I102" t="s">
        <v>657</v>
      </c>
      <c r="J102" t="s">
        <v>663</v>
      </c>
      <c r="N102" t="s">
        <v>659</v>
      </c>
      <c r="O102" t="s">
        <v>934</v>
      </c>
    </row>
    <row r="103" spans="1:15" ht="15" customHeight="1" x14ac:dyDescent="0.2">
      <c r="A103">
        <v>5</v>
      </c>
      <c r="B103" t="s">
        <v>107</v>
      </c>
      <c r="C103" t="s">
        <v>107</v>
      </c>
      <c r="D103" t="s">
        <v>653</v>
      </c>
      <c r="F103" t="s">
        <v>935</v>
      </c>
      <c r="G103" t="s">
        <v>936</v>
      </c>
      <c r="H103" t="s">
        <v>656</v>
      </c>
      <c r="I103" t="s">
        <v>657</v>
      </c>
      <c r="J103" t="s">
        <v>663</v>
      </c>
      <c r="N103" t="s">
        <v>659</v>
      </c>
      <c r="O103" t="s">
        <v>937</v>
      </c>
    </row>
    <row r="104" spans="1:15" ht="15" customHeight="1" x14ac:dyDescent="0.2">
      <c r="A104">
        <v>6</v>
      </c>
      <c r="B104" t="s">
        <v>109</v>
      </c>
      <c r="C104" t="s">
        <v>109</v>
      </c>
      <c r="D104" t="s">
        <v>653</v>
      </c>
      <c r="F104" t="s">
        <v>938</v>
      </c>
      <c r="G104" t="s">
        <v>939</v>
      </c>
      <c r="H104" t="s">
        <v>656</v>
      </c>
      <c r="I104" t="s">
        <v>657</v>
      </c>
      <c r="J104" t="s">
        <v>663</v>
      </c>
      <c r="N104" t="s">
        <v>659</v>
      </c>
      <c r="O104">
        <v>18</v>
      </c>
    </row>
    <row r="105" spans="1:15" ht="15" customHeight="1" x14ac:dyDescent="0.2">
      <c r="A105">
        <v>6</v>
      </c>
      <c r="B105" t="s">
        <v>109</v>
      </c>
      <c r="C105" t="s">
        <v>109</v>
      </c>
      <c r="D105" t="s">
        <v>653</v>
      </c>
      <c r="F105" t="s">
        <v>940</v>
      </c>
      <c r="G105" t="s">
        <v>941</v>
      </c>
      <c r="H105" t="s">
        <v>673</v>
      </c>
      <c r="I105" t="s">
        <v>657</v>
      </c>
      <c r="J105" t="s">
        <v>663</v>
      </c>
      <c r="N105" t="s">
        <v>659</v>
      </c>
      <c r="O105" t="s">
        <v>942</v>
      </c>
    </row>
    <row r="106" spans="1:15" ht="15" customHeight="1" x14ac:dyDescent="0.2">
      <c r="A106">
        <v>6</v>
      </c>
      <c r="B106" t="s">
        <v>109</v>
      </c>
      <c r="C106" t="s">
        <v>109</v>
      </c>
      <c r="D106" t="s">
        <v>653</v>
      </c>
      <c r="F106" t="s">
        <v>943</v>
      </c>
      <c r="G106" t="s">
        <v>944</v>
      </c>
      <c r="H106" t="s">
        <v>673</v>
      </c>
      <c r="I106" t="s">
        <v>657</v>
      </c>
      <c r="J106" t="s">
        <v>658</v>
      </c>
      <c r="N106" t="s">
        <v>659</v>
      </c>
      <c r="O106">
        <v>19</v>
      </c>
    </row>
    <row r="107" spans="1:15" ht="15" customHeight="1" x14ac:dyDescent="0.2">
      <c r="A107">
        <v>7</v>
      </c>
      <c r="B107" t="s">
        <v>111</v>
      </c>
      <c r="C107" t="s">
        <v>111</v>
      </c>
      <c r="D107" t="s">
        <v>653</v>
      </c>
      <c r="F107" t="s">
        <v>945</v>
      </c>
      <c r="G107" t="s">
        <v>946</v>
      </c>
      <c r="H107" t="s">
        <v>673</v>
      </c>
      <c r="I107" t="s">
        <v>657</v>
      </c>
      <c r="J107" t="s">
        <v>658</v>
      </c>
      <c r="N107" t="s">
        <v>659</v>
      </c>
      <c r="O107" t="s">
        <v>947</v>
      </c>
    </row>
    <row r="108" spans="1:15" ht="15" customHeight="1" x14ac:dyDescent="0.2">
      <c r="A108">
        <v>7</v>
      </c>
      <c r="B108" t="s">
        <v>111</v>
      </c>
      <c r="C108" t="s">
        <v>111</v>
      </c>
      <c r="D108" t="s">
        <v>653</v>
      </c>
      <c r="F108" t="s">
        <v>948</v>
      </c>
      <c r="G108" t="s">
        <v>949</v>
      </c>
      <c r="H108" t="s">
        <v>673</v>
      </c>
      <c r="I108" t="s">
        <v>657</v>
      </c>
      <c r="J108" t="s">
        <v>658</v>
      </c>
      <c r="N108" t="s">
        <v>659</v>
      </c>
      <c r="O108" t="s">
        <v>950</v>
      </c>
    </row>
    <row r="109" spans="1:15" ht="15" customHeight="1" x14ac:dyDescent="0.2">
      <c r="A109">
        <v>7</v>
      </c>
      <c r="B109" t="s">
        <v>111</v>
      </c>
      <c r="C109" t="s">
        <v>111</v>
      </c>
      <c r="D109" t="s">
        <v>653</v>
      </c>
      <c r="F109" t="s">
        <v>951</v>
      </c>
      <c r="G109" t="s">
        <v>952</v>
      </c>
      <c r="H109" t="s">
        <v>673</v>
      </c>
      <c r="I109" t="s">
        <v>657</v>
      </c>
      <c r="J109" t="s">
        <v>658</v>
      </c>
      <c r="N109" t="s">
        <v>659</v>
      </c>
      <c r="O109" t="s">
        <v>953</v>
      </c>
    </row>
    <row r="110" spans="1:15" ht="15" customHeight="1" x14ac:dyDescent="0.2">
      <c r="A110">
        <v>7</v>
      </c>
      <c r="B110" t="s">
        <v>111</v>
      </c>
      <c r="C110" t="s">
        <v>111</v>
      </c>
      <c r="D110" t="s">
        <v>653</v>
      </c>
      <c r="F110" t="s">
        <v>954</v>
      </c>
      <c r="G110" t="s">
        <v>955</v>
      </c>
      <c r="H110" t="s">
        <v>656</v>
      </c>
      <c r="I110" t="s">
        <v>657</v>
      </c>
      <c r="J110" t="s">
        <v>663</v>
      </c>
      <c r="N110" t="s">
        <v>659</v>
      </c>
      <c r="O110">
        <v>24</v>
      </c>
    </row>
    <row r="111" spans="1:15" ht="15" customHeight="1" x14ac:dyDescent="0.2">
      <c r="A111">
        <v>7</v>
      </c>
      <c r="B111" t="s">
        <v>111</v>
      </c>
      <c r="C111" t="s">
        <v>111</v>
      </c>
      <c r="D111" t="s">
        <v>653</v>
      </c>
      <c r="F111" t="s">
        <v>956</v>
      </c>
      <c r="G111" t="s">
        <v>957</v>
      </c>
      <c r="H111" t="s">
        <v>677</v>
      </c>
      <c r="I111" t="s">
        <v>678</v>
      </c>
      <c r="J111" t="s">
        <v>663</v>
      </c>
      <c r="N111" t="s">
        <v>659</v>
      </c>
      <c r="O111" t="s">
        <v>958</v>
      </c>
    </row>
    <row r="112" spans="1:15" ht="15" customHeight="1" x14ac:dyDescent="0.2">
      <c r="A112">
        <v>7</v>
      </c>
      <c r="B112" t="s">
        <v>111</v>
      </c>
      <c r="C112" t="s">
        <v>111</v>
      </c>
      <c r="D112" t="s">
        <v>653</v>
      </c>
      <c r="F112" t="s">
        <v>959</v>
      </c>
      <c r="G112" t="s">
        <v>960</v>
      </c>
      <c r="H112" t="s">
        <v>677</v>
      </c>
      <c r="I112" t="s">
        <v>678</v>
      </c>
      <c r="J112" t="s">
        <v>663</v>
      </c>
      <c r="N112" t="s">
        <v>659</v>
      </c>
      <c r="O112" t="s">
        <v>961</v>
      </c>
    </row>
    <row r="113" spans="1:15" ht="15" customHeight="1" x14ac:dyDescent="0.2">
      <c r="A113">
        <v>7</v>
      </c>
      <c r="B113" t="s">
        <v>111</v>
      </c>
      <c r="C113" t="s">
        <v>111</v>
      </c>
      <c r="D113" t="s">
        <v>653</v>
      </c>
      <c r="F113" t="s">
        <v>962</v>
      </c>
      <c r="G113" t="s">
        <v>963</v>
      </c>
      <c r="H113" t="s">
        <v>673</v>
      </c>
      <c r="I113" t="s">
        <v>657</v>
      </c>
      <c r="J113" t="s">
        <v>663</v>
      </c>
      <c r="N113" t="s">
        <v>659</v>
      </c>
      <c r="O113" t="s">
        <v>964</v>
      </c>
    </row>
    <row r="114" spans="1:15" ht="15" customHeight="1" x14ac:dyDescent="0.2">
      <c r="A114">
        <v>7</v>
      </c>
      <c r="B114" t="s">
        <v>111</v>
      </c>
      <c r="C114" t="s">
        <v>111</v>
      </c>
      <c r="D114" t="s">
        <v>653</v>
      </c>
      <c r="F114" t="s">
        <v>965</v>
      </c>
      <c r="G114" t="s">
        <v>966</v>
      </c>
      <c r="H114" t="s">
        <v>656</v>
      </c>
      <c r="I114" t="s">
        <v>657</v>
      </c>
      <c r="J114" t="s">
        <v>658</v>
      </c>
      <c r="N114" t="s">
        <v>659</v>
      </c>
      <c r="O114">
        <v>25</v>
      </c>
    </row>
    <row r="115" spans="1:15" ht="15" customHeight="1" x14ac:dyDescent="0.2">
      <c r="A115">
        <v>7</v>
      </c>
      <c r="B115" t="s">
        <v>111</v>
      </c>
      <c r="C115" t="s">
        <v>111</v>
      </c>
      <c r="D115" t="s">
        <v>653</v>
      </c>
      <c r="F115" t="s">
        <v>967</v>
      </c>
      <c r="G115" t="s">
        <v>968</v>
      </c>
      <c r="H115" t="s">
        <v>656</v>
      </c>
      <c r="I115" t="s">
        <v>657</v>
      </c>
      <c r="J115" t="s">
        <v>663</v>
      </c>
      <c r="N115" t="s">
        <v>659</v>
      </c>
      <c r="O115" t="s">
        <v>969</v>
      </c>
    </row>
    <row r="116" spans="1:15" ht="15" customHeight="1" x14ac:dyDescent="0.2">
      <c r="A116">
        <v>7</v>
      </c>
      <c r="B116" t="s">
        <v>111</v>
      </c>
      <c r="C116" t="s">
        <v>111</v>
      </c>
      <c r="D116" t="s">
        <v>653</v>
      </c>
      <c r="F116" t="s">
        <v>970</v>
      </c>
      <c r="G116" t="s">
        <v>971</v>
      </c>
      <c r="H116" t="s">
        <v>656</v>
      </c>
      <c r="I116" t="s">
        <v>657</v>
      </c>
      <c r="J116" t="s">
        <v>663</v>
      </c>
      <c r="N116" t="s">
        <v>659</v>
      </c>
      <c r="O116" t="s">
        <v>972</v>
      </c>
    </row>
    <row r="117" spans="1:15" ht="15" customHeight="1" x14ac:dyDescent="0.2">
      <c r="A117">
        <v>8</v>
      </c>
      <c r="B117" t="s">
        <v>113</v>
      </c>
      <c r="C117" t="s">
        <v>113</v>
      </c>
      <c r="D117" t="s">
        <v>653</v>
      </c>
      <c r="F117" t="s">
        <v>973</v>
      </c>
      <c r="G117" t="s">
        <v>974</v>
      </c>
      <c r="H117" t="s">
        <v>975</v>
      </c>
      <c r="I117" t="s">
        <v>678</v>
      </c>
      <c r="J117" t="s">
        <v>658</v>
      </c>
      <c r="N117" t="s">
        <v>659</v>
      </c>
      <c r="O117" t="s">
        <v>976</v>
      </c>
    </row>
    <row r="118" spans="1:15" ht="15" customHeight="1" x14ac:dyDescent="0.2">
      <c r="A118">
        <v>8</v>
      </c>
      <c r="B118" t="s">
        <v>113</v>
      </c>
      <c r="C118" t="s">
        <v>113</v>
      </c>
      <c r="D118" t="s">
        <v>653</v>
      </c>
      <c r="F118" t="s">
        <v>977</v>
      </c>
      <c r="G118" t="s">
        <v>978</v>
      </c>
      <c r="H118" t="s">
        <v>975</v>
      </c>
      <c r="I118" t="s">
        <v>678</v>
      </c>
      <c r="J118" t="s">
        <v>658</v>
      </c>
      <c r="N118" t="s">
        <v>659</v>
      </c>
      <c r="O118" t="s">
        <v>979</v>
      </c>
    </row>
    <row r="119" spans="1:15" ht="15" customHeight="1" x14ac:dyDescent="0.2">
      <c r="A119">
        <v>8</v>
      </c>
      <c r="B119" t="s">
        <v>113</v>
      </c>
      <c r="C119" t="s">
        <v>113</v>
      </c>
      <c r="D119" t="s">
        <v>653</v>
      </c>
      <c r="F119" t="s">
        <v>980</v>
      </c>
      <c r="G119" t="s">
        <v>981</v>
      </c>
      <c r="H119" t="s">
        <v>975</v>
      </c>
      <c r="I119" t="s">
        <v>678</v>
      </c>
      <c r="J119" t="s">
        <v>658</v>
      </c>
      <c r="N119" t="s">
        <v>659</v>
      </c>
      <c r="O119" t="s">
        <v>982</v>
      </c>
    </row>
    <row r="120" spans="1:15" ht="15" customHeight="1" x14ac:dyDescent="0.2">
      <c r="A120">
        <v>8</v>
      </c>
      <c r="B120" t="s">
        <v>113</v>
      </c>
      <c r="C120" t="s">
        <v>113</v>
      </c>
      <c r="D120" t="s">
        <v>653</v>
      </c>
      <c r="F120" t="s">
        <v>983</v>
      </c>
      <c r="G120" t="s">
        <v>984</v>
      </c>
      <c r="H120" t="s">
        <v>975</v>
      </c>
      <c r="I120" t="s">
        <v>678</v>
      </c>
      <c r="J120" t="s">
        <v>658</v>
      </c>
      <c r="N120" t="s">
        <v>659</v>
      </c>
      <c r="O120" t="s">
        <v>985</v>
      </c>
    </row>
    <row r="121" spans="1:15" ht="15" customHeight="1" x14ac:dyDescent="0.2">
      <c r="A121">
        <v>8</v>
      </c>
      <c r="B121" t="s">
        <v>113</v>
      </c>
      <c r="C121" t="s">
        <v>113</v>
      </c>
      <c r="D121" t="s">
        <v>653</v>
      </c>
      <c r="F121" t="s">
        <v>986</v>
      </c>
      <c r="G121" t="s">
        <v>987</v>
      </c>
      <c r="H121" t="s">
        <v>975</v>
      </c>
      <c r="I121" t="s">
        <v>678</v>
      </c>
      <c r="J121" t="s">
        <v>658</v>
      </c>
      <c r="N121" t="s">
        <v>659</v>
      </c>
      <c r="O121" t="s">
        <v>985</v>
      </c>
    </row>
    <row r="122" spans="1:15" ht="15" customHeight="1" x14ac:dyDescent="0.2">
      <c r="A122">
        <v>8</v>
      </c>
      <c r="B122" t="s">
        <v>113</v>
      </c>
      <c r="C122" t="s">
        <v>113</v>
      </c>
      <c r="D122" t="s">
        <v>653</v>
      </c>
      <c r="F122" t="s">
        <v>988</v>
      </c>
      <c r="G122" t="s">
        <v>989</v>
      </c>
      <c r="H122" t="s">
        <v>673</v>
      </c>
      <c r="I122" t="s">
        <v>657</v>
      </c>
      <c r="J122" t="s">
        <v>658</v>
      </c>
      <c r="N122" t="s">
        <v>659</v>
      </c>
      <c r="O122" t="s">
        <v>990</v>
      </c>
    </row>
    <row r="123" spans="1:15" ht="15" customHeight="1" x14ac:dyDescent="0.2">
      <c r="A123">
        <v>8</v>
      </c>
      <c r="B123" t="s">
        <v>113</v>
      </c>
      <c r="C123" t="s">
        <v>113</v>
      </c>
      <c r="D123" t="s">
        <v>653</v>
      </c>
      <c r="F123" t="s">
        <v>991</v>
      </c>
      <c r="G123" t="s">
        <v>992</v>
      </c>
      <c r="H123" t="s">
        <v>879</v>
      </c>
      <c r="I123" t="s">
        <v>678</v>
      </c>
      <c r="J123" t="s">
        <v>658</v>
      </c>
      <c r="N123" t="s">
        <v>659</v>
      </c>
      <c r="O123" t="s">
        <v>990</v>
      </c>
    </row>
    <row r="124" spans="1:15" ht="15" customHeight="1" x14ac:dyDescent="0.2">
      <c r="A124">
        <v>8</v>
      </c>
      <c r="B124" t="s">
        <v>113</v>
      </c>
      <c r="C124" t="s">
        <v>113</v>
      </c>
      <c r="D124" t="s">
        <v>653</v>
      </c>
      <c r="F124" t="s">
        <v>993</v>
      </c>
      <c r="G124" t="s">
        <v>994</v>
      </c>
      <c r="H124" t="s">
        <v>800</v>
      </c>
      <c r="I124" t="s">
        <v>657</v>
      </c>
      <c r="J124" t="s">
        <v>658</v>
      </c>
      <c r="N124" t="s">
        <v>659</v>
      </c>
      <c r="O124">
        <v>29</v>
      </c>
    </row>
    <row r="125" spans="1:15" ht="15" customHeight="1" x14ac:dyDescent="0.2">
      <c r="A125">
        <v>8</v>
      </c>
      <c r="B125" t="s">
        <v>113</v>
      </c>
      <c r="C125" t="s">
        <v>113</v>
      </c>
      <c r="D125" t="s">
        <v>653</v>
      </c>
      <c r="F125" t="s">
        <v>995</v>
      </c>
      <c r="G125" t="s">
        <v>996</v>
      </c>
      <c r="H125" t="s">
        <v>997</v>
      </c>
      <c r="I125" t="s">
        <v>678</v>
      </c>
      <c r="J125" t="s">
        <v>663</v>
      </c>
      <c r="N125" t="s">
        <v>659</v>
      </c>
      <c r="O125" t="s">
        <v>998</v>
      </c>
    </row>
    <row r="126" spans="1:15" ht="15" customHeight="1" x14ac:dyDescent="0.2">
      <c r="A126">
        <v>8</v>
      </c>
      <c r="B126" t="s">
        <v>113</v>
      </c>
      <c r="C126" t="s">
        <v>113</v>
      </c>
      <c r="D126" t="s">
        <v>653</v>
      </c>
      <c r="F126" t="s">
        <v>999</v>
      </c>
      <c r="G126" t="s">
        <v>1000</v>
      </c>
      <c r="H126" t="s">
        <v>879</v>
      </c>
      <c r="I126" t="s">
        <v>678</v>
      </c>
      <c r="J126" t="s">
        <v>663</v>
      </c>
      <c r="N126" t="s">
        <v>659</v>
      </c>
      <c r="O126" t="s">
        <v>1001</v>
      </c>
    </row>
    <row r="127" spans="1:15" ht="15" customHeight="1" x14ac:dyDescent="0.2">
      <c r="A127">
        <v>8</v>
      </c>
      <c r="B127" t="s">
        <v>113</v>
      </c>
      <c r="C127" t="s">
        <v>113</v>
      </c>
      <c r="D127" t="s">
        <v>653</v>
      </c>
      <c r="F127" t="s">
        <v>1002</v>
      </c>
      <c r="G127" t="s">
        <v>1003</v>
      </c>
      <c r="H127" t="s">
        <v>975</v>
      </c>
      <c r="I127" t="s">
        <v>678</v>
      </c>
      <c r="J127" t="s">
        <v>663</v>
      </c>
      <c r="N127" t="s">
        <v>659</v>
      </c>
      <c r="O127" t="s">
        <v>1004</v>
      </c>
    </row>
    <row r="128" spans="1:15" ht="15" customHeight="1" x14ac:dyDescent="0.2">
      <c r="A128">
        <v>8</v>
      </c>
      <c r="B128" t="s">
        <v>113</v>
      </c>
      <c r="C128" t="s">
        <v>113</v>
      </c>
      <c r="D128" t="s">
        <v>653</v>
      </c>
      <c r="F128" t="s">
        <v>1005</v>
      </c>
      <c r="G128" t="s">
        <v>1006</v>
      </c>
      <c r="H128" t="s">
        <v>975</v>
      </c>
      <c r="I128" t="s">
        <v>678</v>
      </c>
      <c r="J128" t="s">
        <v>663</v>
      </c>
      <c r="N128" t="s">
        <v>659</v>
      </c>
      <c r="O128" t="s">
        <v>1004</v>
      </c>
    </row>
    <row r="129" spans="1:15" ht="15" customHeight="1" x14ac:dyDescent="0.2">
      <c r="A129">
        <v>9</v>
      </c>
      <c r="B129" t="s">
        <v>115</v>
      </c>
      <c r="C129" t="s">
        <v>115</v>
      </c>
      <c r="D129" t="s">
        <v>653</v>
      </c>
      <c r="F129" t="s">
        <v>1007</v>
      </c>
      <c r="G129" t="s">
        <v>1008</v>
      </c>
      <c r="H129" t="s">
        <v>673</v>
      </c>
      <c r="I129" t="s">
        <v>657</v>
      </c>
      <c r="J129" t="s">
        <v>663</v>
      </c>
      <c r="N129" t="s">
        <v>659</v>
      </c>
      <c r="O129" t="s">
        <v>1009</v>
      </c>
    </row>
    <row r="130" spans="1:15" ht="15" customHeight="1" x14ac:dyDescent="0.2">
      <c r="A130">
        <v>9</v>
      </c>
      <c r="B130" t="s">
        <v>115</v>
      </c>
      <c r="C130" t="s">
        <v>115</v>
      </c>
      <c r="D130" t="s">
        <v>653</v>
      </c>
      <c r="F130" t="s">
        <v>1010</v>
      </c>
      <c r="G130" t="s">
        <v>1011</v>
      </c>
      <c r="H130" t="s">
        <v>673</v>
      </c>
      <c r="I130" t="s">
        <v>657</v>
      </c>
      <c r="J130" t="s">
        <v>663</v>
      </c>
      <c r="N130" t="s">
        <v>659</v>
      </c>
      <c r="O130" t="s">
        <v>1012</v>
      </c>
    </row>
    <row r="131" spans="1:15" ht="15" customHeight="1" x14ac:dyDescent="0.2">
      <c r="A131">
        <v>9</v>
      </c>
      <c r="B131" t="s">
        <v>115</v>
      </c>
      <c r="C131" t="s">
        <v>115</v>
      </c>
      <c r="D131" t="s">
        <v>653</v>
      </c>
      <c r="F131" t="s">
        <v>1013</v>
      </c>
      <c r="G131" t="s">
        <v>1014</v>
      </c>
      <c r="H131" t="s">
        <v>673</v>
      </c>
      <c r="I131" t="s">
        <v>657</v>
      </c>
      <c r="J131" t="s">
        <v>663</v>
      </c>
      <c r="N131" t="s">
        <v>659</v>
      </c>
      <c r="O131" t="s">
        <v>1015</v>
      </c>
    </row>
    <row r="132" spans="1:15" ht="15" customHeight="1" x14ac:dyDescent="0.2">
      <c r="A132">
        <v>9</v>
      </c>
      <c r="B132" t="s">
        <v>115</v>
      </c>
      <c r="C132" t="s">
        <v>115</v>
      </c>
      <c r="D132" t="s">
        <v>653</v>
      </c>
      <c r="F132" t="s">
        <v>1016</v>
      </c>
      <c r="G132" t="s">
        <v>1017</v>
      </c>
      <c r="H132" t="s">
        <v>673</v>
      </c>
      <c r="I132" t="s">
        <v>657</v>
      </c>
      <c r="J132" t="s">
        <v>663</v>
      </c>
      <c r="N132" t="s">
        <v>659</v>
      </c>
      <c r="O132" t="s">
        <v>1018</v>
      </c>
    </row>
    <row r="133" spans="1:15" ht="15" customHeight="1" x14ac:dyDescent="0.2">
      <c r="A133">
        <v>9</v>
      </c>
      <c r="B133" t="s">
        <v>115</v>
      </c>
      <c r="C133" t="s">
        <v>115</v>
      </c>
      <c r="D133" t="s">
        <v>653</v>
      </c>
      <c r="F133" t="s">
        <v>1019</v>
      </c>
      <c r="G133" t="s">
        <v>1020</v>
      </c>
      <c r="H133" t="s">
        <v>673</v>
      </c>
      <c r="I133" t="s">
        <v>657</v>
      </c>
      <c r="J133" t="s">
        <v>663</v>
      </c>
      <c r="N133" t="s">
        <v>659</v>
      </c>
      <c r="O133" t="s">
        <v>1021</v>
      </c>
    </row>
    <row r="134" spans="1:15" ht="15" customHeight="1" x14ac:dyDescent="0.2">
      <c r="A134">
        <v>9</v>
      </c>
      <c r="B134" t="s">
        <v>115</v>
      </c>
      <c r="C134" t="s">
        <v>115</v>
      </c>
      <c r="D134" t="s">
        <v>653</v>
      </c>
      <c r="F134" t="s">
        <v>1022</v>
      </c>
      <c r="G134" t="s">
        <v>1023</v>
      </c>
      <c r="H134" t="s">
        <v>673</v>
      </c>
      <c r="I134" t="s">
        <v>657</v>
      </c>
      <c r="J134" t="s">
        <v>663</v>
      </c>
      <c r="N134" t="s">
        <v>659</v>
      </c>
      <c r="O134" t="s">
        <v>1024</v>
      </c>
    </row>
    <row r="135" spans="1:15" ht="15" customHeight="1" x14ac:dyDescent="0.2">
      <c r="A135">
        <v>9</v>
      </c>
      <c r="B135" t="s">
        <v>115</v>
      </c>
      <c r="C135" t="s">
        <v>115</v>
      </c>
      <c r="D135" t="s">
        <v>653</v>
      </c>
      <c r="F135" t="s">
        <v>1025</v>
      </c>
      <c r="G135" t="s">
        <v>1026</v>
      </c>
      <c r="H135" t="s">
        <v>673</v>
      </c>
      <c r="I135" t="s">
        <v>657</v>
      </c>
      <c r="J135" t="s">
        <v>663</v>
      </c>
      <c r="N135" t="s">
        <v>659</v>
      </c>
      <c r="O135" t="s">
        <v>1027</v>
      </c>
    </row>
    <row r="136" spans="1:15" ht="15" customHeight="1" x14ac:dyDescent="0.2">
      <c r="A136">
        <v>9</v>
      </c>
      <c r="B136" t="s">
        <v>115</v>
      </c>
      <c r="C136" t="s">
        <v>115</v>
      </c>
      <c r="D136" t="s">
        <v>653</v>
      </c>
      <c r="F136" t="s">
        <v>1028</v>
      </c>
      <c r="G136" t="s">
        <v>1029</v>
      </c>
      <c r="H136" t="s">
        <v>673</v>
      </c>
      <c r="I136" t="s">
        <v>657</v>
      </c>
      <c r="J136" t="s">
        <v>663</v>
      </c>
      <c r="N136" t="s">
        <v>659</v>
      </c>
      <c r="O136" t="s">
        <v>1030</v>
      </c>
    </row>
    <row r="137" spans="1:15" ht="15" customHeight="1" x14ac:dyDescent="0.2">
      <c r="A137">
        <v>9</v>
      </c>
      <c r="B137" t="s">
        <v>115</v>
      </c>
      <c r="C137" t="s">
        <v>115</v>
      </c>
      <c r="D137" t="s">
        <v>653</v>
      </c>
      <c r="F137" t="s">
        <v>1031</v>
      </c>
      <c r="G137" t="s">
        <v>1032</v>
      </c>
      <c r="H137" t="s">
        <v>673</v>
      </c>
      <c r="I137" t="s">
        <v>657</v>
      </c>
      <c r="J137" t="s">
        <v>663</v>
      </c>
      <c r="N137" t="s">
        <v>659</v>
      </c>
      <c r="O137" t="s">
        <v>1033</v>
      </c>
    </row>
    <row r="138" spans="1:15" ht="15" customHeight="1" x14ac:dyDescent="0.2">
      <c r="A138">
        <v>9</v>
      </c>
      <c r="B138" t="s">
        <v>115</v>
      </c>
      <c r="C138" t="s">
        <v>115</v>
      </c>
      <c r="D138" t="s">
        <v>653</v>
      </c>
      <c r="F138" t="s">
        <v>1034</v>
      </c>
      <c r="G138" t="s">
        <v>1035</v>
      </c>
      <c r="H138" t="s">
        <v>673</v>
      </c>
      <c r="I138" t="s">
        <v>657</v>
      </c>
      <c r="J138" t="s">
        <v>663</v>
      </c>
      <c r="N138" t="s">
        <v>659</v>
      </c>
      <c r="O138" t="s">
        <v>1036</v>
      </c>
    </row>
    <row r="139" spans="1:15" ht="15" customHeight="1" x14ac:dyDescent="0.2">
      <c r="A139">
        <v>10</v>
      </c>
      <c r="B139" t="s">
        <v>117</v>
      </c>
      <c r="C139" t="s">
        <v>117</v>
      </c>
      <c r="D139" t="s">
        <v>653</v>
      </c>
      <c r="F139" t="s">
        <v>1037</v>
      </c>
      <c r="G139" t="s">
        <v>1038</v>
      </c>
      <c r="H139" t="s">
        <v>673</v>
      </c>
      <c r="I139" t="s">
        <v>657</v>
      </c>
      <c r="J139" t="s">
        <v>658</v>
      </c>
      <c r="N139" t="s">
        <v>659</v>
      </c>
      <c r="O139">
        <v>30</v>
      </c>
    </row>
    <row r="140" spans="1:15" ht="15" customHeight="1" x14ac:dyDescent="0.2">
      <c r="A140">
        <v>10</v>
      </c>
      <c r="B140" t="s">
        <v>117</v>
      </c>
      <c r="C140" t="s">
        <v>117</v>
      </c>
      <c r="D140" t="s">
        <v>653</v>
      </c>
      <c r="F140" t="s">
        <v>1039</v>
      </c>
      <c r="G140" t="s">
        <v>1040</v>
      </c>
      <c r="H140" t="s">
        <v>1041</v>
      </c>
      <c r="I140" t="s">
        <v>657</v>
      </c>
      <c r="J140" t="s">
        <v>658</v>
      </c>
      <c r="N140" t="s">
        <v>659</v>
      </c>
      <c r="O140" t="s">
        <v>1042</v>
      </c>
    </row>
    <row r="141" spans="1:15" ht="15" customHeight="1" x14ac:dyDescent="0.2">
      <c r="A141">
        <v>10</v>
      </c>
      <c r="B141" t="s">
        <v>117</v>
      </c>
      <c r="C141" t="s">
        <v>117</v>
      </c>
      <c r="D141" t="s">
        <v>653</v>
      </c>
      <c r="F141" t="s">
        <v>1043</v>
      </c>
      <c r="G141" t="s">
        <v>1044</v>
      </c>
      <c r="H141" t="s">
        <v>879</v>
      </c>
      <c r="I141" t="s">
        <v>678</v>
      </c>
      <c r="J141" t="s">
        <v>658</v>
      </c>
      <c r="N141" t="s">
        <v>659</v>
      </c>
      <c r="O141" t="s">
        <v>1045</v>
      </c>
    </row>
    <row r="142" spans="1:15" ht="15" customHeight="1" x14ac:dyDescent="0.2">
      <c r="A142">
        <v>10</v>
      </c>
      <c r="B142" t="s">
        <v>117</v>
      </c>
      <c r="C142" t="s">
        <v>117</v>
      </c>
      <c r="D142" t="s">
        <v>653</v>
      </c>
      <c r="F142" t="s">
        <v>1046</v>
      </c>
      <c r="G142" t="s">
        <v>1047</v>
      </c>
      <c r="H142" t="s">
        <v>1041</v>
      </c>
      <c r="I142" t="s">
        <v>657</v>
      </c>
      <c r="J142" t="s">
        <v>658</v>
      </c>
      <c r="N142" t="s">
        <v>659</v>
      </c>
      <c r="O142" t="s">
        <v>1048</v>
      </c>
    </row>
    <row r="143" spans="1:15" ht="15" customHeight="1" x14ac:dyDescent="0.2">
      <c r="A143">
        <v>10</v>
      </c>
      <c r="B143" t="s">
        <v>117</v>
      </c>
      <c r="C143" t="s">
        <v>117</v>
      </c>
      <c r="D143" t="s">
        <v>653</v>
      </c>
      <c r="F143" t="s">
        <v>1049</v>
      </c>
      <c r="G143" t="s">
        <v>1050</v>
      </c>
      <c r="H143" t="s">
        <v>879</v>
      </c>
      <c r="I143" t="s">
        <v>678</v>
      </c>
      <c r="J143" t="s">
        <v>658</v>
      </c>
      <c r="N143" t="s">
        <v>659</v>
      </c>
      <c r="O143" t="s">
        <v>1048</v>
      </c>
    </row>
    <row r="144" spans="1:15" ht="15" customHeight="1" x14ac:dyDescent="0.2">
      <c r="A144">
        <v>10</v>
      </c>
      <c r="B144" t="s">
        <v>117</v>
      </c>
      <c r="C144" t="s">
        <v>117</v>
      </c>
      <c r="D144" t="s">
        <v>653</v>
      </c>
      <c r="F144" t="s">
        <v>1051</v>
      </c>
      <c r="G144" t="s">
        <v>1052</v>
      </c>
      <c r="H144" t="s">
        <v>673</v>
      </c>
      <c r="I144" t="s">
        <v>657</v>
      </c>
      <c r="J144" t="s">
        <v>658</v>
      </c>
      <c r="N144" t="s">
        <v>659</v>
      </c>
      <c r="O144">
        <v>32</v>
      </c>
    </row>
    <row r="145" spans="1:15" ht="15" customHeight="1" x14ac:dyDescent="0.2">
      <c r="A145">
        <v>10</v>
      </c>
      <c r="B145" t="s">
        <v>117</v>
      </c>
      <c r="C145" t="s">
        <v>117</v>
      </c>
      <c r="D145" t="s">
        <v>653</v>
      </c>
      <c r="F145" t="s">
        <v>1053</v>
      </c>
      <c r="G145" t="s">
        <v>1054</v>
      </c>
      <c r="H145" t="s">
        <v>673</v>
      </c>
      <c r="I145" t="s">
        <v>657</v>
      </c>
      <c r="J145" t="s">
        <v>663</v>
      </c>
      <c r="N145" t="s">
        <v>659</v>
      </c>
      <c r="O145" t="s">
        <v>1055</v>
      </c>
    </row>
    <row r="146" spans="1:15" ht="15" customHeight="1" x14ac:dyDescent="0.2">
      <c r="A146">
        <v>10</v>
      </c>
      <c r="B146" t="s">
        <v>117</v>
      </c>
      <c r="C146" t="s">
        <v>117</v>
      </c>
      <c r="D146" t="s">
        <v>653</v>
      </c>
      <c r="F146" t="s">
        <v>1056</v>
      </c>
      <c r="G146" t="s">
        <v>1057</v>
      </c>
      <c r="H146" t="s">
        <v>673</v>
      </c>
      <c r="I146" t="s">
        <v>657</v>
      </c>
      <c r="J146" t="s">
        <v>658</v>
      </c>
      <c r="K146" t="s">
        <v>685</v>
      </c>
      <c r="N146" t="s">
        <v>659</v>
      </c>
      <c r="O146" t="s">
        <v>1058</v>
      </c>
    </row>
    <row r="147" spans="1:15" ht="15" customHeight="1" x14ac:dyDescent="0.2">
      <c r="A147">
        <v>11</v>
      </c>
      <c r="B147" t="s">
        <v>119</v>
      </c>
      <c r="C147" t="s">
        <v>119</v>
      </c>
      <c r="D147" t="s">
        <v>653</v>
      </c>
      <c r="F147" t="s">
        <v>1059</v>
      </c>
      <c r="G147" t="s">
        <v>1060</v>
      </c>
      <c r="H147" t="s">
        <v>673</v>
      </c>
      <c r="I147" t="s">
        <v>657</v>
      </c>
      <c r="J147" t="s">
        <v>658</v>
      </c>
      <c r="N147" t="s">
        <v>659</v>
      </c>
      <c r="O147">
        <v>35</v>
      </c>
    </row>
    <row r="148" spans="1:15" ht="15" customHeight="1" x14ac:dyDescent="0.2">
      <c r="A148">
        <v>11</v>
      </c>
      <c r="B148" t="s">
        <v>119</v>
      </c>
      <c r="C148" t="s">
        <v>119</v>
      </c>
      <c r="D148" t="s">
        <v>653</v>
      </c>
      <c r="F148" t="s">
        <v>1061</v>
      </c>
      <c r="G148" t="s">
        <v>1062</v>
      </c>
      <c r="H148" t="s">
        <v>834</v>
      </c>
      <c r="I148" t="s">
        <v>678</v>
      </c>
      <c r="J148" t="s">
        <v>658</v>
      </c>
      <c r="N148" t="s">
        <v>659</v>
      </c>
      <c r="O148" t="s">
        <v>1063</v>
      </c>
    </row>
    <row r="149" spans="1:15" ht="15" customHeight="1" x14ac:dyDescent="0.2">
      <c r="A149">
        <v>11</v>
      </c>
      <c r="B149" t="s">
        <v>119</v>
      </c>
      <c r="C149" t="s">
        <v>119</v>
      </c>
      <c r="D149" t="s">
        <v>653</v>
      </c>
      <c r="F149" t="s">
        <v>1064</v>
      </c>
      <c r="G149" t="s">
        <v>1065</v>
      </c>
      <c r="H149" t="s">
        <v>673</v>
      </c>
      <c r="I149" t="s">
        <v>657</v>
      </c>
      <c r="J149" t="s">
        <v>658</v>
      </c>
      <c r="N149" t="s">
        <v>659</v>
      </c>
      <c r="O149" t="s">
        <v>1066</v>
      </c>
    </row>
    <row r="150" spans="1:15" ht="15" customHeight="1" x14ac:dyDescent="0.2">
      <c r="A150">
        <v>11</v>
      </c>
      <c r="B150" t="s">
        <v>119</v>
      </c>
      <c r="C150" t="s">
        <v>119</v>
      </c>
      <c r="D150" t="s">
        <v>653</v>
      </c>
      <c r="F150" t="s">
        <v>1067</v>
      </c>
      <c r="G150" t="s">
        <v>1068</v>
      </c>
      <c r="H150" t="s">
        <v>879</v>
      </c>
      <c r="I150" t="s">
        <v>678</v>
      </c>
      <c r="J150" t="s">
        <v>658</v>
      </c>
      <c r="N150" t="s">
        <v>659</v>
      </c>
      <c r="O150" t="s">
        <v>1069</v>
      </c>
    </row>
    <row r="151" spans="1:15" ht="15" customHeight="1" x14ac:dyDescent="0.2">
      <c r="A151">
        <v>11</v>
      </c>
      <c r="B151" t="s">
        <v>119</v>
      </c>
      <c r="C151" t="s">
        <v>119</v>
      </c>
      <c r="D151" t="s">
        <v>653</v>
      </c>
      <c r="F151" t="s">
        <v>1070</v>
      </c>
      <c r="G151" t="s">
        <v>1071</v>
      </c>
      <c r="H151" t="s">
        <v>879</v>
      </c>
      <c r="I151" t="s">
        <v>678</v>
      </c>
      <c r="J151" t="s">
        <v>658</v>
      </c>
      <c r="N151" t="s">
        <v>659</v>
      </c>
      <c r="O151" t="s">
        <v>1069</v>
      </c>
    </row>
    <row r="152" spans="1:15" ht="15" customHeight="1" x14ac:dyDescent="0.2">
      <c r="A152">
        <v>11</v>
      </c>
      <c r="B152" t="s">
        <v>119</v>
      </c>
      <c r="C152" t="s">
        <v>119</v>
      </c>
      <c r="D152" t="s">
        <v>653</v>
      </c>
      <c r="F152" t="s">
        <v>1072</v>
      </c>
      <c r="G152" t="s">
        <v>1073</v>
      </c>
      <c r="H152" t="s">
        <v>673</v>
      </c>
      <c r="I152" t="s">
        <v>657</v>
      </c>
      <c r="J152" t="s">
        <v>658</v>
      </c>
      <c r="N152" t="s">
        <v>659</v>
      </c>
      <c r="O152">
        <v>40</v>
      </c>
    </row>
    <row r="153" spans="1:15" ht="15" customHeight="1" x14ac:dyDescent="0.2">
      <c r="A153">
        <v>11</v>
      </c>
      <c r="B153" t="s">
        <v>119</v>
      </c>
      <c r="C153" t="s">
        <v>119</v>
      </c>
      <c r="D153" t="s">
        <v>653</v>
      </c>
      <c r="F153" t="s">
        <v>1074</v>
      </c>
      <c r="G153" t="s">
        <v>1075</v>
      </c>
      <c r="H153" t="s">
        <v>1041</v>
      </c>
      <c r="I153" t="s">
        <v>657</v>
      </c>
      <c r="J153" t="s">
        <v>658</v>
      </c>
      <c r="N153" t="s">
        <v>659</v>
      </c>
      <c r="O153" t="s">
        <v>753</v>
      </c>
    </row>
    <row r="154" spans="1:15" ht="15" customHeight="1" x14ac:dyDescent="0.2">
      <c r="A154">
        <v>11</v>
      </c>
      <c r="B154" t="s">
        <v>119</v>
      </c>
      <c r="C154" t="s">
        <v>119</v>
      </c>
      <c r="D154" t="s">
        <v>653</v>
      </c>
      <c r="F154" t="s">
        <v>1076</v>
      </c>
      <c r="G154" t="s">
        <v>1077</v>
      </c>
      <c r="H154" t="s">
        <v>1078</v>
      </c>
      <c r="I154" t="s">
        <v>657</v>
      </c>
      <c r="J154" t="s">
        <v>658</v>
      </c>
      <c r="N154" t="s">
        <v>659</v>
      </c>
      <c r="O154" t="s">
        <v>756</v>
      </c>
    </row>
    <row r="155" spans="1:15" ht="15" customHeight="1" x14ac:dyDescent="0.2">
      <c r="A155">
        <v>11</v>
      </c>
      <c r="B155" t="s">
        <v>119</v>
      </c>
      <c r="C155" t="s">
        <v>119</v>
      </c>
      <c r="D155" t="s">
        <v>653</v>
      </c>
      <c r="F155" t="s">
        <v>1079</v>
      </c>
      <c r="G155" t="s">
        <v>1080</v>
      </c>
      <c r="H155" t="s">
        <v>1078</v>
      </c>
      <c r="I155" t="s">
        <v>657</v>
      </c>
      <c r="J155" t="s">
        <v>658</v>
      </c>
      <c r="N155" t="s">
        <v>659</v>
      </c>
      <c r="O155" t="s">
        <v>763</v>
      </c>
    </row>
    <row r="156" spans="1:15" ht="15" customHeight="1" x14ac:dyDescent="0.2">
      <c r="A156">
        <v>11</v>
      </c>
      <c r="B156" t="s">
        <v>119</v>
      </c>
      <c r="C156" t="s">
        <v>119</v>
      </c>
      <c r="D156" t="s">
        <v>653</v>
      </c>
      <c r="F156" t="s">
        <v>1081</v>
      </c>
      <c r="G156" t="s">
        <v>1082</v>
      </c>
      <c r="H156" t="s">
        <v>1041</v>
      </c>
      <c r="I156" t="s">
        <v>657</v>
      </c>
      <c r="J156" t="s">
        <v>658</v>
      </c>
      <c r="N156" t="s">
        <v>659</v>
      </c>
      <c r="O156" t="s">
        <v>1083</v>
      </c>
    </row>
    <row r="157" spans="1:15" ht="15" customHeight="1" x14ac:dyDescent="0.2">
      <c r="A157">
        <v>11</v>
      </c>
      <c r="B157" t="s">
        <v>119</v>
      </c>
      <c r="C157" t="s">
        <v>119</v>
      </c>
      <c r="D157" t="s">
        <v>653</v>
      </c>
      <c r="F157" t="s">
        <v>1084</v>
      </c>
      <c r="G157" t="s">
        <v>1085</v>
      </c>
      <c r="H157" t="s">
        <v>879</v>
      </c>
      <c r="I157" t="s">
        <v>678</v>
      </c>
      <c r="J157" t="s">
        <v>658</v>
      </c>
      <c r="N157" t="s">
        <v>659</v>
      </c>
      <c r="O157" t="s">
        <v>1083</v>
      </c>
    </row>
    <row r="158" spans="1:15" ht="15" customHeight="1" x14ac:dyDescent="0.2">
      <c r="A158">
        <v>11</v>
      </c>
      <c r="B158" t="s">
        <v>119</v>
      </c>
      <c r="C158" t="s">
        <v>119</v>
      </c>
      <c r="D158" t="s">
        <v>653</v>
      </c>
      <c r="F158" t="s">
        <v>1086</v>
      </c>
      <c r="G158" t="s">
        <v>1087</v>
      </c>
      <c r="H158" t="s">
        <v>673</v>
      </c>
      <c r="I158" t="s">
        <v>657</v>
      </c>
      <c r="J158" t="s">
        <v>658</v>
      </c>
      <c r="N158" t="s">
        <v>659</v>
      </c>
      <c r="O158">
        <v>38</v>
      </c>
    </row>
    <row r="159" spans="1:15" ht="15" customHeight="1" x14ac:dyDescent="0.2">
      <c r="A159">
        <v>11</v>
      </c>
      <c r="B159" t="s">
        <v>119</v>
      </c>
      <c r="C159" t="s">
        <v>119</v>
      </c>
      <c r="D159" t="s">
        <v>653</v>
      </c>
      <c r="F159" t="s">
        <v>1088</v>
      </c>
      <c r="G159" t="s">
        <v>1089</v>
      </c>
      <c r="H159" t="s">
        <v>673</v>
      </c>
      <c r="I159" t="s">
        <v>657</v>
      </c>
      <c r="J159" t="s">
        <v>658</v>
      </c>
      <c r="N159" t="s">
        <v>659</v>
      </c>
      <c r="O159" t="s">
        <v>777</v>
      </c>
    </row>
    <row r="160" spans="1:15" ht="15" customHeight="1" x14ac:dyDescent="0.2">
      <c r="A160">
        <v>11</v>
      </c>
      <c r="B160" t="s">
        <v>119</v>
      </c>
      <c r="C160" t="s">
        <v>119</v>
      </c>
      <c r="D160" t="s">
        <v>653</v>
      </c>
      <c r="F160" t="s">
        <v>1090</v>
      </c>
      <c r="G160" t="s">
        <v>1091</v>
      </c>
      <c r="H160" t="s">
        <v>673</v>
      </c>
      <c r="I160" t="s">
        <v>657</v>
      </c>
      <c r="J160" t="s">
        <v>658</v>
      </c>
      <c r="N160" t="s">
        <v>659</v>
      </c>
      <c r="O160" t="s">
        <v>780</v>
      </c>
    </row>
    <row r="161" spans="1:15" ht="15" customHeight="1" x14ac:dyDescent="0.2">
      <c r="A161">
        <v>11</v>
      </c>
      <c r="B161" t="s">
        <v>119</v>
      </c>
      <c r="C161" t="s">
        <v>119</v>
      </c>
      <c r="D161" t="s">
        <v>653</v>
      </c>
      <c r="F161" t="s">
        <v>1092</v>
      </c>
      <c r="G161" t="s">
        <v>1093</v>
      </c>
      <c r="H161" t="s">
        <v>1041</v>
      </c>
      <c r="I161" t="s">
        <v>657</v>
      </c>
      <c r="J161" t="s">
        <v>658</v>
      </c>
      <c r="N161" t="s">
        <v>659</v>
      </c>
      <c r="O161">
        <v>39</v>
      </c>
    </row>
    <row r="162" spans="1:15" ht="15" customHeight="1" x14ac:dyDescent="0.2">
      <c r="A162">
        <v>11</v>
      </c>
      <c r="B162" t="s">
        <v>119</v>
      </c>
      <c r="C162" t="s">
        <v>119</v>
      </c>
      <c r="D162" t="s">
        <v>653</v>
      </c>
      <c r="F162" t="s">
        <v>1094</v>
      </c>
      <c r="G162" t="s">
        <v>1095</v>
      </c>
      <c r="H162" t="s">
        <v>1041</v>
      </c>
      <c r="I162" t="s">
        <v>657</v>
      </c>
      <c r="J162" t="s">
        <v>658</v>
      </c>
      <c r="N162" t="s">
        <v>659</v>
      </c>
      <c r="O162">
        <v>39</v>
      </c>
    </row>
    <row r="163" spans="1:15" ht="15" customHeight="1" x14ac:dyDescent="0.2">
      <c r="A163">
        <v>11</v>
      </c>
      <c r="B163" t="s">
        <v>119</v>
      </c>
      <c r="C163" t="s">
        <v>119</v>
      </c>
      <c r="D163" t="s">
        <v>653</v>
      </c>
      <c r="F163" t="s">
        <v>1096</v>
      </c>
      <c r="G163" t="s">
        <v>1097</v>
      </c>
      <c r="H163" t="s">
        <v>673</v>
      </c>
      <c r="I163" t="s">
        <v>657</v>
      </c>
      <c r="J163" t="s">
        <v>658</v>
      </c>
      <c r="N163" t="s">
        <v>659</v>
      </c>
      <c r="O163">
        <v>40</v>
      </c>
    </row>
    <row r="164" spans="1:15" ht="15" customHeight="1" x14ac:dyDescent="0.2">
      <c r="A164">
        <v>11</v>
      </c>
      <c r="B164" t="s">
        <v>119</v>
      </c>
      <c r="C164" t="s">
        <v>119</v>
      </c>
      <c r="D164" t="s">
        <v>653</v>
      </c>
      <c r="F164" t="s">
        <v>1098</v>
      </c>
      <c r="G164" t="s">
        <v>1099</v>
      </c>
      <c r="H164" t="s">
        <v>673</v>
      </c>
      <c r="I164" t="s">
        <v>657</v>
      </c>
      <c r="J164" t="s">
        <v>663</v>
      </c>
      <c r="N164" t="s">
        <v>659</v>
      </c>
      <c r="O164" t="s">
        <v>1100</v>
      </c>
    </row>
    <row r="165" spans="1:15" ht="15" customHeight="1" x14ac:dyDescent="0.2">
      <c r="A165">
        <v>12</v>
      </c>
      <c r="B165" t="s">
        <v>121</v>
      </c>
      <c r="C165" t="s">
        <v>121</v>
      </c>
      <c r="D165" t="s">
        <v>653</v>
      </c>
      <c r="F165" t="s">
        <v>1101</v>
      </c>
      <c r="G165" t="s">
        <v>1102</v>
      </c>
      <c r="H165" t="s">
        <v>673</v>
      </c>
      <c r="I165" t="s">
        <v>657</v>
      </c>
      <c r="J165" t="s">
        <v>658</v>
      </c>
      <c r="N165" t="s">
        <v>659</v>
      </c>
      <c r="O165">
        <v>9</v>
      </c>
    </row>
    <row r="166" spans="1:15" ht="15" customHeight="1" x14ac:dyDescent="0.2">
      <c r="A166">
        <v>12</v>
      </c>
      <c r="B166" t="s">
        <v>121</v>
      </c>
      <c r="C166" t="s">
        <v>121</v>
      </c>
      <c r="D166" t="s">
        <v>653</v>
      </c>
      <c r="F166" t="s">
        <v>1103</v>
      </c>
      <c r="G166" t="s">
        <v>1104</v>
      </c>
      <c r="H166" t="s">
        <v>673</v>
      </c>
      <c r="I166" t="s">
        <v>657</v>
      </c>
      <c r="J166" t="s">
        <v>658</v>
      </c>
      <c r="N166" t="s">
        <v>659</v>
      </c>
      <c r="O166" t="s">
        <v>1105</v>
      </c>
    </row>
    <row r="167" spans="1:15" ht="15" customHeight="1" x14ac:dyDescent="0.2">
      <c r="A167">
        <v>12</v>
      </c>
      <c r="B167" t="s">
        <v>121</v>
      </c>
      <c r="C167" t="s">
        <v>121</v>
      </c>
      <c r="D167" t="s">
        <v>653</v>
      </c>
      <c r="F167" t="s">
        <v>1106</v>
      </c>
      <c r="G167" t="s">
        <v>1107</v>
      </c>
      <c r="H167" t="s">
        <v>656</v>
      </c>
      <c r="I167" t="s">
        <v>657</v>
      </c>
      <c r="J167" t="s">
        <v>658</v>
      </c>
      <c r="N167" t="s">
        <v>659</v>
      </c>
      <c r="O167" t="s">
        <v>1108</v>
      </c>
    </row>
    <row r="168" spans="1:15" ht="15" customHeight="1" x14ac:dyDescent="0.2">
      <c r="A168">
        <v>12</v>
      </c>
      <c r="B168" t="s">
        <v>121</v>
      </c>
      <c r="C168" t="s">
        <v>121</v>
      </c>
      <c r="D168" t="s">
        <v>653</v>
      </c>
      <c r="F168" t="s">
        <v>1109</v>
      </c>
      <c r="G168" t="s">
        <v>1110</v>
      </c>
      <c r="H168" t="s">
        <v>673</v>
      </c>
      <c r="I168" t="s">
        <v>657</v>
      </c>
      <c r="J168" t="s">
        <v>658</v>
      </c>
      <c r="K168" t="s">
        <v>685</v>
      </c>
      <c r="N168" t="s">
        <v>659</v>
      </c>
      <c r="O168" t="s">
        <v>1108</v>
      </c>
    </row>
    <row r="169" spans="1:15" ht="15" customHeight="1" x14ac:dyDescent="0.2">
      <c r="A169">
        <v>12</v>
      </c>
      <c r="B169" t="s">
        <v>121</v>
      </c>
      <c r="C169" t="s">
        <v>121</v>
      </c>
      <c r="D169" t="s">
        <v>653</v>
      </c>
      <c r="F169" t="s">
        <v>1111</v>
      </c>
      <c r="G169" t="s">
        <v>1112</v>
      </c>
      <c r="H169" t="s">
        <v>673</v>
      </c>
      <c r="I169" t="s">
        <v>657</v>
      </c>
      <c r="J169" t="s">
        <v>658</v>
      </c>
      <c r="N169" t="s">
        <v>659</v>
      </c>
      <c r="O169" t="s">
        <v>1113</v>
      </c>
    </row>
    <row r="170" spans="1:15" ht="15" customHeight="1" x14ac:dyDescent="0.2">
      <c r="A170">
        <v>12</v>
      </c>
      <c r="B170" t="s">
        <v>121</v>
      </c>
      <c r="C170" t="s">
        <v>121</v>
      </c>
      <c r="D170" t="s">
        <v>653</v>
      </c>
      <c r="F170" t="s">
        <v>1114</v>
      </c>
      <c r="G170" t="s">
        <v>1115</v>
      </c>
      <c r="H170" t="s">
        <v>656</v>
      </c>
      <c r="I170" t="s">
        <v>657</v>
      </c>
      <c r="J170" t="s">
        <v>658</v>
      </c>
      <c r="N170" t="s">
        <v>659</v>
      </c>
      <c r="O170" t="s">
        <v>1116</v>
      </c>
    </row>
    <row r="171" spans="1:15" ht="15" customHeight="1" x14ac:dyDescent="0.2">
      <c r="A171">
        <v>12</v>
      </c>
      <c r="B171" t="s">
        <v>121</v>
      </c>
      <c r="C171" t="s">
        <v>121</v>
      </c>
      <c r="D171" t="s">
        <v>653</v>
      </c>
      <c r="F171" t="s">
        <v>1117</v>
      </c>
      <c r="G171" t="s">
        <v>1118</v>
      </c>
      <c r="H171" t="s">
        <v>673</v>
      </c>
      <c r="I171" t="s">
        <v>657</v>
      </c>
      <c r="J171" t="s">
        <v>658</v>
      </c>
      <c r="K171" t="s">
        <v>685</v>
      </c>
      <c r="N171" t="s">
        <v>659</v>
      </c>
      <c r="O171" t="s">
        <v>1116</v>
      </c>
    </row>
    <row r="172" spans="1:15" ht="15" customHeight="1" x14ac:dyDescent="0.2">
      <c r="A172">
        <v>12</v>
      </c>
      <c r="B172" t="s">
        <v>121</v>
      </c>
      <c r="C172" t="s">
        <v>121</v>
      </c>
      <c r="D172" t="s">
        <v>653</v>
      </c>
      <c r="F172" t="s">
        <v>1119</v>
      </c>
      <c r="G172" t="s">
        <v>1120</v>
      </c>
      <c r="H172" t="s">
        <v>656</v>
      </c>
      <c r="I172" t="s">
        <v>657</v>
      </c>
      <c r="J172" t="s">
        <v>658</v>
      </c>
      <c r="N172" t="s">
        <v>659</v>
      </c>
      <c r="O172" t="s">
        <v>1121</v>
      </c>
    </row>
    <row r="173" spans="1:15" ht="15" customHeight="1" x14ac:dyDescent="0.2">
      <c r="A173">
        <v>12</v>
      </c>
      <c r="B173" t="s">
        <v>121</v>
      </c>
      <c r="C173" t="s">
        <v>121</v>
      </c>
      <c r="D173" t="s">
        <v>653</v>
      </c>
      <c r="F173" t="s">
        <v>1122</v>
      </c>
      <c r="G173" t="s">
        <v>1123</v>
      </c>
      <c r="H173" t="s">
        <v>656</v>
      </c>
      <c r="I173" t="s">
        <v>657</v>
      </c>
      <c r="J173" t="s">
        <v>658</v>
      </c>
      <c r="K173" t="s">
        <v>685</v>
      </c>
      <c r="N173" t="s">
        <v>659</v>
      </c>
      <c r="O173" t="s">
        <v>1124</v>
      </c>
    </row>
    <row r="174" spans="1:15" ht="15" customHeight="1" x14ac:dyDescent="0.2">
      <c r="A174">
        <v>12</v>
      </c>
      <c r="B174" t="s">
        <v>121</v>
      </c>
      <c r="C174" t="s">
        <v>121</v>
      </c>
      <c r="D174" t="s">
        <v>653</v>
      </c>
      <c r="F174" t="s">
        <v>1125</v>
      </c>
      <c r="G174" t="s">
        <v>1126</v>
      </c>
      <c r="H174" t="s">
        <v>673</v>
      </c>
      <c r="I174" t="s">
        <v>657</v>
      </c>
      <c r="J174" t="s">
        <v>658</v>
      </c>
      <c r="N174" t="s">
        <v>659</v>
      </c>
      <c r="O174" t="s">
        <v>1127</v>
      </c>
    </row>
    <row r="175" spans="1:15" ht="15" customHeight="1" x14ac:dyDescent="0.2">
      <c r="A175">
        <v>12</v>
      </c>
      <c r="B175" t="s">
        <v>121</v>
      </c>
      <c r="C175" t="s">
        <v>121</v>
      </c>
      <c r="D175" t="s">
        <v>653</v>
      </c>
      <c r="F175" t="s">
        <v>1128</v>
      </c>
      <c r="G175" t="s">
        <v>1129</v>
      </c>
      <c r="H175" t="s">
        <v>673</v>
      </c>
      <c r="I175" t="s">
        <v>657</v>
      </c>
      <c r="J175" t="s">
        <v>658</v>
      </c>
      <c r="N175" t="s">
        <v>659</v>
      </c>
      <c r="O175" t="s">
        <v>1130</v>
      </c>
    </row>
    <row r="176" spans="1:15" ht="15" customHeight="1" x14ac:dyDescent="0.2">
      <c r="A176">
        <v>12</v>
      </c>
      <c r="B176" t="s">
        <v>121</v>
      </c>
      <c r="C176" t="s">
        <v>121</v>
      </c>
      <c r="D176" t="s">
        <v>653</v>
      </c>
      <c r="F176" t="s">
        <v>1131</v>
      </c>
      <c r="G176" t="s">
        <v>1132</v>
      </c>
      <c r="H176" t="s">
        <v>656</v>
      </c>
      <c r="I176" t="s">
        <v>657</v>
      </c>
      <c r="J176" t="s">
        <v>663</v>
      </c>
      <c r="K176" t="s">
        <v>685</v>
      </c>
      <c r="N176" t="s">
        <v>659</v>
      </c>
      <c r="O176">
        <v>11</v>
      </c>
    </row>
    <row r="177" spans="1:15" ht="15" customHeight="1" x14ac:dyDescent="0.2">
      <c r="A177">
        <v>13</v>
      </c>
      <c r="B177" t="s">
        <v>124</v>
      </c>
      <c r="C177" t="s">
        <v>124</v>
      </c>
      <c r="D177" t="s">
        <v>653</v>
      </c>
      <c r="F177" t="s">
        <v>1133</v>
      </c>
      <c r="G177" t="s">
        <v>1134</v>
      </c>
      <c r="H177" t="s">
        <v>673</v>
      </c>
      <c r="I177" t="s">
        <v>657</v>
      </c>
      <c r="J177" t="s">
        <v>658</v>
      </c>
      <c r="N177" t="s">
        <v>659</v>
      </c>
      <c r="O177" t="s">
        <v>1135</v>
      </c>
    </row>
    <row r="178" spans="1:15" ht="15" customHeight="1" x14ac:dyDescent="0.2">
      <c r="A178">
        <v>13</v>
      </c>
      <c r="B178" t="s">
        <v>124</v>
      </c>
      <c r="C178" t="s">
        <v>124</v>
      </c>
      <c r="D178" t="s">
        <v>653</v>
      </c>
      <c r="F178" t="s">
        <v>1136</v>
      </c>
      <c r="G178" t="s">
        <v>1137</v>
      </c>
      <c r="H178" t="s">
        <v>656</v>
      </c>
      <c r="I178" t="s">
        <v>657</v>
      </c>
      <c r="J178" t="s">
        <v>658</v>
      </c>
      <c r="N178" t="s">
        <v>659</v>
      </c>
      <c r="O178" t="s">
        <v>1138</v>
      </c>
    </row>
    <row r="179" spans="1:15" ht="15" customHeight="1" x14ac:dyDescent="0.2">
      <c r="A179">
        <v>13</v>
      </c>
      <c r="B179" t="s">
        <v>124</v>
      </c>
      <c r="C179" t="s">
        <v>124</v>
      </c>
      <c r="D179" t="s">
        <v>653</v>
      </c>
      <c r="F179" t="s">
        <v>1139</v>
      </c>
      <c r="G179" t="s">
        <v>1140</v>
      </c>
      <c r="H179" t="s">
        <v>673</v>
      </c>
      <c r="I179" t="s">
        <v>657</v>
      </c>
      <c r="J179" t="s">
        <v>658</v>
      </c>
      <c r="K179" t="s">
        <v>685</v>
      </c>
      <c r="N179" t="s">
        <v>659</v>
      </c>
      <c r="O179" t="s">
        <v>1141</v>
      </c>
    </row>
    <row r="180" spans="1:15" ht="15" customHeight="1" x14ac:dyDescent="0.2">
      <c r="A180">
        <v>13</v>
      </c>
      <c r="B180" t="s">
        <v>124</v>
      </c>
      <c r="C180" t="s">
        <v>124</v>
      </c>
      <c r="D180" t="s">
        <v>653</v>
      </c>
      <c r="F180" t="s">
        <v>1142</v>
      </c>
      <c r="G180" t="s">
        <v>1143</v>
      </c>
      <c r="H180" t="s">
        <v>673</v>
      </c>
      <c r="I180" t="s">
        <v>657</v>
      </c>
      <c r="J180" t="s">
        <v>658</v>
      </c>
      <c r="K180" t="s">
        <v>685</v>
      </c>
      <c r="N180" t="s">
        <v>659</v>
      </c>
      <c r="O180">
        <v>19</v>
      </c>
    </row>
    <row r="181" spans="1:15" ht="15" customHeight="1" x14ac:dyDescent="0.2">
      <c r="A181">
        <v>13</v>
      </c>
      <c r="B181" t="s">
        <v>124</v>
      </c>
      <c r="C181" t="s">
        <v>124</v>
      </c>
      <c r="D181" t="s">
        <v>653</v>
      </c>
      <c r="F181" t="s">
        <v>1144</v>
      </c>
      <c r="G181" t="s">
        <v>1145</v>
      </c>
      <c r="H181" t="s">
        <v>673</v>
      </c>
      <c r="I181" t="s">
        <v>657</v>
      </c>
      <c r="J181" t="s">
        <v>658</v>
      </c>
      <c r="N181" t="s">
        <v>659</v>
      </c>
      <c r="O181">
        <v>20</v>
      </c>
    </row>
    <row r="182" spans="1:15" ht="15" customHeight="1" x14ac:dyDescent="0.2">
      <c r="A182">
        <v>13</v>
      </c>
      <c r="B182" t="s">
        <v>124</v>
      </c>
      <c r="C182" t="s">
        <v>124</v>
      </c>
      <c r="D182" t="s">
        <v>653</v>
      </c>
      <c r="F182" t="s">
        <v>1146</v>
      </c>
      <c r="G182" t="s">
        <v>1147</v>
      </c>
      <c r="H182" t="s">
        <v>673</v>
      </c>
      <c r="I182" t="s">
        <v>657</v>
      </c>
      <c r="J182" t="s">
        <v>658</v>
      </c>
      <c r="N182" t="s">
        <v>659</v>
      </c>
      <c r="O182" t="s">
        <v>1148</v>
      </c>
    </row>
    <row r="183" spans="1:15" ht="15" customHeight="1" x14ac:dyDescent="0.2">
      <c r="A183">
        <v>13</v>
      </c>
      <c r="B183" t="s">
        <v>124</v>
      </c>
      <c r="C183" t="s">
        <v>124</v>
      </c>
      <c r="D183" t="s">
        <v>653</v>
      </c>
      <c r="F183" t="s">
        <v>1149</v>
      </c>
      <c r="G183" t="s">
        <v>1150</v>
      </c>
      <c r="H183" t="s">
        <v>879</v>
      </c>
      <c r="I183" t="s">
        <v>678</v>
      </c>
      <c r="J183" t="s">
        <v>658</v>
      </c>
      <c r="N183" t="s">
        <v>659</v>
      </c>
      <c r="O183" t="s">
        <v>1151</v>
      </c>
    </row>
    <row r="184" spans="1:15" ht="15" customHeight="1" x14ac:dyDescent="0.2">
      <c r="A184">
        <v>13</v>
      </c>
      <c r="B184" t="s">
        <v>124</v>
      </c>
      <c r="C184" t="s">
        <v>124</v>
      </c>
      <c r="D184" t="s">
        <v>653</v>
      </c>
      <c r="F184" t="s">
        <v>1152</v>
      </c>
      <c r="G184" t="s">
        <v>1153</v>
      </c>
      <c r="H184" t="s">
        <v>673</v>
      </c>
      <c r="I184" t="s">
        <v>657</v>
      </c>
      <c r="J184" t="s">
        <v>658</v>
      </c>
      <c r="N184" t="s">
        <v>659</v>
      </c>
      <c r="O184" t="s">
        <v>1154</v>
      </c>
    </row>
    <row r="185" spans="1:15" ht="15" customHeight="1" x14ac:dyDescent="0.2">
      <c r="A185">
        <v>13</v>
      </c>
      <c r="B185" t="s">
        <v>124</v>
      </c>
      <c r="C185" t="s">
        <v>124</v>
      </c>
      <c r="D185" t="s">
        <v>653</v>
      </c>
      <c r="F185" t="s">
        <v>1155</v>
      </c>
      <c r="G185" t="s">
        <v>1156</v>
      </c>
      <c r="H185" t="s">
        <v>673</v>
      </c>
      <c r="I185" t="s">
        <v>657</v>
      </c>
      <c r="J185" t="s">
        <v>663</v>
      </c>
      <c r="N185" t="s">
        <v>659</v>
      </c>
      <c r="O185" t="s">
        <v>1157</v>
      </c>
    </row>
    <row r="186" spans="1:15" ht="15" customHeight="1" x14ac:dyDescent="0.2">
      <c r="A186">
        <v>14</v>
      </c>
      <c r="B186" t="s">
        <v>126</v>
      </c>
      <c r="C186" t="s">
        <v>126</v>
      </c>
      <c r="D186" t="s">
        <v>653</v>
      </c>
      <c r="F186" t="s">
        <v>1158</v>
      </c>
      <c r="G186" t="s">
        <v>1159</v>
      </c>
      <c r="H186" t="s">
        <v>1160</v>
      </c>
      <c r="I186" t="s">
        <v>657</v>
      </c>
      <c r="J186" t="s">
        <v>658</v>
      </c>
      <c r="N186" t="s">
        <v>659</v>
      </c>
      <c r="O186" t="s">
        <v>958</v>
      </c>
    </row>
    <row r="187" spans="1:15" ht="15" customHeight="1" x14ac:dyDescent="0.2">
      <c r="A187">
        <v>14</v>
      </c>
      <c r="B187" t="s">
        <v>126</v>
      </c>
      <c r="C187" t="s">
        <v>126</v>
      </c>
      <c r="D187" t="s">
        <v>653</v>
      </c>
      <c r="F187" t="s">
        <v>1161</v>
      </c>
      <c r="G187" t="s">
        <v>1162</v>
      </c>
      <c r="H187" t="s">
        <v>1163</v>
      </c>
      <c r="I187" t="s">
        <v>678</v>
      </c>
      <c r="J187" t="s">
        <v>658</v>
      </c>
      <c r="N187" t="s">
        <v>659</v>
      </c>
      <c r="O187" t="s">
        <v>958</v>
      </c>
    </row>
    <row r="188" spans="1:15" ht="15" customHeight="1" x14ac:dyDescent="0.2">
      <c r="A188">
        <v>14</v>
      </c>
      <c r="B188" t="s">
        <v>126</v>
      </c>
      <c r="C188" t="s">
        <v>126</v>
      </c>
      <c r="D188" t="s">
        <v>653</v>
      </c>
      <c r="F188" t="s">
        <v>1139</v>
      </c>
      <c r="G188" t="s">
        <v>1164</v>
      </c>
      <c r="H188" t="s">
        <v>1165</v>
      </c>
      <c r="I188" t="s">
        <v>657</v>
      </c>
      <c r="J188" t="s">
        <v>658</v>
      </c>
      <c r="N188" t="s">
        <v>659</v>
      </c>
      <c r="O188" t="s">
        <v>961</v>
      </c>
    </row>
    <row r="189" spans="1:15" ht="15" customHeight="1" x14ac:dyDescent="0.2">
      <c r="A189">
        <v>14</v>
      </c>
      <c r="B189" t="s">
        <v>126</v>
      </c>
      <c r="C189" t="s">
        <v>126</v>
      </c>
      <c r="D189" t="s">
        <v>653</v>
      </c>
      <c r="F189" t="s">
        <v>1166</v>
      </c>
      <c r="G189" t="s">
        <v>1167</v>
      </c>
      <c r="H189" t="s">
        <v>1160</v>
      </c>
      <c r="I189" t="s">
        <v>657</v>
      </c>
      <c r="J189" t="s">
        <v>663</v>
      </c>
      <c r="N189" t="s">
        <v>659</v>
      </c>
      <c r="O189" t="s">
        <v>1168</v>
      </c>
    </row>
    <row r="190" spans="1:15" ht="15" customHeight="1" x14ac:dyDescent="0.2">
      <c r="A190">
        <v>14</v>
      </c>
      <c r="B190" t="s">
        <v>126</v>
      </c>
      <c r="C190" t="s">
        <v>126</v>
      </c>
      <c r="D190" t="s">
        <v>653</v>
      </c>
      <c r="F190" t="s">
        <v>1169</v>
      </c>
      <c r="G190" t="s">
        <v>1170</v>
      </c>
      <c r="H190" t="s">
        <v>673</v>
      </c>
      <c r="I190" t="s">
        <v>657</v>
      </c>
      <c r="J190" t="s">
        <v>663</v>
      </c>
      <c r="N190" t="s">
        <v>659</v>
      </c>
      <c r="O190" t="s">
        <v>1168</v>
      </c>
    </row>
    <row r="191" spans="1:15" ht="15" customHeight="1" x14ac:dyDescent="0.2">
      <c r="A191">
        <v>14</v>
      </c>
      <c r="B191" t="s">
        <v>126</v>
      </c>
      <c r="C191" t="s">
        <v>126</v>
      </c>
      <c r="D191" t="s">
        <v>653</v>
      </c>
      <c r="F191" t="s">
        <v>1171</v>
      </c>
      <c r="G191" t="s">
        <v>1172</v>
      </c>
      <c r="H191" t="s">
        <v>1160</v>
      </c>
      <c r="I191" t="s">
        <v>657</v>
      </c>
      <c r="J191" t="s">
        <v>663</v>
      </c>
      <c r="N191" t="s">
        <v>659</v>
      </c>
      <c r="O191" t="s">
        <v>1173</v>
      </c>
    </row>
    <row r="192" spans="1:15" ht="15" customHeight="1" x14ac:dyDescent="0.2">
      <c r="A192">
        <v>14</v>
      </c>
      <c r="B192" t="s">
        <v>126</v>
      </c>
      <c r="C192" t="s">
        <v>126</v>
      </c>
      <c r="D192" t="s">
        <v>653</v>
      </c>
      <c r="F192" t="s">
        <v>1174</v>
      </c>
      <c r="G192" t="s">
        <v>1175</v>
      </c>
      <c r="H192" t="s">
        <v>1160</v>
      </c>
      <c r="I192" t="s">
        <v>657</v>
      </c>
      <c r="J192" t="s">
        <v>663</v>
      </c>
      <c r="N192" t="s">
        <v>659</v>
      </c>
      <c r="O192" t="s">
        <v>1176</v>
      </c>
    </row>
    <row r="193" spans="1:15" ht="15" customHeight="1" x14ac:dyDescent="0.2">
      <c r="A193">
        <v>14</v>
      </c>
      <c r="B193" t="s">
        <v>126</v>
      </c>
      <c r="C193" t="s">
        <v>126</v>
      </c>
      <c r="D193" t="s">
        <v>653</v>
      </c>
      <c r="F193" t="s">
        <v>1177</v>
      </c>
      <c r="G193" t="s">
        <v>1178</v>
      </c>
      <c r="H193" t="s">
        <v>673</v>
      </c>
      <c r="I193" t="s">
        <v>657</v>
      </c>
      <c r="J193" t="s">
        <v>663</v>
      </c>
      <c r="N193" t="s">
        <v>659</v>
      </c>
      <c r="O193" t="s">
        <v>1179</v>
      </c>
    </row>
    <row r="194" spans="1:15" ht="15" customHeight="1" x14ac:dyDescent="0.2">
      <c r="A194">
        <v>15</v>
      </c>
      <c r="B194" t="s">
        <v>128</v>
      </c>
      <c r="C194" t="s">
        <v>128</v>
      </c>
      <c r="D194" t="s">
        <v>653</v>
      </c>
      <c r="F194" t="s">
        <v>1180</v>
      </c>
      <c r="G194" t="s">
        <v>1181</v>
      </c>
      <c r="H194" t="s">
        <v>673</v>
      </c>
      <c r="I194" t="s">
        <v>657</v>
      </c>
      <c r="J194" t="s">
        <v>658</v>
      </c>
      <c r="K194" t="s">
        <v>685</v>
      </c>
      <c r="N194" t="s">
        <v>659</v>
      </c>
      <c r="O194" t="s">
        <v>660</v>
      </c>
    </row>
    <row r="195" spans="1:15" ht="15" customHeight="1" x14ac:dyDescent="0.2">
      <c r="A195">
        <v>15</v>
      </c>
      <c r="B195" t="s">
        <v>128</v>
      </c>
      <c r="C195" t="s">
        <v>128</v>
      </c>
      <c r="D195" t="s">
        <v>653</v>
      </c>
      <c r="F195" t="s">
        <v>1182</v>
      </c>
      <c r="G195" t="s">
        <v>1183</v>
      </c>
      <c r="H195" t="s">
        <v>673</v>
      </c>
      <c r="I195" t="s">
        <v>657</v>
      </c>
      <c r="J195" t="s">
        <v>658</v>
      </c>
      <c r="N195" t="s">
        <v>659</v>
      </c>
      <c r="O195" t="s">
        <v>668</v>
      </c>
    </row>
    <row r="196" spans="1:15" ht="15" customHeight="1" x14ac:dyDescent="0.2">
      <c r="A196">
        <v>15</v>
      </c>
      <c r="B196" t="s">
        <v>128</v>
      </c>
      <c r="C196" t="s">
        <v>128</v>
      </c>
      <c r="D196" t="s">
        <v>653</v>
      </c>
      <c r="F196" t="s">
        <v>1184</v>
      </c>
      <c r="G196" t="s">
        <v>1185</v>
      </c>
      <c r="H196" t="s">
        <v>1163</v>
      </c>
      <c r="I196" t="s">
        <v>678</v>
      </c>
      <c r="J196" t="s">
        <v>658</v>
      </c>
      <c r="N196" t="s">
        <v>659</v>
      </c>
      <c r="O196" t="s">
        <v>1186</v>
      </c>
    </row>
    <row r="197" spans="1:15" ht="15" customHeight="1" x14ac:dyDescent="0.2">
      <c r="A197">
        <v>15</v>
      </c>
      <c r="B197" t="s">
        <v>128</v>
      </c>
      <c r="C197" t="s">
        <v>128</v>
      </c>
      <c r="D197" t="s">
        <v>653</v>
      </c>
      <c r="F197" t="s">
        <v>1187</v>
      </c>
      <c r="G197" t="s">
        <v>1188</v>
      </c>
      <c r="H197" t="s">
        <v>1163</v>
      </c>
      <c r="I197" t="s">
        <v>678</v>
      </c>
      <c r="J197" t="s">
        <v>663</v>
      </c>
      <c r="N197" t="s">
        <v>659</v>
      </c>
      <c r="O197" t="s">
        <v>1030</v>
      </c>
    </row>
    <row r="198" spans="1:15" ht="15" customHeight="1" x14ac:dyDescent="0.2">
      <c r="A198">
        <v>15</v>
      </c>
      <c r="B198" t="s">
        <v>128</v>
      </c>
      <c r="C198" t="s">
        <v>128</v>
      </c>
      <c r="D198" t="s">
        <v>653</v>
      </c>
      <c r="F198" t="s">
        <v>1189</v>
      </c>
      <c r="G198" t="s">
        <v>1190</v>
      </c>
      <c r="H198" t="s">
        <v>1163</v>
      </c>
      <c r="I198" t="s">
        <v>678</v>
      </c>
      <c r="J198" t="s">
        <v>663</v>
      </c>
      <c r="N198" t="s">
        <v>659</v>
      </c>
      <c r="O198" t="s">
        <v>1033</v>
      </c>
    </row>
    <row r="199" spans="1:15" ht="15" customHeight="1" x14ac:dyDescent="0.2">
      <c r="A199">
        <v>15</v>
      </c>
      <c r="B199" t="s">
        <v>128</v>
      </c>
      <c r="C199" t="s">
        <v>128</v>
      </c>
      <c r="D199" t="s">
        <v>653</v>
      </c>
      <c r="F199" t="s">
        <v>1191</v>
      </c>
      <c r="G199" t="s">
        <v>1192</v>
      </c>
      <c r="H199" t="s">
        <v>1163</v>
      </c>
      <c r="I199" t="s">
        <v>678</v>
      </c>
      <c r="J199" t="s">
        <v>658</v>
      </c>
      <c r="N199" t="s">
        <v>659</v>
      </c>
      <c r="O199" t="s">
        <v>1186</v>
      </c>
    </row>
    <row r="200" spans="1:15" ht="15" customHeight="1" x14ac:dyDescent="0.2">
      <c r="A200">
        <v>15</v>
      </c>
      <c r="B200" t="s">
        <v>128</v>
      </c>
      <c r="C200" t="s">
        <v>128</v>
      </c>
      <c r="D200" t="s">
        <v>653</v>
      </c>
      <c r="F200" t="s">
        <v>1193</v>
      </c>
      <c r="G200" t="s">
        <v>1194</v>
      </c>
      <c r="H200" t="s">
        <v>673</v>
      </c>
      <c r="I200" t="s">
        <v>657</v>
      </c>
      <c r="J200" t="s">
        <v>658</v>
      </c>
      <c r="K200" t="s">
        <v>685</v>
      </c>
      <c r="N200" t="s">
        <v>659</v>
      </c>
      <c r="O200" t="s">
        <v>1195</v>
      </c>
    </row>
    <row r="201" spans="1:15" ht="15" customHeight="1" x14ac:dyDescent="0.2">
      <c r="A201">
        <v>15</v>
      </c>
      <c r="B201" t="s">
        <v>128</v>
      </c>
      <c r="C201" t="s">
        <v>128</v>
      </c>
      <c r="D201" t="s">
        <v>653</v>
      </c>
      <c r="F201" t="s">
        <v>1196</v>
      </c>
      <c r="G201" t="s">
        <v>1197</v>
      </c>
      <c r="H201" t="s">
        <v>1165</v>
      </c>
      <c r="I201" t="s">
        <v>657</v>
      </c>
      <c r="J201" t="s">
        <v>658</v>
      </c>
      <c r="K201" t="s">
        <v>685</v>
      </c>
      <c r="N201" t="s">
        <v>659</v>
      </c>
      <c r="O201" t="s">
        <v>1195</v>
      </c>
    </row>
    <row r="202" spans="1:15" ht="15" customHeight="1" x14ac:dyDescent="0.2">
      <c r="A202">
        <v>15</v>
      </c>
      <c r="B202" t="s">
        <v>128</v>
      </c>
      <c r="C202" t="s">
        <v>128</v>
      </c>
      <c r="D202" t="s">
        <v>653</v>
      </c>
      <c r="F202" t="s">
        <v>1198</v>
      </c>
      <c r="G202" t="s">
        <v>1199</v>
      </c>
      <c r="H202" t="s">
        <v>673</v>
      </c>
      <c r="I202" t="s">
        <v>657</v>
      </c>
      <c r="J202" t="s">
        <v>658</v>
      </c>
      <c r="N202" t="s">
        <v>659</v>
      </c>
      <c r="O202" t="s">
        <v>1200</v>
      </c>
    </row>
    <row r="203" spans="1:15" ht="15" customHeight="1" x14ac:dyDescent="0.2">
      <c r="A203">
        <v>15</v>
      </c>
      <c r="B203" t="s">
        <v>128</v>
      </c>
      <c r="C203" t="s">
        <v>128</v>
      </c>
      <c r="D203" t="s">
        <v>653</v>
      </c>
      <c r="F203" t="s">
        <v>1201</v>
      </c>
      <c r="G203" t="s">
        <v>1202</v>
      </c>
      <c r="H203" t="s">
        <v>656</v>
      </c>
      <c r="I203" t="s">
        <v>657</v>
      </c>
      <c r="J203" t="s">
        <v>658</v>
      </c>
      <c r="K203" t="s">
        <v>685</v>
      </c>
      <c r="N203" t="s">
        <v>659</v>
      </c>
      <c r="O203" t="s">
        <v>1203</v>
      </c>
    </row>
    <row r="204" spans="1:15" ht="15" customHeight="1" x14ac:dyDescent="0.2">
      <c r="A204">
        <v>15</v>
      </c>
      <c r="B204" t="s">
        <v>128</v>
      </c>
      <c r="C204" t="s">
        <v>128</v>
      </c>
      <c r="D204" t="s">
        <v>653</v>
      </c>
      <c r="F204" t="s">
        <v>1204</v>
      </c>
      <c r="G204" t="s">
        <v>1205</v>
      </c>
      <c r="H204" t="s">
        <v>673</v>
      </c>
      <c r="I204" t="s">
        <v>657</v>
      </c>
      <c r="J204" t="s">
        <v>658</v>
      </c>
      <c r="N204" t="s">
        <v>659</v>
      </c>
      <c r="O204">
        <v>30</v>
      </c>
    </row>
    <row r="205" spans="1:15" ht="15" customHeight="1" x14ac:dyDescent="0.2">
      <c r="A205">
        <v>15</v>
      </c>
      <c r="B205" t="s">
        <v>128</v>
      </c>
      <c r="C205" t="s">
        <v>128</v>
      </c>
      <c r="D205" t="s">
        <v>653</v>
      </c>
      <c r="F205" t="s">
        <v>1206</v>
      </c>
      <c r="G205" t="s">
        <v>1207</v>
      </c>
      <c r="H205" t="s">
        <v>656</v>
      </c>
      <c r="I205" t="s">
        <v>657</v>
      </c>
      <c r="J205" t="s">
        <v>663</v>
      </c>
      <c r="N205" t="s">
        <v>659</v>
      </c>
      <c r="O205" t="s">
        <v>1208</v>
      </c>
    </row>
    <row r="206" spans="1:15" ht="15" customHeight="1" x14ac:dyDescent="0.2">
      <c r="A206">
        <v>16</v>
      </c>
      <c r="B206" t="s">
        <v>130</v>
      </c>
      <c r="C206" t="s">
        <v>130</v>
      </c>
      <c r="D206" t="s">
        <v>653</v>
      </c>
      <c r="F206" t="s">
        <v>1209</v>
      </c>
      <c r="G206" t="s">
        <v>1210</v>
      </c>
      <c r="H206" t="s">
        <v>656</v>
      </c>
      <c r="I206" t="s">
        <v>657</v>
      </c>
      <c r="J206" t="s">
        <v>658</v>
      </c>
      <c r="N206" t="s">
        <v>659</v>
      </c>
      <c r="O206">
        <v>19</v>
      </c>
    </row>
    <row r="207" spans="1:15" ht="15" customHeight="1" x14ac:dyDescent="0.2">
      <c r="A207">
        <v>16</v>
      </c>
      <c r="B207" t="s">
        <v>130</v>
      </c>
      <c r="C207" t="s">
        <v>130</v>
      </c>
      <c r="D207" t="s">
        <v>653</v>
      </c>
      <c r="F207" t="s">
        <v>1211</v>
      </c>
      <c r="G207" t="s">
        <v>1212</v>
      </c>
      <c r="H207" t="s">
        <v>673</v>
      </c>
      <c r="I207" t="s">
        <v>657</v>
      </c>
      <c r="J207" t="s">
        <v>663</v>
      </c>
      <c r="N207" t="s">
        <v>659</v>
      </c>
      <c r="O207" t="s">
        <v>1213</v>
      </c>
    </row>
    <row r="208" spans="1:15" ht="15" customHeight="1" x14ac:dyDescent="0.2">
      <c r="A208">
        <v>16</v>
      </c>
      <c r="B208" t="s">
        <v>130</v>
      </c>
      <c r="C208" t="s">
        <v>130</v>
      </c>
      <c r="D208" t="s">
        <v>653</v>
      </c>
      <c r="F208" t="s">
        <v>1214</v>
      </c>
      <c r="G208" t="s">
        <v>1215</v>
      </c>
      <c r="H208" t="s">
        <v>673</v>
      </c>
      <c r="I208" t="s">
        <v>657</v>
      </c>
      <c r="J208" t="s">
        <v>658</v>
      </c>
      <c r="N208" t="s">
        <v>659</v>
      </c>
      <c r="O208">
        <v>20</v>
      </c>
    </row>
    <row r="209" spans="1:15" ht="15" customHeight="1" x14ac:dyDescent="0.2">
      <c r="A209">
        <v>16</v>
      </c>
      <c r="B209" t="s">
        <v>130</v>
      </c>
      <c r="C209" t="s">
        <v>130</v>
      </c>
      <c r="D209" t="s">
        <v>653</v>
      </c>
      <c r="F209" t="s">
        <v>1216</v>
      </c>
      <c r="G209" t="s">
        <v>1217</v>
      </c>
      <c r="H209" t="s">
        <v>673</v>
      </c>
      <c r="I209" t="s">
        <v>657</v>
      </c>
      <c r="J209" t="s">
        <v>658</v>
      </c>
      <c r="N209" t="s">
        <v>659</v>
      </c>
      <c r="O209" t="s">
        <v>1218</v>
      </c>
    </row>
    <row r="210" spans="1:15" ht="15" customHeight="1" x14ac:dyDescent="0.2">
      <c r="A210">
        <v>16</v>
      </c>
      <c r="B210" t="s">
        <v>130</v>
      </c>
      <c r="C210" t="s">
        <v>130</v>
      </c>
      <c r="D210" t="s">
        <v>653</v>
      </c>
      <c r="F210" t="s">
        <v>1219</v>
      </c>
      <c r="G210" t="s">
        <v>1220</v>
      </c>
      <c r="H210" t="s">
        <v>673</v>
      </c>
      <c r="I210" t="s">
        <v>657</v>
      </c>
      <c r="J210" t="s">
        <v>658</v>
      </c>
      <c r="N210" t="s">
        <v>659</v>
      </c>
      <c r="O210" t="s">
        <v>1012</v>
      </c>
    </row>
    <row r="211" spans="1:15" ht="15" customHeight="1" x14ac:dyDescent="0.2">
      <c r="A211">
        <v>16</v>
      </c>
      <c r="B211" t="s">
        <v>130</v>
      </c>
      <c r="C211" t="s">
        <v>130</v>
      </c>
      <c r="D211" t="s">
        <v>653</v>
      </c>
      <c r="F211" t="s">
        <v>1221</v>
      </c>
      <c r="G211" t="s">
        <v>1222</v>
      </c>
      <c r="H211" t="s">
        <v>673</v>
      </c>
      <c r="I211" t="s">
        <v>657</v>
      </c>
      <c r="J211" t="s">
        <v>658</v>
      </c>
      <c r="N211" t="s">
        <v>659</v>
      </c>
      <c r="O211" t="s">
        <v>1015</v>
      </c>
    </row>
    <row r="212" spans="1:15" ht="15" customHeight="1" x14ac:dyDescent="0.2">
      <c r="A212">
        <v>16</v>
      </c>
      <c r="B212" t="s">
        <v>130</v>
      </c>
      <c r="C212" t="s">
        <v>130</v>
      </c>
      <c r="D212" t="s">
        <v>653</v>
      </c>
      <c r="F212" t="s">
        <v>1223</v>
      </c>
      <c r="G212" t="s">
        <v>1224</v>
      </c>
      <c r="H212" t="s">
        <v>673</v>
      </c>
      <c r="I212" t="s">
        <v>657</v>
      </c>
      <c r="J212" t="s">
        <v>658</v>
      </c>
      <c r="N212" t="s">
        <v>659</v>
      </c>
      <c r="O212">
        <v>21</v>
      </c>
    </row>
    <row r="213" spans="1:15" ht="15" customHeight="1" x14ac:dyDescent="0.2">
      <c r="A213">
        <v>16</v>
      </c>
      <c r="B213" t="s">
        <v>130</v>
      </c>
      <c r="C213" t="s">
        <v>130</v>
      </c>
      <c r="D213" t="s">
        <v>653</v>
      </c>
      <c r="F213" t="s">
        <v>1225</v>
      </c>
      <c r="G213" t="s">
        <v>1226</v>
      </c>
      <c r="H213" t="s">
        <v>656</v>
      </c>
      <c r="I213" t="s">
        <v>657</v>
      </c>
      <c r="J213" t="s">
        <v>658</v>
      </c>
      <c r="N213" t="s">
        <v>659</v>
      </c>
      <c r="O213">
        <v>22</v>
      </c>
    </row>
    <row r="214" spans="1:15" ht="15" customHeight="1" x14ac:dyDescent="0.2">
      <c r="A214">
        <v>16</v>
      </c>
      <c r="B214" t="s">
        <v>130</v>
      </c>
      <c r="C214" t="s">
        <v>130</v>
      </c>
      <c r="D214" t="s">
        <v>653</v>
      </c>
      <c r="F214" t="s">
        <v>1227</v>
      </c>
      <c r="G214" t="s">
        <v>1228</v>
      </c>
      <c r="H214" t="s">
        <v>656</v>
      </c>
      <c r="I214" t="s">
        <v>657</v>
      </c>
      <c r="J214" t="s">
        <v>658</v>
      </c>
      <c r="N214" t="s">
        <v>659</v>
      </c>
      <c r="O214">
        <v>23</v>
      </c>
    </row>
    <row r="215" spans="1:15" ht="15" customHeight="1" x14ac:dyDescent="0.2">
      <c r="A215">
        <v>16</v>
      </c>
      <c r="B215" t="s">
        <v>130</v>
      </c>
      <c r="C215" t="s">
        <v>130</v>
      </c>
      <c r="D215" t="s">
        <v>653</v>
      </c>
      <c r="F215" t="s">
        <v>1229</v>
      </c>
      <c r="G215" t="s">
        <v>1230</v>
      </c>
      <c r="H215" t="s">
        <v>656</v>
      </c>
      <c r="I215" t="s">
        <v>657</v>
      </c>
      <c r="J215" t="s">
        <v>658</v>
      </c>
      <c r="N215" t="s">
        <v>659</v>
      </c>
      <c r="O215" t="s">
        <v>1231</v>
      </c>
    </row>
    <row r="216" spans="1:15" ht="15" customHeight="1" x14ac:dyDescent="0.2">
      <c r="A216">
        <v>16</v>
      </c>
      <c r="B216" t="s">
        <v>130</v>
      </c>
      <c r="C216" t="s">
        <v>130</v>
      </c>
      <c r="D216" t="s">
        <v>653</v>
      </c>
      <c r="F216" t="s">
        <v>1232</v>
      </c>
      <c r="G216" t="s">
        <v>1233</v>
      </c>
      <c r="H216" t="s">
        <v>656</v>
      </c>
      <c r="I216" t="s">
        <v>657</v>
      </c>
      <c r="J216" t="s">
        <v>658</v>
      </c>
      <c r="N216" t="s">
        <v>659</v>
      </c>
      <c r="O216" t="s">
        <v>1234</v>
      </c>
    </row>
    <row r="217" spans="1:15" ht="15" customHeight="1" x14ac:dyDescent="0.2">
      <c r="A217">
        <v>16</v>
      </c>
      <c r="B217" t="s">
        <v>130</v>
      </c>
      <c r="C217" t="s">
        <v>130</v>
      </c>
      <c r="D217" t="s">
        <v>653</v>
      </c>
      <c r="F217" t="s">
        <v>1235</v>
      </c>
      <c r="G217" t="s">
        <v>1236</v>
      </c>
      <c r="H217" t="s">
        <v>673</v>
      </c>
      <c r="I217" t="s">
        <v>657</v>
      </c>
      <c r="J217" t="s">
        <v>658</v>
      </c>
      <c r="N217" t="s">
        <v>659</v>
      </c>
      <c r="O217" t="s">
        <v>1237</v>
      </c>
    </row>
    <row r="218" spans="1:15" ht="15" customHeight="1" x14ac:dyDescent="0.2">
      <c r="A218">
        <v>16</v>
      </c>
      <c r="B218" t="s">
        <v>130</v>
      </c>
      <c r="C218" t="s">
        <v>130</v>
      </c>
      <c r="D218" t="s">
        <v>653</v>
      </c>
      <c r="F218" t="s">
        <v>1238</v>
      </c>
      <c r="G218" t="s">
        <v>1239</v>
      </c>
      <c r="H218" t="s">
        <v>673</v>
      </c>
      <c r="I218" t="s">
        <v>657</v>
      </c>
      <c r="J218" t="s">
        <v>658</v>
      </c>
      <c r="N218" t="s">
        <v>659</v>
      </c>
      <c r="O218" t="s">
        <v>1240</v>
      </c>
    </row>
    <row r="219" spans="1:15" ht="15" customHeight="1" x14ac:dyDescent="0.2">
      <c r="A219">
        <v>16</v>
      </c>
      <c r="B219" t="s">
        <v>130</v>
      </c>
      <c r="C219" t="s">
        <v>130</v>
      </c>
      <c r="D219" t="s">
        <v>653</v>
      </c>
      <c r="F219" t="s">
        <v>1241</v>
      </c>
      <c r="G219" t="s">
        <v>1242</v>
      </c>
      <c r="H219" t="s">
        <v>673</v>
      </c>
      <c r="I219" t="s">
        <v>657</v>
      </c>
      <c r="J219" t="s">
        <v>663</v>
      </c>
      <c r="N219" t="s">
        <v>659</v>
      </c>
      <c r="O219" t="s">
        <v>1243</v>
      </c>
    </row>
    <row r="220" spans="1:15" ht="15" customHeight="1" x14ac:dyDescent="0.2">
      <c r="A220">
        <v>16</v>
      </c>
      <c r="B220" t="s">
        <v>130</v>
      </c>
      <c r="C220" t="s">
        <v>130</v>
      </c>
      <c r="D220" t="s">
        <v>653</v>
      </c>
      <c r="F220" t="s">
        <v>1244</v>
      </c>
      <c r="G220" t="s">
        <v>1245</v>
      </c>
      <c r="H220" t="s">
        <v>656</v>
      </c>
      <c r="I220" t="s">
        <v>657</v>
      </c>
      <c r="J220" t="s">
        <v>663</v>
      </c>
      <c r="N220" t="s">
        <v>659</v>
      </c>
      <c r="O220" t="s">
        <v>1246</v>
      </c>
    </row>
    <row r="221" spans="1:15" ht="15" customHeight="1" x14ac:dyDescent="0.2">
      <c r="A221">
        <v>16</v>
      </c>
      <c r="B221" t="s">
        <v>130</v>
      </c>
      <c r="C221" t="s">
        <v>130</v>
      </c>
      <c r="D221" t="s">
        <v>653</v>
      </c>
      <c r="F221" t="s">
        <v>1247</v>
      </c>
      <c r="G221" t="s">
        <v>1248</v>
      </c>
      <c r="H221" t="s">
        <v>656</v>
      </c>
      <c r="I221" t="s">
        <v>657</v>
      </c>
      <c r="J221" t="s">
        <v>663</v>
      </c>
      <c r="N221" t="s">
        <v>659</v>
      </c>
      <c r="O221" t="s">
        <v>1249</v>
      </c>
    </row>
    <row r="222" spans="1:15" ht="15" customHeight="1" x14ac:dyDescent="0.2">
      <c r="A222">
        <v>16</v>
      </c>
      <c r="B222" t="s">
        <v>130</v>
      </c>
      <c r="C222" t="s">
        <v>130</v>
      </c>
      <c r="D222" t="s">
        <v>653</v>
      </c>
      <c r="F222" t="s">
        <v>1250</v>
      </c>
      <c r="G222" t="s">
        <v>1251</v>
      </c>
      <c r="H222" t="s">
        <v>656</v>
      </c>
      <c r="I222" t="s">
        <v>657</v>
      </c>
      <c r="J222" t="s">
        <v>663</v>
      </c>
      <c r="N222" t="s">
        <v>659</v>
      </c>
      <c r="O222" t="s">
        <v>1252</v>
      </c>
    </row>
    <row r="223" spans="1:15" ht="15" customHeight="1" x14ac:dyDescent="0.2">
      <c r="A223">
        <v>16</v>
      </c>
      <c r="B223" t="s">
        <v>130</v>
      </c>
      <c r="C223" t="s">
        <v>130</v>
      </c>
      <c r="D223" t="s">
        <v>653</v>
      </c>
      <c r="F223" t="s">
        <v>1253</v>
      </c>
      <c r="G223" t="s">
        <v>1254</v>
      </c>
      <c r="H223" t="s">
        <v>656</v>
      </c>
      <c r="I223" t="s">
        <v>657</v>
      </c>
      <c r="J223" t="s">
        <v>663</v>
      </c>
      <c r="N223" t="s">
        <v>659</v>
      </c>
      <c r="O223" t="s">
        <v>1255</v>
      </c>
    </row>
    <row r="224" spans="1:15" ht="15" customHeight="1" x14ac:dyDescent="0.2">
      <c r="A224">
        <v>16</v>
      </c>
      <c r="B224" t="s">
        <v>130</v>
      </c>
      <c r="C224" t="s">
        <v>130</v>
      </c>
      <c r="D224" t="s">
        <v>653</v>
      </c>
      <c r="F224" t="s">
        <v>1256</v>
      </c>
      <c r="G224" t="s">
        <v>1257</v>
      </c>
      <c r="H224" t="s">
        <v>656</v>
      </c>
      <c r="I224" t="s">
        <v>657</v>
      </c>
      <c r="J224" t="s">
        <v>663</v>
      </c>
      <c r="N224" t="s">
        <v>659</v>
      </c>
      <c r="O224" t="s">
        <v>1258</v>
      </c>
    </row>
    <row r="225" spans="1:15" ht="15" customHeight="1" x14ac:dyDescent="0.2">
      <c r="A225">
        <v>16</v>
      </c>
      <c r="B225" t="s">
        <v>130</v>
      </c>
      <c r="C225" t="s">
        <v>130</v>
      </c>
      <c r="D225" t="s">
        <v>653</v>
      </c>
      <c r="F225" t="s">
        <v>1259</v>
      </c>
      <c r="G225" t="s">
        <v>1260</v>
      </c>
      <c r="H225" t="s">
        <v>656</v>
      </c>
      <c r="I225" t="s">
        <v>657</v>
      </c>
      <c r="J225" t="s">
        <v>663</v>
      </c>
      <c r="N225" t="s">
        <v>659</v>
      </c>
      <c r="O225" t="s">
        <v>1261</v>
      </c>
    </row>
    <row r="226" spans="1:15" ht="15" customHeight="1" x14ac:dyDescent="0.2">
      <c r="A226">
        <v>16</v>
      </c>
      <c r="B226" t="s">
        <v>130</v>
      </c>
      <c r="C226" t="s">
        <v>130</v>
      </c>
      <c r="D226" t="s">
        <v>653</v>
      </c>
      <c r="F226" t="s">
        <v>1262</v>
      </c>
      <c r="G226" t="s">
        <v>1263</v>
      </c>
      <c r="H226" t="s">
        <v>656</v>
      </c>
      <c r="I226" t="s">
        <v>657</v>
      </c>
      <c r="J226" t="s">
        <v>663</v>
      </c>
      <c r="N226" t="s">
        <v>659</v>
      </c>
      <c r="O226" t="s">
        <v>1264</v>
      </c>
    </row>
    <row r="227" spans="1:15" ht="15" customHeight="1" x14ac:dyDescent="0.2">
      <c r="A227">
        <v>16</v>
      </c>
      <c r="B227" t="s">
        <v>130</v>
      </c>
      <c r="C227" t="s">
        <v>130</v>
      </c>
      <c r="D227" t="s">
        <v>653</v>
      </c>
      <c r="F227" t="s">
        <v>1265</v>
      </c>
      <c r="G227" t="s">
        <v>1266</v>
      </c>
      <c r="H227" t="s">
        <v>656</v>
      </c>
      <c r="I227" t="s">
        <v>657</v>
      </c>
      <c r="J227" t="s">
        <v>663</v>
      </c>
      <c r="N227" t="s">
        <v>659</v>
      </c>
      <c r="O227" t="s">
        <v>1267</v>
      </c>
    </row>
    <row r="228" spans="1:15" ht="15" customHeight="1" x14ac:dyDescent="0.2">
      <c r="A228">
        <v>17</v>
      </c>
      <c r="B228" t="s">
        <v>133</v>
      </c>
      <c r="C228" t="s">
        <v>133</v>
      </c>
      <c r="D228" t="s">
        <v>653</v>
      </c>
      <c r="F228" t="s">
        <v>1268</v>
      </c>
      <c r="G228" t="s">
        <v>1269</v>
      </c>
      <c r="H228" t="s">
        <v>879</v>
      </c>
      <c r="I228" t="s">
        <v>678</v>
      </c>
      <c r="J228" t="s">
        <v>658</v>
      </c>
      <c r="N228" t="s">
        <v>659</v>
      </c>
      <c r="O228" t="s">
        <v>1270</v>
      </c>
    </row>
    <row r="229" spans="1:15" ht="15" customHeight="1" x14ac:dyDescent="0.2">
      <c r="A229">
        <v>17</v>
      </c>
      <c r="B229" t="s">
        <v>133</v>
      </c>
      <c r="C229" t="s">
        <v>133</v>
      </c>
      <c r="D229" t="s">
        <v>653</v>
      </c>
      <c r="F229" t="s">
        <v>1271</v>
      </c>
      <c r="G229" t="s">
        <v>1272</v>
      </c>
      <c r="H229" t="s">
        <v>1160</v>
      </c>
      <c r="I229" t="s">
        <v>657</v>
      </c>
      <c r="J229" t="s">
        <v>658</v>
      </c>
      <c r="N229" t="s">
        <v>659</v>
      </c>
      <c r="O229" t="s">
        <v>1273</v>
      </c>
    </row>
    <row r="230" spans="1:15" ht="15" customHeight="1" x14ac:dyDescent="0.2">
      <c r="A230">
        <v>17</v>
      </c>
      <c r="B230" t="s">
        <v>133</v>
      </c>
      <c r="C230" t="s">
        <v>133</v>
      </c>
      <c r="D230" t="s">
        <v>653</v>
      </c>
      <c r="F230" t="s">
        <v>1274</v>
      </c>
      <c r="G230" t="s">
        <v>1275</v>
      </c>
      <c r="H230" t="s">
        <v>1160</v>
      </c>
      <c r="I230" t="s">
        <v>657</v>
      </c>
      <c r="J230" t="s">
        <v>658</v>
      </c>
      <c r="N230" t="s">
        <v>659</v>
      </c>
      <c r="O230" t="s">
        <v>1273</v>
      </c>
    </row>
    <row r="231" spans="1:15" ht="15" customHeight="1" x14ac:dyDescent="0.2">
      <c r="A231">
        <v>17</v>
      </c>
      <c r="B231" t="s">
        <v>133</v>
      </c>
      <c r="C231" t="s">
        <v>133</v>
      </c>
      <c r="D231" t="s">
        <v>653</v>
      </c>
      <c r="F231" t="s">
        <v>1276</v>
      </c>
      <c r="G231" t="s">
        <v>1277</v>
      </c>
      <c r="H231" t="s">
        <v>1160</v>
      </c>
      <c r="I231" t="s">
        <v>657</v>
      </c>
      <c r="J231" t="s">
        <v>658</v>
      </c>
      <c r="N231" t="s">
        <v>659</v>
      </c>
      <c r="O231" t="s">
        <v>1278</v>
      </c>
    </row>
    <row r="232" spans="1:15" ht="15" customHeight="1" x14ac:dyDescent="0.2">
      <c r="A232">
        <v>17</v>
      </c>
      <c r="B232" t="s">
        <v>133</v>
      </c>
      <c r="C232" t="s">
        <v>133</v>
      </c>
      <c r="D232" t="s">
        <v>653</v>
      </c>
      <c r="F232" t="s">
        <v>1279</v>
      </c>
      <c r="G232" t="s">
        <v>1280</v>
      </c>
      <c r="H232" t="s">
        <v>879</v>
      </c>
      <c r="I232" t="s">
        <v>678</v>
      </c>
      <c r="J232" t="s">
        <v>658</v>
      </c>
      <c r="N232" t="s">
        <v>659</v>
      </c>
      <c r="O232" t="s">
        <v>1278</v>
      </c>
    </row>
    <row r="233" spans="1:15" ht="15" customHeight="1" x14ac:dyDescent="0.2">
      <c r="A233">
        <v>17</v>
      </c>
      <c r="B233" t="s">
        <v>133</v>
      </c>
      <c r="C233" t="s">
        <v>133</v>
      </c>
      <c r="D233" t="s">
        <v>653</v>
      </c>
      <c r="F233" t="s">
        <v>1281</v>
      </c>
      <c r="G233" t="s">
        <v>1282</v>
      </c>
      <c r="H233" t="s">
        <v>1160</v>
      </c>
      <c r="I233" t="s">
        <v>657</v>
      </c>
      <c r="J233" t="s">
        <v>658</v>
      </c>
      <c r="L233" t="s">
        <v>1283</v>
      </c>
      <c r="N233" t="s">
        <v>659</v>
      </c>
      <c r="O233" t="s">
        <v>1284</v>
      </c>
    </row>
    <row r="234" spans="1:15" ht="15" customHeight="1" x14ac:dyDescent="0.2">
      <c r="A234">
        <v>17</v>
      </c>
      <c r="B234" t="s">
        <v>133</v>
      </c>
      <c r="C234" t="s">
        <v>133</v>
      </c>
      <c r="D234" t="s">
        <v>653</v>
      </c>
      <c r="F234" t="s">
        <v>1285</v>
      </c>
      <c r="G234" t="s">
        <v>1286</v>
      </c>
      <c r="H234" t="s">
        <v>1160</v>
      </c>
      <c r="I234" t="s">
        <v>657</v>
      </c>
      <c r="J234" t="s">
        <v>658</v>
      </c>
      <c r="L234" t="s">
        <v>1283</v>
      </c>
      <c r="N234" t="s">
        <v>659</v>
      </c>
      <c r="O234" t="s">
        <v>1287</v>
      </c>
    </row>
    <row r="235" spans="1:15" ht="15" customHeight="1" x14ac:dyDescent="0.2">
      <c r="A235">
        <v>17</v>
      </c>
      <c r="B235" t="s">
        <v>133</v>
      </c>
      <c r="C235" t="s">
        <v>133</v>
      </c>
      <c r="D235" t="s">
        <v>653</v>
      </c>
      <c r="F235" t="s">
        <v>1288</v>
      </c>
      <c r="G235" t="s">
        <v>1289</v>
      </c>
      <c r="H235" t="s">
        <v>1160</v>
      </c>
      <c r="I235" t="s">
        <v>657</v>
      </c>
      <c r="J235" t="s">
        <v>663</v>
      </c>
      <c r="L235" t="s">
        <v>1283</v>
      </c>
      <c r="N235" t="s">
        <v>659</v>
      </c>
      <c r="O235">
        <v>89</v>
      </c>
    </row>
    <row r="236" spans="1:15" ht="15" customHeight="1" x14ac:dyDescent="0.2">
      <c r="A236">
        <v>17</v>
      </c>
      <c r="B236" t="s">
        <v>133</v>
      </c>
      <c r="C236" t="s">
        <v>133</v>
      </c>
      <c r="D236" t="s">
        <v>653</v>
      </c>
      <c r="F236" t="s">
        <v>1290</v>
      </c>
      <c r="G236" t="s">
        <v>1291</v>
      </c>
      <c r="H236" t="s">
        <v>1160</v>
      </c>
      <c r="I236" t="s">
        <v>657</v>
      </c>
      <c r="J236" t="s">
        <v>663</v>
      </c>
      <c r="L236" t="s">
        <v>1283</v>
      </c>
      <c r="N236" t="s">
        <v>659</v>
      </c>
      <c r="O236">
        <v>89</v>
      </c>
    </row>
    <row r="237" spans="1:15" ht="15" customHeight="1" x14ac:dyDescent="0.2">
      <c r="A237">
        <v>17</v>
      </c>
      <c r="B237" t="s">
        <v>133</v>
      </c>
      <c r="C237" t="s">
        <v>133</v>
      </c>
      <c r="D237" t="s">
        <v>653</v>
      </c>
      <c r="F237" t="s">
        <v>1292</v>
      </c>
      <c r="G237" t="s">
        <v>1293</v>
      </c>
      <c r="H237" t="s">
        <v>879</v>
      </c>
      <c r="I237" t="s">
        <v>678</v>
      </c>
      <c r="J237" t="s">
        <v>663</v>
      </c>
      <c r="N237" t="s">
        <v>659</v>
      </c>
      <c r="O237">
        <v>90</v>
      </c>
    </row>
    <row r="238" spans="1:15" ht="15" customHeight="1" x14ac:dyDescent="0.2">
      <c r="A238">
        <v>17</v>
      </c>
      <c r="B238" t="s">
        <v>133</v>
      </c>
      <c r="C238" t="s">
        <v>133</v>
      </c>
      <c r="D238" t="s">
        <v>653</v>
      </c>
      <c r="F238" t="s">
        <v>1294</v>
      </c>
      <c r="G238" t="s">
        <v>1295</v>
      </c>
      <c r="H238" t="s">
        <v>673</v>
      </c>
      <c r="I238" t="s">
        <v>657</v>
      </c>
      <c r="J238" t="s">
        <v>663</v>
      </c>
      <c r="N238" t="s">
        <v>659</v>
      </c>
      <c r="O238" t="s">
        <v>1296</v>
      </c>
    </row>
    <row r="239" spans="1:15" ht="15" customHeight="1" x14ac:dyDescent="0.2">
      <c r="A239">
        <v>17</v>
      </c>
      <c r="B239" t="s">
        <v>133</v>
      </c>
      <c r="C239" t="s">
        <v>133</v>
      </c>
      <c r="D239" t="s">
        <v>653</v>
      </c>
      <c r="F239" t="s">
        <v>1297</v>
      </c>
      <c r="G239" t="s">
        <v>1298</v>
      </c>
      <c r="H239" t="s">
        <v>1160</v>
      </c>
      <c r="I239" t="s">
        <v>657</v>
      </c>
      <c r="J239" t="s">
        <v>663</v>
      </c>
      <c r="L239" t="s">
        <v>1283</v>
      </c>
      <c r="N239" t="s">
        <v>659</v>
      </c>
      <c r="O239" t="s">
        <v>1299</v>
      </c>
    </row>
    <row r="240" spans="1:15" ht="15" customHeight="1" x14ac:dyDescent="0.2">
      <c r="A240">
        <v>18</v>
      </c>
      <c r="B240" t="s">
        <v>135</v>
      </c>
      <c r="C240" t="s">
        <v>135</v>
      </c>
      <c r="D240" t="s">
        <v>653</v>
      </c>
      <c r="F240" t="s">
        <v>1300</v>
      </c>
      <c r="G240" t="s">
        <v>1301</v>
      </c>
      <c r="H240" t="s">
        <v>1165</v>
      </c>
      <c r="I240" t="s">
        <v>657</v>
      </c>
      <c r="J240" t="s">
        <v>658</v>
      </c>
      <c r="N240" t="s">
        <v>659</v>
      </c>
      <c r="O240" t="s">
        <v>1302</v>
      </c>
    </row>
    <row r="241" spans="1:15" ht="15" customHeight="1" x14ac:dyDescent="0.2">
      <c r="A241">
        <v>18</v>
      </c>
      <c r="B241" t="s">
        <v>135</v>
      </c>
      <c r="C241" t="s">
        <v>135</v>
      </c>
      <c r="D241" t="s">
        <v>653</v>
      </c>
      <c r="F241" t="s">
        <v>1303</v>
      </c>
      <c r="G241" t="s">
        <v>1304</v>
      </c>
      <c r="H241" t="s">
        <v>1305</v>
      </c>
      <c r="I241" t="s">
        <v>657</v>
      </c>
      <c r="J241" t="s">
        <v>658</v>
      </c>
      <c r="N241" t="s">
        <v>659</v>
      </c>
      <c r="O241" t="s">
        <v>1306</v>
      </c>
    </row>
    <row r="242" spans="1:15" ht="15" customHeight="1" x14ac:dyDescent="0.2">
      <c r="A242">
        <v>18</v>
      </c>
      <c r="B242" t="s">
        <v>135</v>
      </c>
      <c r="C242" t="s">
        <v>135</v>
      </c>
      <c r="D242" t="s">
        <v>653</v>
      </c>
      <c r="F242" t="s">
        <v>1307</v>
      </c>
      <c r="G242" t="s">
        <v>1308</v>
      </c>
      <c r="H242" t="s">
        <v>1160</v>
      </c>
      <c r="I242" t="s">
        <v>657</v>
      </c>
      <c r="J242" t="s">
        <v>658</v>
      </c>
      <c r="N242" t="s">
        <v>659</v>
      </c>
      <c r="O242" t="s">
        <v>1309</v>
      </c>
    </row>
    <row r="243" spans="1:15" ht="15" customHeight="1" x14ac:dyDescent="0.2">
      <c r="A243">
        <v>18</v>
      </c>
      <c r="B243" t="s">
        <v>135</v>
      </c>
      <c r="C243" t="s">
        <v>135</v>
      </c>
      <c r="D243" t="s">
        <v>653</v>
      </c>
      <c r="F243" t="s">
        <v>1310</v>
      </c>
      <c r="G243" t="s">
        <v>1311</v>
      </c>
      <c r="H243" t="s">
        <v>1160</v>
      </c>
      <c r="I243" t="s">
        <v>657</v>
      </c>
      <c r="J243" t="s">
        <v>658</v>
      </c>
      <c r="K243" t="s">
        <v>685</v>
      </c>
      <c r="N243" t="s">
        <v>659</v>
      </c>
      <c r="O243" t="s">
        <v>1309</v>
      </c>
    </row>
    <row r="244" spans="1:15" ht="15" customHeight="1" x14ac:dyDescent="0.2">
      <c r="A244">
        <v>18</v>
      </c>
      <c r="B244" t="s">
        <v>135</v>
      </c>
      <c r="C244" t="s">
        <v>135</v>
      </c>
      <c r="D244" t="s">
        <v>653</v>
      </c>
      <c r="F244" t="s">
        <v>1312</v>
      </c>
      <c r="G244" t="s">
        <v>1313</v>
      </c>
      <c r="H244" t="s">
        <v>1163</v>
      </c>
      <c r="I244" t="s">
        <v>678</v>
      </c>
      <c r="J244" t="s">
        <v>658</v>
      </c>
      <c r="N244" t="s">
        <v>659</v>
      </c>
      <c r="O244" t="s">
        <v>1314</v>
      </c>
    </row>
    <row r="245" spans="1:15" ht="15" customHeight="1" x14ac:dyDescent="0.2">
      <c r="A245">
        <v>18</v>
      </c>
      <c r="B245" t="s">
        <v>135</v>
      </c>
      <c r="C245" t="s">
        <v>135</v>
      </c>
      <c r="D245" t="s">
        <v>653</v>
      </c>
      <c r="F245" t="s">
        <v>1315</v>
      </c>
      <c r="G245" t="s">
        <v>1316</v>
      </c>
      <c r="H245" t="s">
        <v>673</v>
      </c>
      <c r="I245" t="s">
        <v>657</v>
      </c>
      <c r="J245" t="s">
        <v>658</v>
      </c>
      <c r="N245" t="s">
        <v>659</v>
      </c>
      <c r="O245" t="s">
        <v>1317</v>
      </c>
    </row>
    <row r="246" spans="1:15" ht="15" customHeight="1" x14ac:dyDescent="0.2">
      <c r="A246">
        <v>18</v>
      </c>
      <c r="B246" t="s">
        <v>135</v>
      </c>
      <c r="C246" t="s">
        <v>135</v>
      </c>
      <c r="D246" t="s">
        <v>653</v>
      </c>
      <c r="F246" t="s">
        <v>1318</v>
      </c>
      <c r="G246" t="s">
        <v>1319</v>
      </c>
      <c r="H246" t="s">
        <v>673</v>
      </c>
      <c r="I246" t="s">
        <v>657</v>
      </c>
      <c r="J246" t="s">
        <v>658</v>
      </c>
      <c r="K246" t="s">
        <v>685</v>
      </c>
      <c r="N246" t="s">
        <v>659</v>
      </c>
      <c r="O246" t="s">
        <v>1320</v>
      </c>
    </row>
    <row r="247" spans="1:15" ht="15" customHeight="1" x14ac:dyDescent="0.2">
      <c r="A247">
        <v>18</v>
      </c>
      <c r="B247" t="s">
        <v>135</v>
      </c>
      <c r="C247" t="s">
        <v>135</v>
      </c>
      <c r="D247" t="s">
        <v>653</v>
      </c>
      <c r="F247" t="s">
        <v>1321</v>
      </c>
      <c r="G247" t="s">
        <v>1322</v>
      </c>
      <c r="H247" t="s">
        <v>1160</v>
      </c>
      <c r="I247" t="s">
        <v>657</v>
      </c>
      <c r="J247" t="s">
        <v>658</v>
      </c>
      <c r="N247" t="s">
        <v>659</v>
      </c>
      <c r="O247" t="s">
        <v>1323</v>
      </c>
    </row>
    <row r="248" spans="1:15" ht="15" customHeight="1" x14ac:dyDescent="0.2">
      <c r="A248">
        <v>18</v>
      </c>
      <c r="B248" t="s">
        <v>135</v>
      </c>
      <c r="C248" t="s">
        <v>135</v>
      </c>
      <c r="D248" t="s">
        <v>653</v>
      </c>
      <c r="F248" t="s">
        <v>1324</v>
      </c>
      <c r="G248" t="s">
        <v>1325</v>
      </c>
      <c r="H248" t="s">
        <v>1160</v>
      </c>
      <c r="I248" t="s">
        <v>657</v>
      </c>
      <c r="J248" t="s">
        <v>658</v>
      </c>
      <c r="N248" t="s">
        <v>659</v>
      </c>
      <c r="O248" t="s">
        <v>1323</v>
      </c>
    </row>
    <row r="249" spans="1:15" ht="15" customHeight="1" x14ac:dyDescent="0.2">
      <c r="A249">
        <v>18</v>
      </c>
      <c r="B249" t="s">
        <v>135</v>
      </c>
      <c r="C249" t="s">
        <v>135</v>
      </c>
      <c r="D249" t="s">
        <v>653</v>
      </c>
      <c r="F249" t="s">
        <v>1326</v>
      </c>
      <c r="G249" t="s">
        <v>1327</v>
      </c>
      <c r="H249" t="s">
        <v>656</v>
      </c>
      <c r="I249" t="s">
        <v>657</v>
      </c>
      <c r="J249" t="s">
        <v>658</v>
      </c>
      <c r="N249" t="s">
        <v>659</v>
      </c>
      <c r="O249" t="s">
        <v>1323</v>
      </c>
    </row>
    <row r="250" spans="1:15" ht="15" customHeight="1" x14ac:dyDescent="0.2">
      <c r="A250">
        <v>18</v>
      </c>
      <c r="B250" t="s">
        <v>135</v>
      </c>
      <c r="C250" t="s">
        <v>135</v>
      </c>
      <c r="D250" t="s">
        <v>653</v>
      </c>
      <c r="F250" t="s">
        <v>1328</v>
      </c>
      <c r="G250" t="s">
        <v>1329</v>
      </c>
      <c r="H250" t="s">
        <v>1163</v>
      </c>
      <c r="I250" t="s">
        <v>678</v>
      </c>
      <c r="J250" t="s">
        <v>658</v>
      </c>
      <c r="N250" t="s">
        <v>659</v>
      </c>
      <c r="O250" t="s">
        <v>1330</v>
      </c>
    </row>
    <row r="251" spans="1:15" ht="15" customHeight="1" x14ac:dyDescent="0.2">
      <c r="A251">
        <v>18</v>
      </c>
      <c r="B251" t="s">
        <v>135</v>
      </c>
      <c r="C251" t="s">
        <v>135</v>
      </c>
      <c r="D251" t="s">
        <v>653</v>
      </c>
      <c r="F251" t="s">
        <v>1331</v>
      </c>
      <c r="G251" t="s">
        <v>1332</v>
      </c>
      <c r="H251" t="s">
        <v>673</v>
      </c>
      <c r="I251" t="s">
        <v>657</v>
      </c>
      <c r="J251" t="s">
        <v>658</v>
      </c>
      <c r="N251" t="s">
        <v>659</v>
      </c>
      <c r="O251" t="s">
        <v>1330</v>
      </c>
    </row>
    <row r="252" spans="1:15" ht="15" customHeight="1" x14ac:dyDescent="0.2">
      <c r="A252">
        <v>18</v>
      </c>
      <c r="B252" t="s">
        <v>135</v>
      </c>
      <c r="C252" t="s">
        <v>135</v>
      </c>
      <c r="D252" t="s">
        <v>653</v>
      </c>
      <c r="F252" t="s">
        <v>1333</v>
      </c>
      <c r="G252" t="s">
        <v>1334</v>
      </c>
      <c r="H252" t="s">
        <v>673</v>
      </c>
      <c r="I252" t="s">
        <v>657</v>
      </c>
      <c r="J252" t="s">
        <v>663</v>
      </c>
      <c r="N252" t="s">
        <v>659</v>
      </c>
      <c r="O252" t="s">
        <v>1335</v>
      </c>
    </row>
    <row r="253" spans="1:15" ht="15" customHeight="1" x14ac:dyDescent="0.2">
      <c r="A253">
        <v>18</v>
      </c>
      <c r="B253" t="s">
        <v>135</v>
      </c>
      <c r="C253" t="s">
        <v>135</v>
      </c>
      <c r="D253" t="s">
        <v>653</v>
      </c>
      <c r="F253" t="s">
        <v>1336</v>
      </c>
      <c r="G253" t="s">
        <v>1337</v>
      </c>
      <c r="H253" t="s">
        <v>1160</v>
      </c>
      <c r="I253" t="s">
        <v>657</v>
      </c>
      <c r="J253" t="s">
        <v>663</v>
      </c>
      <c r="N253" t="s">
        <v>659</v>
      </c>
      <c r="O253" t="s">
        <v>1338</v>
      </c>
    </row>
    <row r="254" spans="1:15" ht="15" customHeight="1" x14ac:dyDescent="0.2">
      <c r="A254">
        <v>19</v>
      </c>
      <c r="B254" t="s">
        <v>137</v>
      </c>
      <c r="C254" t="s">
        <v>137</v>
      </c>
      <c r="D254" t="s">
        <v>653</v>
      </c>
      <c r="F254" t="s">
        <v>1339</v>
      </c>
      <c r="G254" t="s">
        <v>1340</v>
      </c>
      <c r="H254" t="s">
        <v>673</v>
      </c>
      <c r="I254" t="s">
        <v>657</v>
      </c>
      <c r="J254" t="s">
        <v>658</v>
      </c>
      <c r="N254" t="s">
        <v>659</v>
      </c>
      <c r="O254">
        <v>27</v>
      </c>
    </row>
    <row r="255" spans="1:15" ht="15" customHeight="1" x14ac:dyDescent="0.2">
      <c r="A255">
        <v>19</v>
      </c>
      <c r="B255" t="s">
        <v>137</v>
      </c>
      <c r="C255" t="s">
        <v>137</v>
      </c>
      <c r="D255" t="s">
        <v>653</v>
      </c>
      <c r="F255" t="s">
        <v>1341</v>
      </c>
      <c r="G255" t="s">
        <v>1342</v>
      </c>
      <c r="H255" t="s">
        <v>656</v>
      </c>
      <c r="I255" t="s">
        <v>657</v>
      </c>
      <c r="J255" t="s">
        <v>658</v>
      </c>
      <c r="K255" t="s">
        <v>685</v>
      </c>
      <c r="N255" t="s">
        <v>659</v>
      </c>
      <c r="O255" t="s">
        <v>1343</v>
      </c>
    </row>
    <row r="256" spans="1:15" ht="15" customHeight="1" x14ac:dyDescent="0.2">
      <c r="A256">
        <v>19</v>
      </c>
      <c r="B256" t="s">
        <v>137</v>
      </c>
      <c r="C256" t="s">
        <v>137</v>
      </c>
      <c r="D256" t="s">
        <v>653</v>
      </c>
      <c r="F256" t="s">
        <v>1344</v>
      </c>
      <c r="G256" t="s">
        <v>1345</v>
      </c>
      <c r="H256" t="s">
        <v>673</v>
      </c>
      <c r="I256" t="s">
        <v>657</v>
      </c>
      <c r="J256" t="s">
        <v>658</v>
      </c>
      <c r="K256" t="s">
        <v>685</v>
      </c>
      <c r="N256" t="s">
        <v>659</v>
      </c>
      <c r="O256" t="s">
        <v>1346</v>
      </c>
    </row>
    <row r="257" spans="1:15" ht="15" customHeight="1" x14ac:dyDescent="0.2">
      <c r="A257">
        <v>19</v>
      </c>
      <c r="B257" t="s">
        <v>137</v>
      </c>
      <c r="C257" t="s">
        <v>137</v>
      </c>
      <c r="D257" t="s">
        <v>653</v>
      </c>
      <c r="F257" t="s">
        <v>1347</v>
      </c>
      <c r="G257" t="s">
        <v>1348</v>
      </c>
      <c r="H257" t="s">
        <v>673</v>
      </c>
      <c r="I257" t="s">
        <v>657</v>
      </c>
      <c r="J257" t="s">
        <v>658</v>
      </c>
      <c r="K257" t="s">
        <v>685</v>
      </c>
      <c r="N257" t="s">
        <v>659</v>
      </c>
      <c r="O257" t="s">
        <v>1349</v>
      </c>
    </row>
    <row r="258" spans="1:15" ht="15" customHeight="1" x14ac:dyDescent="0.2">
      <c r="A258">
        <v>19</v>
      </c>
      <c r="B258" t="s">
        <v>137</v>
      </c>
      <c r="C258" t="s">
        <v>137</v>
      </c>
      <c r="D258" t="s">
        <v>653</v>
      </c>
      <c r="F258" t="s">
        <v>1350</v>
      </c>
      <c r="G258" t="s">
        <v>1351</v>
      </c>
      <c r="H258" t="s">
        <v>673</v>
      </c>
      <c r="I258" t="s">
        <v>657</v>
      </c>
      <c r="J258" t="s">
        <v>658</v>
      </c>
      <c r="K258" t="s">
        <v>685</v>
      </c>
      <c r="N258" t="s">
        <v>659</v>
      </c>
      <c r="O258" t="s">
        <v>1352</v>
      </c>
    </row>
    <row r="259" spans="1:15" ht="15" customHeight="1" x14ac:dyDescent="0.2">
      <c r="A259">
        <v>19</v>
      </c>
      <c r="B259" t="s">
        <v>137</v>
      </c>
      <c r="C259" t="s">
        <v>137</v>
      </c>
      <c r="D259" t="s">
        <v>653</v>
      </c>
      <c r="F259" t="s">
        <v>1353</v>
      </c>
      <c r="G259" t="s">
        <v>1354</v>
      </c>
      <c r="H259" t="s">
        <v>673</v>
      </c>
      <c r="I259" t="s">
        <v>657</v>
      </c>
      <c r="J259" t="s">
        <v>658</v>
      </c>
      <c r="K259" t="s">
        <v>685</v>
      </c>
      <c r="N259" t="s">
        <v>659</v>
      </c>
      <c r="O259" t="s">
        <v>1355</v>
      </c>
    </row>
    <row r="260" spans="1:15" ht="15" customHeight="1" x14ac:dyDescent="0.2">
      <c r="A260">
        <v>19</v>
      </c>
      <c r="B260" t="s">
        <v>137</v>
      </c>
      <c r="C260" t="s">
        <v>137</v>
      </c>
      <c r="D260" t="s">
        <v>653</v>
      </c>
      <c r="F260" t="s">
        <v>1356</v>
      </c>
      <c r="G260" t="s">
        <v>1357</v>
      </c>
      <c r="H260" t="s">
        <v>673</v>
      </c>
      <c r="I260" t="s">
        <v>657</v>
      </c>
      <c r="J260" t="s">
        <v>658</v>
      </c>
      <c r="K260" t="s">
        <v>685</v>
      </c>
      <c r="N260" t="s">
        <v>659</v>
      </c>
      <c r="O260">
        <v>28</v>
      </c>
    </row>
    <row r="261" spans="1:15" ht="15" customHeight="1" x14ac:dyDescent="0.2">
      <c r="A261">
        <v>19</v>
      </c>
      <c r="B261" t="s">
        <v>137</v>
      </c>
      <c r="C261" t="s">
        <v>137</v>
      </c>
      <c r="D261" t="s">
        <v>653</v>
      </c>
      <c r="F261" t="s">
        <v>1358</v>
      </c>
      <c r="G261" t="s">
        <v>1359</v>
      </c>
      <c r="H261" t="s">
        <v>673</v>
      </c>
      <c r="I261" t="s">
        <v>657</v>
      </c>
      <c r="J261" t="s">
        <v>658</v>
      </c>
      <c r="K261" t="s">
        <v>685</v>
      </c>
      <c r="N261" t="s">
        <v>659</v>
      </c>
      <c r="O261">
        <v>29</v>
      </c>
    </row>
    <row r="262" spans="1:15" ht="15" customHeight="1" x14ac:dyDescent="0.2">
      <c r="A262">
        <v>19</v>
      </c>
      <c r="B262" t="s">
        <v>137</v>
      </c>
      <c r="C262" t="s">
        <v>137</v>
      </c>
      <c r="D262" t="s">
        <v>653</v>
      </c>
      <c r="F262" t="s">
        <v>1360</v>
      </c>
      <c r="G262" t="s">
        <v>1361</v>
      </c>
      <c r="H262" t="s">
        <v>673</v>
      </c>
      <c r="I262" t="s">
        <v>657</v>
      </c>
      <c r="J262" t="s">
        <v>663</v>
      </c>
      <c r="K262" t="s">
        <v>685</v>
      </c>
      <c r="N262" t="s">
        <v>659</v>
      </c>
      <c r="O262">
        <v>29</v>
      </c>
    </row>
    <row r="263" spans="1:15" ht="15" customHeight="1" x14ac:dyDescent="0.2">
      <c r="A263">
        <v>19</v>
      </c>
      <c r="B263" t="s">
        <v>137</v>
      </c>
      <c r="C263" t="s">
        <v>137</v>
      </c>
      <c r="D263" t="s">
        <v>653</v>
      </c>
      <c r="F263" t="s">
        <v>1362</v>
      </c>
      <c r="G263" t="s">
        <v>1363</v>
      </c>
      <c r="H263" t="s">
        <v>673</v>
      </c>
      <c r="I263" t="s">
        <v>657</v>
      </c>
      <c r="J263" t="s">
        <v>663</v>
      </c>
      <c r="N263" t="s">
        <v>659</v>
      </c>
      <c r="O263" t="s">
        <v>735</v>
      </c>
    </row>
    <row r="264" spans="1:15" ht="15" customHeight="1" x14ac:dyDescent="0.2">
      <c r="A264">
        <v>19</v>
      </c>
      <c r="B264" t="s">
        <v>137</v>
      </c>
      <c r="C264" t="s">
        <v>137</v>
      </c>
      <c r="D264" t="s">
        <v>653</v>
      </c>
      <c r="F264" t="s">
        <v>1364</v>
      </c>
      <c r="G264" t="s">
        <v>1365</v>
      </c>
      <c r="H264" t="s">
        <v>673</v>
      </c>
      <c r="I264" t="s">
        <v>657</v>
      </c>
      <c r="J264" t="s">
        <v>663</v>
      </c>
      <c r="N264" t="s">
        <v>659</v>
      </c>
      <c r="O264" t="s">
        <v>738</v>
      </c>
    </row>
    <row r="265" spans="1:15" ht="15" customHeight="1" x14ac:dyDescent="0.2">
      <c r="A265">
        <v>19</v>
      </c>
      <c r="B265" t="s">
        <v>137</v>
      </c>
      <c r="C265" t="s">
        <v>137</v>
      </c>
      <c r="D265" t="s">
        <v>653</v>
      </c>
      <c r="F265" t="s">
        <v>1366</v>
      </c>
      <c r="G265" t="s">
        <v>1367</v>
      </c>
      <c r="H265" t="s">
        <v>673</v>
      </c>
      <c r="I265" t="s">
        <v>657</v>
      </c>
      <c r="J265" t="s">
        <v>663</v>
      </c>
      <c r="N265" t="s">
        <v>659</v>
      </c>
      <c r="O265" t="s">
        <v>1368</v>
      </c>
    </row>
    <row r="266" spans="1:15" ht="15" customHeight="1" x14ac:dyDescent="0.2">
      <c r="A266">
        <v>19</v>
      </c>
      <c r="B266" t="s">
        <v>137</v>
      </c>
      <c r="C266" t="s">
        <v>137</v>
      </c>
      <c r="D266" t="s">
        <v>653</v>
      </c>
      <c r="F266" t="s">
        <v>1369</v>
      </c>
      <c r="G266" t="s">
        <v>1370</v>
      </c>
      <c r="H266" t="s">
        <v>673</v>
      </c>
      <c r="I266" t="s">
        <v>657</v>
      </c>
      <c r="J266" t="s">
        <v>663</v>
      </c>
      <c r="N266" t="s">
        <v>659</v>
      </c>
      <c r="O266" t="s">
        <v>1371</v>
      </c>
    </row>
    <row r="267" spans="1:15" ht="15" customHeight="1" x14ac:dyDescent="0.2">
      <c r="A267">
        <v>19</v>
      </c>
      <c r="B267" t="s">
        <v>137</v>
      </c>
      <c r="C267" t="s">
        <v>137</v>
      </c>
      <c r="D267" t="s">
        <v>653</v>
      </c>
      <c r="F267" t="s">
        <v>1372</v>
      </c>
      <c r="G267" t="s">
        <v>1373</v>
      </c>
      <c r="H267" t="s">
        <v>673</v>
      </c>
      <c r="I267" t="s">
        <v>657</v>
      </c>
      <c r="J267" t="s">
        <v>663</v>
      </c>
      <c r="N267" t="s">
        <v>659</v>
      </c>
      <c r="O267" t="s">
        <v>1374</v>
      </c>
    </row>
    <row r="268" spans="1:15" ht="15" customHeight="1" x14ac:dyDescent="0.2">
      <c r="A268">
        <v>19</v>
      </c>
      <c r="B268" t="s">
        <v>137</v>
      </c>
      <c r="C268" t="s">
        <v>137</v>
      </c>
      <c r="D268" t="s">
        <v>653</v>
      </c>
      <c r="F268" t="s">
        <v>1375</v>
      </c>
      <c r="G268" t="s">
        <v>1376</v>
      </c>
      <c r="H268" t="s">
        <v>673</v>
      </c>
      <c r="I268" t="s">
        <v>657</v>
      </c>
      <c r="J268" t="s">
        <v>663</v>
      </c>
      <c r="K268" t="s">
        <v>685</v>
      </c>
      <c r="N268" t="s">
        <v>659</v>
      </c>
      <c r="O268" t="s">
        <v>1377</v>
      </c>
    </row>
    <row r="269" spans="1:15" ht="15" customHeight="1" x14ac:dyDescent="0.2">
      <c r="A269">
        <v>20</v>
      </c>
      <c r="B269" t="s">
        <v>139</v>
      </c>
      <c r="C269" t="s">
        <v>139</v>
      </c>
      <c r="D269" t="s">
        <v>653</v>
      </c>
      <c r="F269" t="s">
        <v>1378</v>
      </c>
      <c r="G269" t="s">
        <v>1379</v>
      </c>
      <c r="H269" t="s">
        <v>673</v>
      </c>
      <c r="I269" t="s">
        <v>657</v>
      </c>
      <c r="J269" t="s">
        <v>658</v>
      </c>
      <c r="N269" t="s">
        <v>659</v>
      </c>
      <c r="O269" t="s">
        <v>1380</v>
      </c>
    </row>
    <row r="270" spans="1:15" ht="15" customHeight="1" x14ac:dyDescent="0.2">
      <c r="A270">
        <v>20</v>
      </c>
      <c r="B270" t="s">
        <v>139</v>
      </c>
      <c r="C270" t="s">
        <v>139</v>
      </c>
      <c r="D270" t="s">
        <v>653</v>
      </c>
      <c r="F270" t="s">
        <v>1381</v>
      </c>
      <c r="G270" t="s">
        <v>1382</v>
      </c>
      <c r="H270" t="s">
        <v>673</v>
      </c>
      <c r="I270" t="s">
        <v>657</v>
      </c>
      <c r="J270" t="s">
        <v>658</v>
      </c>
      <c r="N270" t="s">
        <v>659</v>
      </c>
      <c r="O270" t="s">
        <v>1383</v>
      </c>
    </row>
    <row r="271" spans="1:15" ht="15" customHeight="1" x14ac:dyDescent="0.2">
      <c r="A271">
        <v>20</v>
      </c>
      <c r="B271" t="s">
        <v>139</v>
      </c>
      <c r="C271" t="s">
        <v>139</v>
      </c>
      <c r="D271" t="s">
        <v>653</v>
      </c>
      <c r="F271" t="s">
        <v>1384</v>
      </c>
      <c r="G271" t="s">
        <v>1385</v>
      </c>
      <c r="H271" t="s">
        <v>656</v>
      </c>
      <c r="I271" t="s">
        <v>657</v>
      </c>
      <c r="J271" t="s">
        <v>663</v>
      </c>
      <c r="N271" t="s">
        <v>659</v>
      </c>
      <c r="O271" t="s">
        <v>1386</v>
      </c>
    </row>
    <row r="272" spans="1:15" ht="15" customHeight="1" x14ac:dyDescent="0.2">
      <c r="A272">
        <v>20</v>
      </c>
      <c r="B272" t="s">
        <v>139</v>
      </c>
      <c r="C272" t="s">
        <v>139</v>
      </c>
      <c r="D272" t="s">
        <v>653</v>
      </c>
      <c r="F272" t="s">
        <v>1387</v>
      </c>
      <c r="G272" t="s">
        <v>1388</v>
      </c>
      <c r="H272" t="s">
        <v>673</v>
      </c>
      <c r="I272" t="s">
        <v>657</v>
      </c>
      <c r="J272" t="s">
        <v>663</v>
      </c>
      <c r="N272" t="s">
        <v>659</v>
      </c>
      <c r="O272" t="s">
        <v>1389</v>
      </c>
    </row>
    <row r="273" spans="1:15" ht="15" customHeight="1" x14ac:dyDescent="0.2">
      <c r="A273">
        <v>20</v>
      </c>
      <c r="B273" t="s">
        <v>139</v>
      </c>
      <c r="C273" t="s">
        <v>139</v>
      </c>
      <c r="D273" t="s">
        <v>653</v>
      </c>
      <c r="F273" t="s">
        <v>1390</v>
      </c>
      <c r="G273" t="s">
        <v>1391</v>
      </c>
      <c r="H273" t="s">
        <v>656</v>
      </c>
      <c r="I273" t="s">
        <v>657</v>
      </c>
      <c r="J273" t="s">
        <v>658</v>
      </c>
      <c r="N273" t="s">
        <v>659</v>
      </c>
      <c r="O273" t="s">
        <v>1392</v>
      </c>
    </row>
    <row r="274" spans="1:15" ht="15" customHeight="1" x14ac:dyDescent="0.2">
      <c r="A274">
        <v>20</v>
      </c>
      <c r="B274" t="s">
        <v>139</v>
      </c>
      <c r="C274" t="s">
        <v>139</v>
      </c>
      <c r="D274" t="s">
        <v>653</v>
      </c>
      <c r="F274" t="s">
        <v>1393</v>
      </c>
      <c r="G274" t="s">
        <v>1394</v>
      </c>
      <c r="H274" t="s">
        <v>673</v>
      </c>
      <c r="I274" t="s">
        <v>657</v>
      </c>
      <c r="J274" t="s">
        <v>658</v>
      </c>
      <c r="N274" t="s">
        <v>659</v>
      </c>
      <c r="O274" t="s">
        <v>1395</v>
      </c>
    </row>
    <row r="275" spans="1:15" ht="15" customHeight="1" x14ac:dyDescent="0.2">
      <c r="A275">
        <v>20</v>
      </c>
      <c r="B275" t="s">
        <v>139</v>
      </c>
      <c r="C275" t="s">
        <v>139</v>
      </c>
      <c r="D275" t="s">
        <v>653</v>
      </c>
      <c r="F275" t="s">
        <v>1396</v>
      </c>
      <c r="G275" t="s">
        <v>1397</v>
      </c>
      <c r="H275" t="s">
        <v>673</v>
      </c>
      <c r="I275" t="s">
        <v>657</v>
      </c>
      <c r="J275" t="s">
        <v>658</v>
      </c>
      <c r="N275" t="s">
        <v>659</v>
      </c>
      <c r="O275" t="s">
        <v>1398</v>
      </c>
    </row>
    <row r="276" spans="1:15" ht="15" customHeight="1" x14ac:dyDescent="0.2">
      <c r="A276">
        <v>20</v>
      </c>
      <c r="B276" t="s">
        <v>139</v>
      </c>
      <c r="C276" t="s">
        <v>139</v>
      </c>
      <c r="D276" t="s">
        <v>653</v>
      </c>
      <c r="F276" t="s">
        <v>1399</v>
      </c>
      <c r="G276" t="s">
        <v>1400</v>
      </c>
      <c r="H276" t="s">
        <v>673</v>
      </c>
      <c r="I276" t="s">
        <v>657</v>
      </c>
      <c r="J276" t="s">
        <v>658</v>
      </c>
      <c r="N276" t="s">
        <v>659</v>
      </c>
      <c r="O276">
        <v>33</v>
      </c>
    </row>
    <row r="277" spans="1:15" ht="15" customHeight="1" x14ac:dyDescent="0.2">
      <c r="A277">
        <v>20</v>
      </c>
      <c r="B277" t="s">
        <v>139</v>
      </c>
      <c r="C277" t="s">
        <v>139</v>
      </c>
      <c r="D277" t="s">
        <v>653</v>
      </c>
      <c r="F277" t="s">
        <v>1401</v>
      </c>
      <c r="G277" t="s">
        <v>1402</v>
      </c>
      <c r="H277" t="s">
        <v>656</v>
      </c>
      <c r="I277" t="s">
        <v>657</v>
      </c>
      <c r="J277" t="s">
        <v>658</v>
      </c>
      <c r="K277" t="s">
        <v>685</v>
      </c>
      <c r="N277" t="s">
        <v>659</v>
      </c>
      <c r="O277">
        <v>33</v>
      </c>
    </row>
    <row r="278" spans="1:15" ht="15" customHeight="1" x14ac:dyDescent="0.2">
      <c r="A278">
        <v>20</v>
      </c>
      <c r="B278" t="s">
        <v>139</v>
      </c>
      <c r="C278" t="s">
        <v>139</v>
      </c>
      <c r="D278" t="s">
        <v>653</v>
      </c>
      <c r="F278" t="s">
        <v>1403</v>
      </c>
      <c r="G278" t="s">
        <v>1404</v>
      </c>
      <c r="H278" t="s">
        <v>673</v>
      </c>
      <c r="I278" t="s">
        <v>657</v>
      </c>
      <c r="J278" t="s">
        <v>658</v>
      </c>
      <c r="K278" t="s">
        <v>685</v>
      </c>
      <c r="N278" t="s">
        <v>659</v>
      </c>
      <c r="O278">
        <v>34</v>
      </c>
    </row>
    <row r="279" spans="1:15" ht="15" customHeight="1" x14ac:dyDescent="0.2">
      <c r="A279">
        <v>20</v>
      </c>
      <c r="B279" t="s">
        <v>139</v>
      </c>
      <c r="C279" t="s">
        <v>139</v>
      </c>
      <c r="D279" t="s">
        <v>653</v>
      </c>
      <c r="F279" t="s">
        <v>1405</v>
      </c>
      <c r="G279" t="s">
        <v>1406</v>
      </c>
      <c r="H279" t="s">
        <v>673</v>
      </c>
      <c r="I279" t="s">
        <v>657</v>
      </c>
      <c r="J279" t="s">
        <v>663</v>
      </c>
      <c r="K279" t="s">
        <v>685</v>
      </c>
      <c r="N279" t="s">
        <v>659</v>
      </c>
      <c r="O279">
        <v>34</v>
      </c>
    </row>
    <row r="280" spans="1:15" ht="15" customHeight="1" x14ac:dyDescent="0.2">
      <c r="A280">
        <v>21</v>
      </c>
      <c r="B280" t="s">
        <v>141</v>
      </c>
      <c r="C280" t="s">
        <v>141</v>
      </c>
      <c r="D280" t="s">
        <v>653</v>
      </c>
      <c r="F280" t="s">
        <v>1407</v>
      </c>
      <c r="G280" t="s">
        <v>1408</v>
      </c>
      <c r="H280" t="s">
        <v>673</v>
      </c>
      <c r="I280" t="s">
        <v>657</v>
      </c>
      <c r="J280" t="s">
        <v>658</v>
      </c>
      <c r="N280" t="s">
        <v>659</v>
      </c>
      <c r="O280" t="s">
        <v>777</v>
      </c>
    </row>
    <row r="281" spans="1:15" ht="15" customHeight="1" x14ac:dyDescent="0.2">
      <c r="A281">
        <v>21</v>
      </c>
      <c r="B281" t="s">
        <v>141</v>
      </c>
      <c r="C281" t="s">
        <v>141</v>
      </c>
      <c r="D281" t="s">
        <v>653</v>
      </c>
      <c r="F281" t="s">
        <v>1409</v>
      </c>
      <c r="G281" t="s">
        <v>1410</v>
      </c>
      <c r="H281" t="s">
        <v>673</v>
      </c>
      <c r="I281" t="s">
        <v>657</v>
      </c>
      <c r="J281" t="s">
        <v>658</v>
      </c>
      <c r="N281" t="s">
        <v>659</v>
      </c>
      <c r="O281" t="s">
        <v>780</v>
      </c>
    </row>
    <row r="282" spans="1:15" ht="15" customHeight="1" x14ac:dyDescent="0.2">
      <c r="A282">
        <v>21</v>
      </c>
      <c r="B282" t="s">
        <v>141</v>
      </c>
      <c r="C282" t="s">
        <v>141</v>
      </c>
      <c r="D282" t="s">
        <v>653</v>
      </c>
      <c r="F282" t="s">
        <v>1411</v>
      </c>
      <c r="G282" t="s">
        <v>1412</v>
      </c>
      <c r="H282" t="s">
        <v>673</v>
      </c>
      <c r="I282" t="s">
        <v>657</v>
      </c>
      <c r="J282" t="s">
        <v>658</v>
      </c>
      <c r="N282" t="s">
        <v>659</v>
      </c>
      <c r="O282" t="s">
        <v>783</v>
      </c>
    </row>
    <row r="283" spans="1:15" ht="15" customHeight="1" x14ac:dyDescent="0.2">
      <c r="A283">
        <v>21</v>
      </c>
      <c r="B283" t="s">
        <v>141</v>
      </c>
      <c r="C283" t="s">
        <v>141</v>
      </c>
      <c r="D283" t="s">
        <v>653</v>
      </c>
      <c r="F283" t="s">
        <v>1413</v>
      </c>
      <c r="G283" t="s">
        <v>1414</v>
      </c>
      <c r="H283" t="s">
        <v>673</v>
      </c>
      <c r="I283" t="s">
        <v>657</v>
      </c>
      <c r="J283" t="s">
        <v>658</v>
      </c>
      <c r="N283" t="s">
        <v>659</v>
      </c>
      <c r="O283" t="s">
        <v>786</v>
      </c>
    </row>
    <row r="284" spans="1:15" ht="15" customHeight="1" x14ac:dyDescent="0.2">
      <c r="A284">
        <v>21</v>
      </c>
      <c r="B284" t="s">
        <v>141</v>
      </c>
      <c r="C284" t="s">
        <v>141</v>
      </c>
      <c r="D284" t="s">
        <v>653</v>
      </c>
      <c r="F284" t="s">
        <v>1415</v>
      </c>
      <c r="G284" t="s">
        <v>1416</v>
      </c>
      <c r="H284" t="s">
        <v>673</v>
      </c>
      <c r="I284" t="s">
        <v>657</v>
      </c>
      <c r="J284" t="s">
        <v>658</v>
      </c>
      <c r="N284" t="s">
        <v>659</v>
      </c>
      <c r="O284">
        <v>39</v>
      </c>
    </row>
    <row r="285" spans="1:15" ht="15" customHeight="1" x14ac:dyDescent="0.2">
      <c r="A285">
        <v>21</v>
      </c>
      <c r="B285" t="s">
        <v>141</v>
      </c>
      <c r="C285" t="s">
        <v>141</v>
      </c>
      <c r="D285" t="s">
        <v>653</v>
      </c>
      <c r="F285" t="s">
        <v>1417</v>
      </c>
      <c r="G285" t="s">
        <v>1418</v>
      </c>
      <c r="H285" t="s">
        <v>673</v>
      </c>
      <c r="I285" t="s">
        <v>657</v>
      </c>
      <c r="J285" t="s">
        <v>658</v>
      </c>
      <c r="N285" t="s">
        <v>659</v>
      </c>
      <c r="O285" t="s">
        <v>1419</v>
      </c>
    </row>
    <row r="286" spans="1:15" ht="15" customHeight="1" x14ac:dyDescent="0.2">
      <c r="A286">
        <v>21</v>
      </c>
      <c r="B286" t="s">
        <v>141</v>
      </c>
      <c r="C286" t="s">
        <v>141</v>
      </c>
      <c r="D286" t="s">
        <v>653</v>
      </c>
      <c r="F286" t="s">
        <v>1420</v>
      </c>
      <c r="G286" t="s">
        <v>1421</v>
      </c>
      <c r="H286" t="s">
        <v>673</v>
      </c>
      <c r="I286" t="s">
        <v>657</v>
      </c>
      <c r="J286" t="s">
        <v>658</v>
      </c>
      <c r="N286" t="s">
        <v>659</v>
      </c>
      <c r="O286" t="s">
        <v>1422</v>
      </c>
    </row>
    <row r="287" spans="1:15" ht="15" customHeight="1" x14ac:dyDescent="0.2">
      <c r="A287">
        <v>21</v>
      </c>
      <c r="B287" t="s">
        <v>141</v>
      </c>
      <c r="C287" t="s">
        <v>141</v>
      </c>
      <c r="D287" t="s">
        <v>653</v>
      </c>
      <c r="F287" t="s">
        <v>1423</v>
      </c>
      <c r="G287" t="s">
        <v>1424</v>
      </c>
      <c r="H287" t="s">
        <v>673</v>
      </c>
      <c r="I287" t="s">
        <v>657</v>
      </c>
      <c r="J287" t="s">
        <v>658</v>
      </c>
      <c r="N287" t="s">
        <v>659</v>
      </c>
      <c r="O287">
        <v>41</v>
      </c>
    </row>
    <row r="288" spans="1:15" ht="15" customHeight="1" x14ac:dyDescent="0.2">
      <c r="A288">
        <v>21</v>
      </c>
      <c r="B288" t="s">
        <v>141</v>
      </c>
      <c r="C288" t="s">
        <v>141</v>
      </c>
      <c r="D288" t="s">
        <v>653</v>
      </c>
      <c r="F288" t="s">
        <v>1425</v>
      </c>
      <c r="G288" t="s">
        <v>1426</v>
      </c>
      <c r="H288" t="s">
        <v>673</v>
      </c>
      <c r="I288" t="s">
        <v>657</v>
      </c>
      <c r="J288" t="s">
        <v>658</v>
      </c>
      <c r="N288" t="s">
        <v>659</v>
      </c>
      <c r="O288">
        <v>43</v>
      </c>
    </row>
    <row r="289" spans="1:15" ht="15" customHeight="1" x14ac:dyDescent="0.2">
      <c r="A289">
        <v>21</v>
      </c>
      <c r="B289" t="s">
        <v>141</v>
      </c>
      <c r="C289" t="s">
        <v>141</v>
      </c>
      <c r="D289" t="s">
        <v>653</v>
      </c>
      <c r="F289" t="s">
        <v>1427</v>
      </c>
      <c r="G289" t="s">
        <v>1428</v>
      </c>
      <c r="H289" t="s">
        <v>673</v>
      </c>
      <c r="I289" t="s">
        <v>657</v>
      </c>
      <c r="J289" t="s">
        <v>663</v>
      </c>
      <c r="N289" t="s">
        <v>659</v>
      </c>
      <c r="O289" t="s">
        <v>1429</v>
      </c>
    </row>
    <row r="290" spans="1:15" ht="15" customHeight="1" x14ac:dyDescent="0.2">
      <c r="A290">
        <v>21</v>
      </c>
      <c r="B290" t="s">
        <v>141</v>
      </c>
      <c r="C290" t="s">
        <v>141</v>
      </c>
      <c r="D290" t="s">
        <v>653</v>
      </c>
      <c r="F290" t="s">
        <v>1430</v>
      </c>
      <c r="G290" t="s">
        <v>1431</v>
      </c>
      <c r="H290" t="s">
        <v>673</v>
      </c>
      <c r="I290" t="s">
        <v>657</v>
      </c>
      <c r="J290" t="s">
        <v>663</v>
      </c>
      <c r="N290" t="s">
        <v>659</v>
      </c>
      <c r="O290" t="s">
        <v>1432</v>
      </c>
    </row>
    <row r="291" spans="1:15" ht="15" customHeight="1" x14ac:dyDescent="0.2">
      <c r="A291">
        <v>21</v>
      </c>
      <c r="B291" t="s">
        <v>141</v>
      </c>
      <c r="C291" t="s">
        <v>141</v>
      </c>
      <c r="D291" t="s">
        <v>653</v>
      </c>
      <c r="F291" t="s">
        <v>1433</v>
      </c>
      <c r="G291" t="s">
        <v>1434</v>
      </c>
      <c r="H291" t="s">
        <v>673</v>
      </c>
      <c r="I291" t="s">
        <v>657</v>
      </c>
      <c r="J291" t="s">
        <v>663</v>
      </c>
      <c r="N291" t="s">
        <v>659</v>
      </c>
      <c r="O291" t="s">
        <v>1435</v>
      </c>
    </row>
    <row r="292" spans="1:15" ht="15" customHeight="1" x14ac:dyDescent="0.2">
      <c r="A292">
        <v>21</v>
      </c>
      <c r="B292" t="s">
        <v>141</v>
      </c>
      <c r="C292" t="s">
        <v>141</v>
      </c>
      <c r="D292" t="s">
        <v>653</v>
      </c>
      <c r="F292" t="s">
        <v>1436</v>
      </c>
      <c r="G292" t="s">
        <v>1437</v>
      </c>
      <c r="H292" t="s">
        <v>673</v>
      </c>
      <c r="I292" t="s">
        <v>657</v>
      </c>
      <c r="J292" t="s">
        <v>663</v>
      </c>
      <c r="N292" t="s">
        <v>659</v>
      </c>
      <c r="O292" t="s">
        <v>1438</v>
      </c>
    </row>
    <row r="293" spans="1:15" ht="15" customHeight="1" x14ac:dyDescent="0.2">
      <c r="A293">
        <v>21</v>
      </c>
      <c r="B293" t="s">
        <v>141</v>
      </c>
      <c r="C293" t="s">
        <v>141</v>
      </c>
      <c r="D293" t="s">
        <v>653</v>
      </c>
      <c r="F293" t="s">
        <v>1439</v>
      </c>
      <c r="G293" t="s">
        <v>1440</v>
      </c>
      <c r="H293" t="s">
        <v>673</v>
      </c>
      <c r="I293" t="s">
        <v>657</v>
      </c>
      <c r="J293" t="s">
        <v>663</v>
      </c>
      <c r="N293" t="s">
        <v>659</v>
      </c>
      <c r="O293" t="s">
        <v>1441</v>
      </c>
    </row>
    <row r="294" spans="1:15" ht="15" customHeight="1" x14ac:dyDescent="0.2">
      <c r="A294">
        <v>21</v>
      </c>
      <c r="B294" t="s">
        <v>141</v>
      </c>
      <c r="C294" t="s">
        <v>141</v>
      </c>
      <c r="D294" t="s">
        <v>653</v>
      </c>
      <c r="F294" t="s">
        <v>1442</v>
      </c>
      <c r="G294" t="s">
        <v>1443</v>
      </c>
      <c r="H294" t="s">
        <v>673</v>
      </c>
      <c r="I294" t="s">
        <v>657</v>
      </c>
      <c r="J294" t="s">
        <v>663</v>
      </c>
      <c r="N294" t="s">
        <v>659</v>
      </c>
      <c r="O294" t="s">
        <v>1444</v>
      </c>
    </row>
    <row r="295" spans="1:15" ht="15" customHeight="1" x14ac:dyDescent="0.2">
      <c r="A295">
        <v>21</v>
      </c>
      <c r="B295" t="s">
        <v>141</v>
      </c>
      <c r="C295" t="s">
        <v>141</v>
      </c>
      <c r="D295" t="s">
        <v>653</v>
      </c>
      <c r="F295" t="s">
        <v>1445</v>
      </c>
      <c r="G295" t="s">
        <v>1446</v>
      </c>
      <c r="H295" t="s">
        <v>673</v>
      </c>
      <c r="I295" t="s">
        <v>657</v>
      </c>
      <c r="J295" t="s">
        <v>663</v>
      </c>
      <c r="N295" t="s">
        <v>659</v>
      </c>
      <c r="O295" t="s">
        <v>1447</v>
      </c>
    </row>
    <row r="296" spans="1:15" ht="15" customHeight="1" x14ac:dyDescent="0.2">
      <c r="A296">
        <v>21</v>
      </c>
      <c r="B296" t="s">
        <v>141</v>
      </c>
      <c r="C296" t="s">
        <v>141</v>
      </c>
      <c r="D296" t="s">
        <v>653</v>
      </c>
      <c r="F296" t="s">
        <v>1448</v>
      </c>
      <c r="G296" t="s">
        <v>1449</v>
      </c>
      <c r="H296" t="s">
        <v>673</v>
      </c>
      <c r="I296" t="s">
        <v>657</v>
      </c>
      <c r="J296" t="s">
        <v>663</v>
      </c>
      <c r="N296" t="s">
        <v>659</v>
      </c>
      <c r="O296" t="s">
        <v>1450</v>
      </c>
    </row>
    <row r="297" spans="1:15" ht="15" customHeight="1" x14ac:dyDescent="0.2">
      <c r="A297">
        <v>21</v>
      </c>
      <c r="B297" t="s">
        <v>141</v>
      </c>
      <c r="C297" t="s">
        <v>141</v>
      </c>
      <c r="D297" t="s">
        <v>653</v>
      </c>
      <c r="F297" t="s">
        <v>1451</v>
      </c>
      <c r="G297" t="s">
        <v>1452</v>
      </c>
      <c r="H297" t="s">
        <v>656</v>
      </c>
      <c r="I297" t="s">
        <v>657</v>
      </c>
      <c r="J297" t="s">
        <v>663</v>
      </c>
      <c r="N297" t="s">
        <v>659</v>
      </c>
      <c r="O297" t="s">
        <v>817</v>
      </c>
    </row>
    <row r="298" spans="1:15" ht="15" customHeight="1" x14ac:dyDescent="0.2">
      <c r="A298">
        <v>21</v>
      </c>
      <c r="B298" t="s">
        <v>141</v>
      </c>
      <c r="C298" t="s">
        <v>141</v>
      </c>
      <c r="D298" t="s">
        <v>653</v>
      </c>
      <c r="F298" t="s">
        <v>1453</v>
      </c>
      <c r="G298" t="s">
        <v>1454</v>
      </c>
      <c r="H298" t="s">
        <v>673</v>
      </c>
      <c r="I298" t="s">
        <v>657</v>
      </c>
      <c r="J298" t="s">
        <v>658</v>
      </c>
      <c r="K298" t="s">
        <v>685</v>
      </c>
      <c r="N298" t="s">
        <v>659</v>
      </c>
      <c r="O298" t="s">
        <v>1455</v>
      </c>
    </row>
    <row r="299" spans="1:15" ht="15" customHeight="1" x14ac:dyDescent="0.2">
      <c r="A299">
        <v>21</v>
      </c>
      <c r="B299" t="s">
        <v>141</v>
      </c>
      <c r="C299" t="s">
        <v>141</v>
      </c>
      <c r="D299" t="s">
        <v>653</v>
      </c>
      <c r="F299" t="s">
        <v>1456</v>
      </c>
      <c r="G299" t="s">
        <v>1457</v>
      </c>
      <c r="H299" t="s">
        <v>673</v>
      </c>
      <c r="I299" t="s">
        <v>657</v>
      </c>
      <c r="J299" t="s">
        <v>663</v>
      </c>
      <c r="N299" t="s">
        <v>659</v>
      </c>
      <c r="O299" t="s">
        <v>1458</v>
      </c>
    </row>
    <row r="300" spans="1:15" ht="15" customHeight="1" x14ac:dyDescent="0.2">
      <c r="A300">
        <v>22</v>
      </c>
      <c r="B300" t="s">
        <v>143</v>
      </c>
      <c r="C300" t="s">
        <v>143</v>
      </c>
      <c r="D300" t="s">
        <v>653</v>
      </c>
      <c r="F300" t="s">
        <v>1459</v>
      </c>
      <c r="G300" t="s">
        <v>1460</v>
      </c>
      <c r="H300" t="s">
        <v>1461</v>
      </c>
      <c r="I300" t="s">
        <v>657</v>
      </c>
      <c r="J300" t="s">
        <v>658</v>
      </c>
      <c r="N300" t="s">
        <v>659</v>
      </c>
      <c r="O300" t="s">
        <v>1462</v>
      </c>
    </row>
    <row r="301" spans="1:15" ht="15" customHeight="1" x14ac:dyDescent="0.2">
      <c r="A301">
        <v>22</v>
      </c>
      <c r="B301" t="s">
        <v>143</v>
      </c>
      <c r="C301" t="s">
        <v>143</v>
      </c>
      <c r="D301" t="s">
        <v>653</v>
      </c>
      <c r="F301" t="s">
        <v>1463</v>
      </c>
      <c r="G301" t="s">
        <v>1464</v>
      </c>
      <c r="H301" t="s">
        <v>1465</v>
      </c>
      <c r="I301" t="s">
        <v>657</v>
      </c>
      <c r="J301" t="s">
        <v>658</v>
      </c>
      <c r="K301" t="s">
        <v>820</v>
      </c>
      <c r="N301" t="s">
        <v>659</v>
      </c>
      <c r="O301" t="s">
        <v>1462</v>
      </c>
    </row>
    <row r="302" spans="1:15" ht="15" customHeight="1" x14ac:dyDescent="0.2">
      <c r="A302">
        <v>22</v>
      </c>
      <c r="B302" t="s">
        <v>143</v>
      </c>
      <c r="C302" t="s">
        <v>143</v>
      </c>
      <c r="D302" t="s">
        <v>653</v>
      </c>
      <c r="F302" t="s">
        <v>1466</v>
      </c>
      <c r="G302" t="s">
        <v>1467</v>
      </c>
      <c r="H302" t="s">
        <v>1465</v>
      </c>
      <c r="I302" t="s">
        <v>657</v>
      </c>
      <c r="J302" t="s">
        <v>658</v>
      </c>
      <c r="K302" t="s">
        <v>820</v>
      </c>
      <c r="N302" t="s">
        <v>659</v>
      </c>
      <c r="O302" t="s">
        <v>1462</v>
      </c>
    </row>
    <row r="303" spans="1:15" ht="15" customHeight="1" x14ac:dyDescent="0.2">
      <c r="A303">
        <v>22</v>
      </c>
      <c r="B303" t="s">
        <v>143</v>
      </c>
      <c r="C303" t="s">
        <v>143</v>
      </c>
      <c r="D303" t="s">
        <v>653</v>
      </c>
      <c r="F303" t="s">
        <v>1468</v>
      </c>
      <c r="G303" t="s">
        <v>1469</v>
      </c>
      <c r="H303" t="s">
        <v>1470</v>
      </c>
      <c r="I303" t="s">
        <v>657</v>
      </c>
      <c r="J303" t="s">
        <v>658</v>
      </c>
      <c r="N303" t="s">
        <v>659</v>
      </c>
      <c r="O303" t="s">
        <v>1462</v>
      </c>
    </row>
    <row r="304" spans="1:15" ht="15" customHeight="1" x14ac:dyDescent="0.2">
      <c r="A304">
        <v>22</v>
      </c>
      <c r="B304" t="s">
        <v>143</v>
      </c>
      <c r="C304" t="s">
        <v>143</v>
      </c>
      <c r="D304" t="s">
        <v>653</v>
      </c>
      <c r="F304" t="s">
        <v>1471</v>
      </c>
      <c r="G304" t="s">
        <v>1472</v>
      </c>
      <c r="H304" t="s">
        <v>1473</v>
      </c>
      <c r="I304" t="s">
        <v>657</v>
      </c>
      <c r="J304" t="s">
        <v>658</v>
      </c>
      <c r="K304" t="s">
        <v>820</v>
      </c>
      <c r="N304" t="s">
        <v>659</v>
      </c>
      <c r="O304" t="s">
        <v>1462</v>
      </c>
    </row>
    <row r="305" spans="1:15" ht="15" customHeight="1" x14ac:dyDescent="0.2">
      <c r="A305">
        <v>22</v>
      </c>
      <c r="B305" t="s">
        <v>143</v>
      </c>
      <c r="C305" t="s">
        <v>143</v>
      </c>
      <c r="D305" t="s">
        <v>653</v>
      </c>
      <c r="F305" t="s">
        <v>1474</v>
      </c>
      <c r="G305" t="s">
        <v>1475</v>
      </c>
      <c r="H305" t="s">
        <v>1473</v>
      </c>
      <c r="I305" t="s">
        <v>657</v>
      </c>
      <c r="J305" t="s">
        <v>658</v>
      </c>
      <c r="K305" t="s">
        <v>820</v>
      </c>
      <c r="N305" t="s">
        <v>659</v>
      </c>
      <c r="O305" t="s">
        <v>1462</v>
      </c>
    </row>
    <row r="306" spans="1:15" ht="15" customHeight="1" x14ac:dyDescent="0.2">
      <c r="A306">
        <v>22</v>
      </c>
      <c r="B306" t="s">
        <v>143</v>
      </c>
      <c r="C306" t="s">
        <v>143</v>
      </c>
      <c r="D306" t="s">
        <v>653</v>
      </c>
      <c r="F306" t="s">
        <v>1476</v>
      </c>
      <c r="G306" t="s">
        <v>1477</v>
      </c>
      <c r="H306" t="s">
        <v>1478</v>
      </c>
      <c r="I306" t="s">
        <v>657</v>
      </c>
      <c r="J306" t="s">
        <v>658</v>
      </c>
      <c r="N306" t="s">
        <v>659</v>
      </c>
      <c r="O306" t="s">
        <v>1479</v>
      </c>
    </row>
    <row r="307" spans="1:15" ht="15" customHeight="1" x14ac:dyDescent="0.2">
      <c r="A307">
        <v>22</v>
      </c>
      <c r="B307" t="s">
        <v>143</v>
      </c>
      <c r="C307" t="s">
        <v>143</v>
      </c>
      <c r="D307" t="s">
        <v>653</v>
      </c>
      <c r="F307" t="s">
        <v>1480</v>
      </c>
      <c r="G307" t="s">
        <v>1481</v>
      </c>
      <c r="H307" t="s">
        <v>1478</v>
      </c>
      <c r="I307" t="s">
        <v>657</v>
      </c>
      <c r="J307" t="s">
        <v>663</v>
      </c>
      <c r="N307" t="s">
        <v>659</v>
      </c>
      <c r="O307">
        <v>51</v>
      </c>
    </row>
    <row r="308" spans="1:15" ht="15" customHeight="1" x14ac:dyDescent="0.2">
      <c r="A308">
        <v>22</v>
      </c>
      <c r="B308" t="s">
        <v>143</v>
      </c>
      <c r="C308" t="s">
        <v>143</v>
      </c>
      <c r="D308" t="s">
        <v>653</v>
      </c>
      <c r="F308" t="s">
        <v>1482</v>
      </c>
      <c r="G308" t="s">
        <v>1483</v>
      </c>
      <c r="H308" t="s">
        <v>1484</v>
      </c>
      <c r="I308" t="s">
        <v>657</v>
      </c>
      <c r="J308" t="s">
        <v>658</v>
      </c>
      <c r="K308" t="s">
        <v>820</v>
      </c>
      <c r="N308" t="s">
        <v>659</v>
      </c>
      <c r="O308" t="s">
        <v>1485</v>
      </c>
    </row>
    <row r="309" spans="1:15" ht="15" customHeight="1" x14ac:dyDescent="0.2">
      <c r="A309">
        <v>22</v>
      </c>
      <c r="B309" t="s">
        <v>143</v>
      </c>
      <c r="C309" t="s">
        <v>143</v>
      </c>
      <c r="D309" t="s">
        <v>653</v>
      </c>
      <c r="F309" t="s">
        <v>1486</v>
      </c>
      <c r="G309" t="s">
        <v>1487</v>
      </c>
      <c r="H309" t="s">
        <v>1484</v>
      </c>
      <c r="I309" t="s">
        <v>657</v>
      </c>
      <c r="J309" t="s">
        <v>658</v>
      </c>
      <c r="K309" t="s">
        <v>820</v>
      </c>
      <c r="N309" t="s">
        <v>659</v>
      </c>
      <c r="O309" t="s">
        <v>1485</v>
      </c>
    </row>
    <row r="310" spans="1:15" ht="15" customHeight="1" x14ac:dyDescent="0.2">
      <c r="A310">
        <v>22</v>
      </c>
      <c r="B310" t="s">
        <v>143</v>
      </c>
      <c r="C310" t="s">
        <v>143</v>
      </c>
      <c r="D310" t="s">
        <v>653</v>
      </c>
      <c r="F310" t="s">
        <v>1488</v>
      </c>
      <c r="G310" t="s">
        <v>1489</v>
      </c>
      <c r="H310" t="s">
        <v>1490</v>
      </c>
      <c r="I310" t="s">
        <v>657</v>
      </c>
      <c r="J310" t="s">
        <v>658</v>
      </c>
      <c r="N310" t="s">
        <v>659</v>
      </c>
      <c r="O310" t="s">
        <v>1491</v>
      </c>
    </row>
    <row r="311" spans="1:15" ht="15" customHeight="1" x14ac:dyDescent="0.2">
      <c r="A311">
        <v>22</v>
      </c>
      <c r="B311" t="s">
        <v>143</v>
      </c>
      <c r="C311" t="s">
        <v>143</v>
      </c>
      <c r="D311" t="s">
        <v>653</v>
      </c>
      <c r="F311" t="s">
        <v>1492</v>
      </c>
      <c r="G311" t="s">
        <v>1493</v>
      </c>
      <c r="H311" t="s">
        <v>879</v>
      </c>
      <c r="I311" t="s">
        <v>678</v>
      </c>
      <c r="J311" t="s">
        <v>658</v>
      </c>
      <c r="N311" t="s">
        <v>659</v>
      </c>
      <c r="O311" t="s">
        <v>1491</v>
      </c>
    </row>
    <row r="312" spans="1:15" ht="15" customHeight="1" x14ac:dyDescent="0.2">
      <c r="A312">
        <v>22</v>
      </c>
      <c r="B312" t="s">
        <v>143</v>
      </c>
      <c r="C312" t="s">
        <v>143</v>
      </c>
      <c r="D312" t="s">
        <v>653</v>
      </c>
      <c r="F312" t="s">
        <v>1494</v>
      </c>
      <c r="G312" t="s">
        <v>1495</v>
      </c>
      <c r="H312" t="s">
        <v>673</v>
      </c>
      <c r="I312" t="s">
        <v>657</v>
      </c>
      <c r="J312" t="s">
        <v>658</v>
      </c>
      <c r="N312" t="s">
        <v>659</v>
      </c>
      <c r="O312" t="s">
        <v>1496</v>
      </c>
    </row>
    <row r="313" spans="1:15" ht="15" customHeight="1" x14ac:dyDescent="0.2">
      <c r="A313">
        <v>22</v>
      </c>
      <c r="B313" t="s">
        <v>143</v>
      </c>
      <c r="C313" t="s">
        <v>143</v>
      </c>
      <c r="D313" t="s">
        <v>653</v>
      </c>
      <c r="F313" t="s">
        <v>1497</v>
      </c>
      <c r="G313" t="s">
        <v>1498</v>
      </c>
      <c r="H313" t="s">
        <v>656</v>
      </c>
      <c r="I313" t="s">
        <v>657</v>
      </c>
      <c r="J313" t="s">
        <v>658</v>
      </c>
      <c r="N313" t="s">
        <v>659</v>
      </c>
      <c r="O313" t="s">
        <v>1499</v>
      </c>
    </row>
    <row r="314" spans="1:15" ht="15" customHeight="1" x14ac:dyDescent="0.2">
      <c r="A314">
        <v>22</v>
      </c>
      <c r="B314" t="s">
        <v>143</v>
      </c>
      <c r="C314" t="s">
        <v>143</v>
      </c>
      <c r="D314" t="s">
        <v>653</v>
      </c>
      <c r="F314" t="s">
        <v>1500</v>
      </c>
      <c r="G314" t="s">
        <v>1501</v>
      </c>
      <c r="H314" t="s">
        <v>656</v>
      </c>
      <c r="I314" t="s">
        <v>657</v>
      </c>
      <c r="J314" t="s">
        <v>658</v>
      </c>
      <c r="N314" t="s">
        <v>659</v>
      </c>
      <c r="O314" t="s">
        <v>1502</v>
      </c>
    </row>
    <row r="315" spans="1:15" ht="15" customHeight="1" x14ac:dyDescent="0.2">
      <c r="A315">
        <v>22</v>
      </c>
      <c r="B315" t="s">
        <v>143</v>
      </c>
      <c r="C315" t="s">
        <v>143</v>
      </c>
      <c r="D315" t="s">
        <v>653</v>
      </c>
      <c r="F315" t="s">
        <v>1503</v>
      </c>
      <c r="G315" t="s">
        <v>1504</v>
      </c>
      <c r="H315" t="s">
        <v>673</v>
      </c>
      <c r="I315" t="s">
        <v>657</v>
      </c>
      <c r="J315" t="s">
        <v>658</v>
      </c>
      <c r="K315" t="s">
        <v>685</v>
      </c>
      <c r="N315" t="s">
        <v>659</v>
      </c>
      <c r="O315" t="s">
        <v>1505</v>
      </c>
    </row>
    <row r="316" spans="1:15" ht="15" customHeight="1" x14ac:dyDescent="0.2">
      <c r="A316">
        <v>22</v>
      </c>
      <c r="B316" t="s">
        <v>143</v>
      </c>
      <c r="C316" t="s">
        <v>143</v>
      </c>
      <c r="D316" t="s">
        <v>653</v>
      </c>
      <c r="F316" t="s">
        <v>1506</v>
      </c>
      <c r="G316" t="s">
        <v>1507</v>
      </c>
      <c r="H316" t="s">
        <v>673</v>
      </c>
      <c r="I316" t="s">
        <v>657</v>
      </c>
      <c r="J316" t="s">
        <v>658</v>
      </c>
      <c r="N316" t="s">
        <v>659</v>
      </c>
      <c r="O316" t="s">
        <v>1508</v>
      </c>
    </row>
    <row r="317" spans="1:15" ht="15" customHeight="1" x14ac:dyDescent="0.2">
      <c r="A317">
        <v>22</v>
      </c>
      <c r="B317" t="s">
        <v>143</v>
      </c>
      <c r="C317" t="s">
        <v>143</v>
      </c>
      <c r="D317" t="s">
        <v>653</v>
      </c>
      <c r="F317" t="s">
        <v>1509</v>
      </c>
      <c r="G317" t="s">
        <v>1510</v>
      </c>
      <c r="H317" t="s">
        <v>1511</v>
      </c>
      <c r="I317" t="s">
        <v>657</v>
      </c>
      <c r="J317" t="s">
        <v>663</v>
      </c>
      <c r="N317" t="s">
        <v>659</v>
      </c>
      <c r="O317">
        <v>52</v>
      </c>
    </row>
    <row r="318" spans="1:15" ht="15" customHeight="1" x14ac:dyDescent="0.2">
      <c r="A318">
        <v>22</v>
      </c>
      <c r="B318" t="s">
        <v>143</v>
      </c>
      <c r="C318" t="s">
        <v>143</v>
      </c>
      <c r="D318" t="s">
        <v>653</v>
      </c>
      <c r="F318" t="s">
        <v>1512</v>
      </c>
      <c r="G318" t="s">
        <v>1513</v>
      </c>
      <c r="H318" t="s">
        <v>1514</v>
      </c>
      <c r="I318" t="s">
        <v>657</v>
      </c>
      <c r="J318" t="s">
        <v>663</v>
      </c>
      <c r="N318" t="s">
        <v>659</v>
      </c>
      <c r="O318" t="s">
        <v>1515</v>
      </c>
    </row>
    <row r="319" spans="1:15" ht="15" customHeight="1" x14ac:dyDescent="0.2">
      <c r="A319">
        <v>22</v>
      </c>
      <c r="B319" t="s">
        <v>143</v>
      </c>
      <c r="C319" t="s">
        <v>143</v>
      </c>
      <c r="D319" t="s">
        <v>653</v>
      </c>
      <c r="F319" t="s">
        <v>1516</v>
      </c>
      <c r="G319" t="s">
        <v>1517</v>
      </c>
      <c r="H319" t="s">
        <v>1514</v>
      </c>
      <c r="I319" t="s">
        <v>657</v>
      </c>
      <c r="J319" t="s">
        <v>663</v>
      </c>
      <c r="N319" t="s">
        <v>659</v>
      </c>
      <c r="O319" t="s">
        <v>1518</v>
      </c>
    </row>
    <row r="320" spans="1:15" ht="15" customHeight="1" x14ac:dyDescent="0.2">
      <c r="A320">
        <v>23</v>
      </c>
      <c r="B320" t="s">
        <v>145</v>
      </c>
      <c r="C320" t="s">
        <v>145</v>
      </c>
      <c r="D320" t="s">
        <v>653</v>
      </c>
      <c r="F320" t="s">
        <v>1519</v>
      </c>
      <c r="G320" t="s">
        <v>1520</v>
      </c>
      <c r="H320" t="s">
        <v>1305</v>
      </c>
      <c r="I320" t="s">
        <v>657</v>
      </c>
      <c r="J320" t="s">
        <v>658</v>
      </c>
      <c r="N320" t="s">
        <v>659</v>
      </c>
      <c r="O320" t="s">
        <v>1521</v>
      </c>
    </row>
    <row r="321" spans="1:15" ht="15" customHeight="1" x14ac:dyDescent="0.2">
      <c r="A321">
        <v>23</v>
      </c>
      <c r="B321" t="s">
        <v>145</v>
      </c>
      <c r="C321" t="s">
        <v>145</v>
      </c>
      <c r="D321" t="s">
        <v>653</v>
      </c>
      <c r="F321" t="s">
        <v>1522</v>
      </c>
      <c r="G321" t="s">
        <v>1523</v>
      </c>
      <c r="H321" t="s">
        <v>1524</v>
      </c>
      <c r="I321" t="s">
        <v>678</v>
      </c>
      <c r="J321" t="s">
        <v>658</v>
      </c>
      <c r="N321" t="s">
        <v>659</v>
      </c>
      <c r="O321" t="s">
        <v>1525</v>
      </c>
    </row>
    <row r="322" spans="1:15" ht="15" customHeight="1" x14ac:dyDescent="0.2">
      <c r="A322">
        <v>23</v>
      </c>
      <c r="B322" t="s">
        <v>145</v>
      </c>
      <c r="C322" t="s">
        <v>145</v>
      </c>
      <c r="D322" t="s">
        <v>653</v>
      </c>
      <c r="F322" t="s">
        <v>1526</v>
      </c>
      <c r="G322" t="s">
        <v>1527</v>
      </c>
      <c r="H322" t="s">
        <v>1528</v>
      </c>
      <c r="I322" t="s">
        <v>678</v>
      </c>
      <c r="J322" t="s">
        <v>658</v>
      </c>
      <c r="N322" t="s">
        <v>659</v>
      </c>
      <c r="O322" t="s">
        <v>1529</v>
      </c>
    </row>
    <row r="323" spans="1:15" ht="15" customHeight="1" x14ac:dyDescent="0.2">
      <c r="A323">
        <v>23</v>
      </c>
      <c r="B323" t="s">
        <v>145</v>
      </c>
      <c r="C323" t="s">
        <v>145</v>
      </c>
      <c r="D323" t="s">
        <v>653</v>
      </c>
      <c r="F323" t="s">
        <v>1530</v>
      </c>
      <c r="G323" t="s">
        <v>1531</v>
      </c>
      <c r="H323" t="s">
        <v>1528</v>
      </c>
      <c r="I323" t="s">
        <v>678</v>
      </c>
      <c r="J323" t="s">
        <v>658</v>
      </c>
      <c r="N323" t="s">
        <v>659</v>
      </c>
      <c r="O323" t="s">
        <v>1529</v>
      </c>
    </row>
    <row r="324" spans="1:15" ht="15" customHeight="1" x14ac:dyDescent="0.2">
      <c r="A324">
        <v>23</v>
      </c>
      <c r="B324" t="s">
        <v>145</v>
      </c>
      <c r="C324" t="s">
        <v>145</v>
      </c>
      <c r="D324" t="s">
        <v>653</v>
      </c>
      <c r="F324" t="s">
        <v>1532</v>
      </c>
      <c r="G324" t="s">
        <v>1533</v>
      </c>
      <c r="H324" t="s">
        <v>1528</v>
      </c>
      <c r="I324" t="s">
        <v>678</v>
      </c>
      <c r="J324" t="s">
        <v>658</v>
      </c>
      <c r="N324" t="s">
        <v>659</v>
      </c>
      <c r="O324" t="s">
        <v>1529</v>
      </c>
    </row>
    <row r="325" spans="1:15" ht="15" customHeight="1" x14ac:dyDescent="0.2">
      <c r="A325">
        <v>23</v>
      </c>
      <c r="B325" t="s">
        <v>145</v>
      </c>
      <c r="C325" t="s">
        <v>145</v>
      </c>
      <c r="D325" t="s">
        <v>653</v>
      </c>
      <c r="F325" t="s">
        <v>1534</v>
      </c>
      <c r="G325" t="s">
        <v>1535</v>
      </c>
      <c r="H325" t="s">
        <v>673</v>
      </c>
      <c r="I325" t="s">
        <v>657</v>
      </c>
      <c r="J325" t="s">
        <v>658</v>
      </c>
      <c r="K325" t="s">
        <v>685</v>
      </c>
      <c r="N325" t="s">
        <v>659</v>
      </c>
      <c r="O325" t="s">
        <v>1536</v>
      </c>
    </row>
    <row r="326" spans="1:15" ht="15" customHeight="1" x14ac:dyDescent="0.2">
      <c r="A326">
        <v>24</v>
      </c>
      <c r="B326" t="s">
        <v>147</v>
      </c>
      <c r="C326" t="s">
        <v>147</v>
      </c>
      <c r="D326" t="s">
        <v>653</v>
      </c>
      <c r="F326" t="s">
        <v>1537</v>
      </c>
      <c r="G326" t="s">
        <v>1538</v>
      </c>
      <c r="H326" t="s">
        <v>673</v>
      </c>
      <c r="I326" t="s">
        <v>657</v>
      </c>
      <c r="J326" t="s">
        <v>658</v>
      </c>
      <c r="N326" t="s">
        <v>659</v>
      </c>
      <c r="O326">
        <v>17</v>
      </c>
    </row>
    <row r="327" spans="1:15" ht="15" customHeight="1" x14ac:dyDescent="0.2">
      <c r="A327">
        <v>24</v>
      </c>
      <c r="B327" t="s">
        <v>147</v>
      </c>
      <c r="C327" t="s">
        <v>147</v>
      </c>
      <c r="D327" t="s">
        <v>653</v>
      </c>
      <c r="F327" t="s">
        <v>1539</v>
      </c>
      <c r="G327" t="s">
        <v>1540</v>
      </c>
      <c r="H327" t="s">
        <v>673</v>
      </c>
      <c r="I327" t="s">
        <v>657</v>
      </c>
      <c r="J327" t="s">
        <v>658</v>
      </c>
      <c r="N327" t="s">
        <v>659</v>
      </c>
      <c r="O327" t="s">
        <v>1541</v>
      </c>
    </row>
    <row r="328" spans="1:15" ht="15" customHeight="1" x14ac:dyDescent="0.2">
      <c r="A328">
        <v>24</v>
      </c>
      <c r="B328" t="s">
        <v>147</v>
      </c>
      <c r="C328" t="s">
        <v>147</v>
      </c>
      <c r="D328" t="s">
        <v>653</v>
      </c>
      <c r="F328" t="s">
        <v>1542</v>
      </c>
      <c r="G328" t="s">
        <v>1543</v>
      </c>
      <c r="H328" t="s">
        <v>673</v>
      </c>
      <c r="I328" t="s">
        <v>657</v>
      </c>
      <c r="J328" t="s">
        <v>658</v>
      </c>
      <c r="N328" t="s">
        <v>659</v>
      </c>
      <c r="O328" t="s">
        <v>1544</v>
      </c>
    </row>
    <row r="329" spans="1:15" ht="15" customHeight="1" x14ac:dyDescent="0.2">
      <c r="A329">
        <v>24</v>
      </c>
      <c r="B329" t="s">
        <v>147</v>
      </c>
      <c r="C329" t="s">
        <v>147</v>
      </c>
      <c r="D329" t="s">
        <v>653</v>
      </c>
      <c r="F329" t="s">
        <v>1545</v>
      </c>
      <c r="G329" t="s">
        <v>1222</v>
      </c>
      <c r="H329" t="s">
        <v>673</v>
      </c>
      <c r="I329" t="s">
        <v>657</v>
      </c>
      <c r="J329" t="s">
        <v>658</v>
      </c>
      <c r="N329" t="s">
        <v>659</v>
      </c>
      <c r="O329" t="s">
        <v>1546</v>
      </c>
    </row>
    <row r="330" spans="1:15" ht="15" customHeight="1" x14ac:dyDescent="0.2">
      <c r="A330">
        <v>24</v>
      </c>
      <c r="B330" t="s">
        <v>147</v>
      </c>
      <c r="C330" t="s">
        <v>147</v>
      </c>
      <c r="D330" t="s">
        <v>653</v>
      </c>
      <c r="F330" t="s">
        <v>1547</v>
      </c>
      <c r="G330" t="s">
        <v>1226</v>
      </c>
      <c r="H330" t="s">
        <v>656</v>
      </c>
      <c r="I330" t="s">
        <v>657</v>
      </c>
      <c r="J330" t="s">
        <v>658</v>
      </c>
      <c r="N330" t="s">
        <v>659</v>
      </c>
      <c r="O330">
        <v>18</v>
      </c>
    </row>
    <row r="331" spans="1:15" ht="15" customHeight="1" x14ac:dyDescent="0.2">
      <c r="A331">
        <v>24</v>
      </c>
      <c r="B331" t="s">
        <v>147</v>
      </c>
      <c r="C331" t="s">
        <v>147</v>
      </c>
      <c r="D331" t="s">
        <v>653</v>
      </c>
      <c r="F331" t="s">
        <v>1548</v>
      </c>
      <c r="G331" t="s">
        <v>1549</v>
      </c>
      <c r="H331" t="s">
        <v>656</v>
      </c>
      <c r="I331" t="s">
        <v>657</v>
      </c>
      <c r="J331" t="s">
        <v>658</v>
      </c>
      <c r="N331" t="s">
        <v>659</v>
      </c>
      <c r="O331">
        <v>18</v>
      </c>
    </row>
    <row r="332" spans="1:15" ht="15" customHeight="1" x14ac:dyDescent="0.2">
      <c r="A332">
        <v>24</v>
      </c>
      <c r="B332" t="s">
        <v>147</v>
      </c>
      <c r="C332" t="s">
        <v>147</v>
      </c>
      <c r="D332" t="s">
        <v>653</v>
      </c>
      <c r="F332" t="s">
        <v>1550</v>
      </c>
      <c r="G332" t="s">
        <v>1551</v>
      </c>
      <c r="H332" t="s">
        <v>656</v>
      </c>
      <c r="I332" t="s">
        <v>657</v>
      </c>
      <c r="J332" t="s">
        <v>663</v>
      </c>
      <c r="N332" t="s">
        <v>659</v>
      </c>
      <c r="O332" t="s">
        <v>1552</v>
      </c>
    </row>
    <row r="333" spans="1:15" ht="15" customHeight="1" x14ac:dyDescent="0.2">
      <c r="A333">
        <v>24</v>
      </c>
      <c r="B333" t="s">
        <v>147</v>
      </c>
      <c r="C333" t="s">
        <v>147</v>
      </c>
      <c r="D333" t="s">
        <v>653</v>
      </c>
      <c r="F333" t="s">
        <v>1553</v>
      </c>
      <c r="G333" t="s">
        <v>1224</v>
      </c>
      <c r="H333" t="s">
        <v>673</v>
      </c>
      <c r="I333" t="s">
        <v>657</v>
      </c>
      <c r="J333" t="s">
        <v>658</v>
      </c>
      <c r="N333" t="s">
        <v>659</v>
      </c>
      <c r="O333">
        <v>19</v>
      </c>
    </row>
    <row r="334" spans="1:15" ht="15" customHeight="1" x14ac:dyDescent="0.2">
      <c r="A334">
        <v>24</v>
      </c>
      <c r="B334" t="s">
        <v>147</v>
      </c>
      <c r="C334" t="s">
        <v>147</v>
      </c>
      <c r="D334" t="s">
        <v>653</v>
      </c>
      <c r="F334" t="s">
        <v>1554</v>
      </c>
      <c r="G334" t="s">
        <v>1555</v>
      </c>
      <c r="H334" t="s">
        <v>673</v>
      </c>
      <c r="I334" t="s">
        <v>657</v>
      </c>
      <c r="J334" t="s">
        <v>658</v>
      </c>
      <c r="N334" t="s">
        <v>659</v>
      </c>
      <c r="O334">
        <v>19</v>
      </c>
    </row>
    <row r="335" spans="1:15" ht="15" customHeight="1" x14ac:dyDescent="0.2">
      <c r="A335">
        <v>24</v>
      </c>
      <c r="B335" t="s">
        <v>147</v>
      </c>
      <c r="C335" t="s">
        <v>147</v>
      </c>
      <c r="D335" t="s">
        <v>653</v>
      </c>
      <c r="F335" t="s">
        <v>1556</v>
      </c>
      <c r="G335" t="s">
        <v>1212</v>
      </c>
      <c r="H335" t="s">
        <v>673</v>
      </c>
      <c r="I335" t="s">
        <v>657</v>
      </c>
      <c r="J335" t="s">
        <v>663</v>
      </c>
      <c r="N335" t="s">
        <v>659</v>
      </c>
      <c r="O335" t="s">
        <v>1557</v>
      </c>
    </row>
    <row r="336" spans="1:15" ht="15" customHeight="1" x14ac:dyDescent="0.2">
      <c r="A336">
        <v>24</v>
      </c>
      <c r="B336" t="s">
        <v>147</v>
      </c>
      <c r="C336" t="s">
        <v>147</v>
      </c>
      <c r="D336" t="s">
        <v>653</v>
      </c>
      <c r="F336" t="s">
        <v>1558</v>
      </c>
      <c r="G336" t="s">
        <v>1242</v>
      </c>
      <c r="H336" t="s">
        <v>673</v>
      </c>
      <c r="I336" t="s">
        <v>657</v>
      </c>
      <c r="J336" t="s">
        <v>663</v>
      </c>
      <c r="N336" t="s">
        <v>659</v>
      </c>
      <c r="O336" t="s">
        <v>1559</v>
      </c>
    </row>
    <row r="337" spans="1:15" ht="15" customHeight="1" x14ac:dyDescent="0.2">
      <c r="A337">
        <v>25</v>
      </c>
      <c r="B337" t="s">
        <v>149</v>
      </c>
      <c r="C337" t="s">
        <v>149</v>
      </c>
      <c r="D337" t="s">
        <v>653</v>
      </c>
      <c r="F337" t="s">
        <v>1560</v>
      </c>
      <c r="G337" t="s">
        <v>1561</v>
      </c>
      <c r="H337" t="s">
        <v>673</v>
      </c>
      <c r="I337" t="s">
        <v>657</v>
      </c>
      <c r="J337" t="s">
        <v>658</v>
      </c>
      <c r="N337" t="s">
        <v>659</v>
      </c>
      <c r="O337">
        <v>22</v>
      </c>
    </row>
    <row r="338" spans="1:15" ht="27.75" customHeight="1" x14ac:dyDescent="0.2">
      <c r="A338">
        <v>25</v>
      </c>
      <c r="B338" t="s">
        <v>149</v>
      </c>
      <c r="C338" t="s">
        <v>149</v>
      </c>
      <c r="D338" t="s">
        <v>653</v>
      </c>
      <c r="F338" t="s">
        <v>1562</v>
      </c>
      <c r="G338" s="62" t="s">
        <v>1563</v>
      </c>
      <c r="H338" t="s">
        <v>656</v>
      </c>
      <c r="I338" t="s">
        <v>657</v>
      </c>
      <c r="J338" t="s">
        <v>658</v>
      </c>
      <c r="K338" t="s">
        <v>685</v>
      </c>
      <c r="N338" t="s">
        <v>659</v>
      </c>
      <c r="O338" t="s">
        <v>1564</v>
      </c>
    </row>
    <row r="339" spans="1:15" ht="15" customHeight="1" x14ac:dyDescent="0.2">
      <c r="A339">
        <v>25</v>
      </c>
      <c r="B339" t="s">
        <v>149</v>
      </c>
      <c r="C339" t="s">
        <v>149</v>
      </c>
      <c r="D339" t="s">
        <v>653</v>
      </c>
      <c r="F339" t="s">
        <v>1565</v>
      </c>
      <c r="G339" t="s">
        <v>1345</v>
      </c>
      <c r="H339" t="s">
        <v>673</v>
      </c>
      <c r="I339" t="s">
        <v>657</v>
      </c>
      <c r="J339" t="s">
        <v>658</v>
      </c>
      <c r="K339" t="s">
        <v>685</v>
      </c>
      <c r="N339" t="s">
        <v>659</v>
      </c>
      <c r="O339" t="s">
        <v>1566</v>
      </c>
    </row>
    <row r="340" spans="1:15" ht="15" customHeight="1" x14ac:dyDescent="0.2">
      <c r="A340">
        <v>25</v>
      </c>
      <c r="B340" t="s">
        <v>149</v>
      </c>
      <c r="C340" t="s">
        <v>149</v>
      </c>
      <c r="D340" t="s">
        <v>653</v>
      </c>
      <c r="F340" t="s">
        <v>1567</v>
      </c>
      <c r="G340" t="s">
        <v>1568</v>
      </c>
      <c r="H340" t="s">
        <v>673</v>
      </c>
      <c r="I340" t="s">
        <v>657</v>
      </c>
      <c r="J340" t="s">
        <v>658</v>
      </c>
      <c r="K340" t="s">
        <v>685</v>
      </c>
      <c r="N340" t="s">
        <v>659</v>
      </c>
      <c r="O340" t="s">
        <v>1569</v>
      </c>
    </row>
    <row r="341" spans="1:15" ht="15" customHeight="1" x14ac:dyDescent="0.2">
      <c r="A341">
        <v>25</v>
      </c>
      <c r="B341" t="s">
        <v>149</v>
      </c>
      <c r="C341" t="s">
        <v>149</v>
      </c>
      <c r="D341" t="s">
        <v>653</v>
      </c>
      <c r="F341" t="s">
        <v>1570</v>
      </c>
      <c r="G341" t="s">
        <v>1351</v>
      </c>
      <c r="H341" t="s">
        <v>673</v>
      </c>
      <c r="I341" t="s">
        <v>657</v>
      </c>
      <c r="J341" t="s">
        <v>658</v>
      </c>
      <c r="K341" t="s">
        <v>685</v>
      </c>
      <c r="N341" t="s">
        <v>659</v>
      </c>
      <c r="O341" t="s">
        <v>1571</v>
      </c>
    </row>
    <row r="342" spans="1:15" ht="15" customHeight="1" x14ac:dyDescent="0.2">
      <c r="A342">
        <v>25</v>
      </c>
      <c r="B342" t="s">
        <v>149</v>
      </c>
      <c r="C342" t="s">
        <v>149</v>
      </c>
      <c r="D342" t="s">
        <v>653</v>
      </c>
      <c r="F342" t="s">
        <v>1572</v>
      </c>
      <c r="G342" t="s">
        <v>1573</v>
      </c>
      <c r="H342" t="s">
        <v>673</v>
      </c>
      <c r="I342" t="s">
        <v>657</v>
      </c>
      <c r="J342" t="s">
        <v>658</v>
      </c>
      <c r="K342" t="s">
        <v>685</v>
      </c>
      <c r="N342" t="s">
        <v>659</v>
      </c>
      <c r="O342" t="s">
        <v>1574</v>
      </c>
    </row>
    <row r="343" spans="1:15" ht="15" customHeight="1" x14ac:dyDescent="0.2">
      <c r="A343">
        <v>25</v>
      </c>
      <c r="B343" t="s">
        <v>149</v>
      </c>
      <c r="C343" t="s">
        <v>149</v>
      </c>
      <c r="D343" t="s">
        <v>653</v>
      </c>
      <c r="F343" t="s">
        <v>1575</v>
      </c>
      <c r="G343" t="s">
        <v>1576</v>
      </c>
      <c r="H343" t="s">
        <v>673</v>
      </c>
      <c r="I343" t="s">
        <v>657</v>
      </c>
      <c r="J343" t="s">
        <v>658</v>
      </c>
      <c r="K343" t="s">
        <v>685</v>
      </c>
      <c r="N343" t="s">
        <v>659</v>
      </c>
      <c r="O343">
        <v>23</v>
      </c>
    </row>
    <row r="344" spans="1:15" ht="15" customHeight="1" x14ac:dyDescent="0.2">
      <c r="A344">
        <v>25</v>
      </c>
      <c r="B344" t="s">
        <v>149</v>
      </c>
      <c r="C344" t="s">
        <v>149</v>
      </c>
      <c r="D344" t="s">
        <v>653</v>
      </c>
      <c r="F344" t="s">
        <v>1577</v>
      </c>
      <c r="G344" t="s">
        <v>1578</v>
      </c>
      <c r="H344" t="s">
        <v>673</v>
      </c>
      <c r="I344" t="s">
        <v>657</v>
      </c>
      <c r="J344" t="s">
        <v>658</v>
      </c>
      <c r="K344" t="s">
        <v>685</v>
      </c>
      <c r="N344" t="s">
        <v>659</v>
      </c>
      <c r="O344">
        <v>24</v>
      </c>
    </row>
    <row r="345" spans="1:15" ht="15" customHeight="1" x14ac:dyDescent="0.2">
      <c r="A345">
        <v>25</v>
      </c>
      <c r="B345" t="s">
        <v>149</v>
      </c>
      <c r="C345" t="s">
        <v>149</v>
      </c>
      <c r="D345" t="s">
        <v>653</v>
      </c>
      <c r="F345" t="s">
        <v>1579</v>
      </c>
      <c r="G345" t="s">
        <v>1580</v>
      </c>
      <c r="H345" t="s">
        <v>673</v>
      </c>
      <c r="I345" t="s">
        <v>657</v>
      </c>
      <c r="J345" t="s">
        <v>663</v>
      </c>
      <c r="K345" t="s">
        <v>685</v>
      </c>
      <c r="N345" t="s">
        <v>659</v>
      </c>
      <c r="O345">
        <v>24</v>
      </c>
    </row>
    <row r="346" spans="1:15" ht="15" customHeight="1" x14ac:dyDescent="0.2">
      <c r="A346">
        <v>26</v>
      </c>
      <c r="B346" t="s">
        <v>151</v>
      </c>
      <c r="C346" t="s">
        <v>151</v>
      </c>
      <c r="D346" t="s">
        <v>653</v>
      </c>
      <c r="F346" t="s">
        <v>1581</v>
      </c>
      <c r="G346" t="s">
        <v>1582</v>
      </c>
      <c r="H346" t="s">
        <v>673</v>
      </c>
      <c r="I346" t="s">
        <v>657</v>
      </c>
      <c r="J346" t="s">
        <v>658</v>
      </c>
      <c r="N346" t="s">
        <v>659</v>
      </c>
      <c r="O346" t="s">
        <v>1583</v>
      </c>
    </row>
    <row r="347" spans="1:15" ht="15" customHeight="1" x14ac:dyDescent="0.2">
      <c r="A347">
        <v>26</v>
      </c>
      <c r="B347" t="s">
        <v>151</v>
      </c>
      <c r="C347" t="s">
        <v>151</v>
      </c>
      <c r="D347" t="s">
        <v>653</v>
      </c>
      <c r="F347" t="s">
        <v>1584</v>
      </c>
      <c r="G347" t="s">
        <v>1585</v>
      </c>
      <c r="H347" t="s">
        <v>673</v>
      </c>
      <c r="I347" t="s">
        <v>657</v>
      </c>
      <c r="J347" t="s">
        <v>658</v>
      </c>
      <c r="N347" t="s">
        <v>659</v>
      </c>
      <c r="O347" t="s">
        <v>1586</v>
      </c>
    </row>
    <row r="348" spans="1:15" ht="15" customHeight="1" x14ac:dyDescent="0.2">
      <c r="A348">
        <v>26</v>
      </c>
      <c r="B348" t="s">
        <v>151</v>
      </c>
      <c r="C348" t="s">
        <v>151</v>
      </c>
      <c r="D348" t="s">
        <v>653</v>
      </c>
      <c r="F348" t="s">
        <v>1587</v>
      </c>
      <c r="G348" t="s">
        <v>1394</v>
      </c>
      <c r="H348" t="s">
        <v>673</v>
      </c>
      <c r="I348" t="s">
        <v>657</v>
      </c>
      <c r="J348" t="s">
        <v>658</v>
      </c>
      <c r="N348" t="s">
        <v>659</v>
      </c>
      <c r="O348" t="s">
        <v>1588</v>
      </c>
    </row>
    <row r="349" spans="1:15" ht="15" customHeight="1" x14ac:dyDescent="0.2">
      <c r="A349">
        <v>26</v>
      </c>
      <c r="B349" t="s">
        <v>151</v>
      </c>
      <c r="C349" t="s">
        <v>151</v>
      </c>
      <c r="D349" t="s">
        <v>653</v>
      </c>
      <c r="F349" t="s">
        <v>1589</v>
      </c>
      <c r="G349" t="s">
        <v>1397</v>
      </c>
      <c r="H349" t="s">
        <v>673</v>
      </c>
      <c r="I349" t="s">
        <v>657</v>
      </c>
      <c r="J349" t="s">
        <v>658</v>
      </c>
      <c r="N349" t="s">
        <v>659</v>
      </c>
      <c r="O349" t="s">
        <v>1590</v>
      </c>
    </row>
    <row r="350" spans="1:15" ht="15" customHeight="1" x14ac:dyDescent="0.2">
      <c r="A350">
        <v>26</v>
      </c>
      <c r="B350" t="s">
        <v>151</v>
      </c>
      <c r="C350" t="s">
        <v>151</v>
      </c>
      <c r="D350" t="s">
        <v>653</v>
      </c>
      <c r="F350" t="s">
        <v>1591</v>
      </c>
      <c r="G350" t="s">
        <v>1592</v>
      </c>
      <c r="H350" t="s">
        <v>673</v>
      </c>
      <c r="I350" t="s">
        <v>657</v>
      </c>
      <c r="J350" t="s">
        <v>658</v>
      </c>
      <c r="N350" t="s">
        <v>659</v>
      </c>
      <c r="O350">
        <v>28</v>
      </c>
    </row>
    <row r="351" spans="1:15" ht="15" customHeight="1" x14ac:dyDescent="0.2">
      <c r="A351">
        <v>26</v>
      </c>
      <c r="B351" t="s">
        <v>151</v>
      </c>
      <c r="C351" t="s">
        <v>151</v>
      </c>
      <c r="D351" t="s">
        <v>653</v>
      </c>
      <c r="F351" t="s">
        <v>1593</v>
      </c>
      <c r="G351" t="s">
        <v>1402</v>
      </c>
      <c r="H351" t="s">
        <v>656</v>
      </c>
      <c r="I351" t="s">
        <v>657</v>
      </c>
      <c r="J351" t="s">
        <v>658</v>
      </c>
      <c r="N351" t="s">
        <v>659</v>
      </c>
      <c r="O351">
        <v>28</v>
      </c>
    </row>
    <row r="352" spans="1:15" ht="15" customHeight="1" x14ac:dyDescent="0.2">
      <c r="A352">
        <v>26</v>
      </c>
      <c r="B352" t="s">
        <v>151</v>
      </c>
      <c r="C352" t="s">
        <v>151</v>
      </c>
      <c r="D352" t="s">
        <v>653</v>
      </c>
      <c r="F352" t="s">
        <v>1594</v>
      </c>
      <c r="G352" t="s">
        <v>1404</v>
      </c>
      <c r="H352" t="s">
        <v>673</v>
      </c>
      <c r="I352" t="s">
        <v>657</v>
      </c>
      <c r="J352" t="s">
        <v>658</v>
      </c>
      <c r="N352" t="s">
        <v>659</v>
      </c>
      <c r="O352">
        <v>29</v>
      </c>
    </row>
    <row r="353" spans="1:15" ht="15" customHeight="1" x14ac:dyDescent="0.2">
      <c r="A353">
        <v>26</v>
      </c>
      <c r="B353" t="s">
        <v>151</v>
      </c>
      <c r="C353" t="s">
        <v>151</v>
      </c>
      <c r="D353" t="s">
        <v>653</v>
      </c>
      <c r="F353" t="s">
        <v>1595</v>
      </c>
      <c r="G353" t="s">
        <v>1406</v>
      </c>
      <c r="H353" t="s">
        <v>673</v>
      </c>
      <c r="I353" t="s">
        <v>657</v>
      </c>
      <c r="J353" t="s">
        <v>663</v>
      </c>
      <c r="K353" t="s">
        <v>685</v>
      </c>
      <c r="N353" t="s">
        <v>659</v>
      </c>
      <c r="O353">
        <v>29</v>
      </c>
    </row>
    <row r="354" spans="1:15" ht="15" customHeight="1" x14ac:dyDescent="0.2">
      <c r="A354">
        <v>26</v>
      </c>
      <c r="B354" t="s">
        <v>151</v>
      </c>
      <c r="C354" t="s">
        <v>151</v>
      </c>
      <c r="D354" t="s">
        <v>653</v>
      </c>
      <c r="F354" t="s">
        <v>1596</v>
      </c>
      <c r="G354" t="s">
        <v>1597</v>
      </c>
      <c r="H354" t="s">
        <v>673</v>
      </c>
      <c r="I354" t="s">
        <v>657</v>
      </c>
      <c r="J354" t="s">
        <v>663</v>
      </c>
      <c r="N354" t="s">
        <v>659</v>
      </c>
      <c r="O354" t="s">
        <v>1598</v>
      </c>
    </row>
    <row r="355" spans="1:15" ht="15" customHeight="1" x14ac:dyDescent="0.2">
      <c r="A355">
        <v>26</v>
      </c>
      <c r="B355" t="s">
        <v>151</v>
      </c>
      <c r="C355" t="s">
        <v>151</v>
      </c>
      <c r="D355" t="s">
        <v>653</v>
      </c>
      <c r="F355" t="s">
        <v>1599</v>
      </c>
      <c r="G355" t="s">
        <v>1600</v>
      </c>
      <c r="H355" t="s">
        <v>656</v>
      </c>
      <c r="I355" t="s">
        <v>657</v>
      </c>
      <c r="J355" t="s">
        <v>663</v>
      </c>
      <c r="N355" t="s">
        <v>659</v>
      </c>
      <c r="O355" t="s">
        <v>1601</v>
      </c>
    </row>
    <row r="356" spans="1:15" ht="15" customHeight="1" x14ac:dyDescent="0.2">
      <c r="A356">
        <v>26</v>
      </c>
      <c r="B356" t="s">
        <v>151</v>
      </c>
      <c r="C356" t="s">
        <v>151</v>
      </c>
      <c r="D356" t="s">
        <v>653</v>
      </c>
      <c r="F356" t="s">
        <v>1602</v>
      </c>
      <c r="G356" t="s">
        <v>1603</v>
      </c>
      <c r="H356" t="s">
        <v>656</v>
      </c>
      <c r="I356" t="s">
        <v>657</v>
      </c>
      <c r="J356" t="s">
        <v>663</v>
      </c>
      <c r="N356" t="s">
        <v>659</v>
      </c>
      <c r="O356" t="s">
        <v>1058</v>
      </c>
    </row>
    <row r="357" spans="1:15" ht="15" customHeight="1" x14ac:dyDescent="0.2">
      <c r="A357">
        <v>26</v>
      </c>
      <c r="B357" t="s">
        <v>151</v>
      </c>
      <c r="C357" t="s">
        <v>151</v>
      </c>
      <c r="D357" t="s">
        <v>653</v>
      </c>
      <c r="F357" t="s">
        <v>1604</v>
      </c>
      <c r="G357" t="s">
        <v>1605</v>
      </c>
      <c r="H357" t="s">
        <v>656</v>
      </c>
      <c r="I357" t="s">
        <v>657</v>
      </c>
      <c r="J357" t="s">
        <v>663</v>
      </c>
      <c r="N357" t="s">
        <v>659</v>
      </c>
      <c r="O357" t="s">
        <v>1058</v>
      </c>
    </row>
    <row r="358" spans="1:15" ht="15" customHeight="1" x14ac:dyDescent="0.2">
      <c r="A358">
        <v>27</v>
      </c>
      <c r="B358" t="s">
        <v>330</v>
      </c>
      <c r="C358" t="s">
        <v>153</v>
      </c>
      <c r="D358" t="s">
        <v>189</v>
      </c>
      <c r="F358" t="s">
        <v>1606</v>
      </c>
      <c r="G358" t="s">
        <v>1607</v>
      </c>
      <c r="H358" t="s">
        <v>673</v>
      </c>
      <c r="I358" t="s">
        <v>657</v>
      </c>
      <c r="J358" t="s">
        <v>658</v>
      </c>
      <c r="N358" t="s">
        <v>659</v>
      </c>
      <c r="O358" t="s">
        <v>1608</v>
      </c>
    </row>
    <row r="359" spans="1:15" ht="15" customHeight="1" x14ac:dyDescent="0.2">
      <c r="A359">
        <v>27</v>
      </c>
      <c r="B359" t="s">
        <v>330</v>
      </c>
      <c r="C359" t="s">
        <v>153</v>
      </c>
      <c r="D359" t="s">
        <v>189</v>
      </c>
      <c r="F359" t="s">
        <v>1609</v>
      </c>
      <c r="G359" t="s">
        <v>1610</v>
      </c>
      <c r="H359" t="s">
        <v>673</v>
      </c>
      <c r="I359" t="s">
        <v>657</v>
      </c>
      <c r="J359" t="s">
        <v>658</v>
      </c>
      <c r="N359" t="s">
        <v>659</v>
      </c>
      <c r="O359" t="s">
        <v>1611</v>
      </c>
    </row>
    <row r="360" spans="1:15" ht="15" customHeight="1" x14ac:dyDescent="0.2">
      <c r="A360">
        <v>27</v>
      </c>
      <c r="B360" t="s">
        <v>330</v>
      </c>
      <c r="C360" t="s">
        <v>153</v>
      </c>
      <c r="D360" t="s">
        <v>189</v>
      </c>
      <c r="F360" t="s">
        <v>1612</v>
      </c>
      <c r="G360" t="s">
        <v>1613</v>
      </c>
      <c r="H360" t="s">
        <v>673</v>
      </c>
      <c r="I360" t="s">
        <v>657</v>
      </c>
      <c r="J360" t="s">
        <v>658</v>
      </c>
      <c r="N360" t="s">
        <v>659</v>
      </c>
      <c r="O360" t="s">
        <v>1614</v>
      </c>
    </row>
    <row r="361" spans="1:15" ht="15" customHeight="1" x14ac:dyDescent="0.2">
      <c r="A361">
        <v>27</v>
      </c>
      <c r="B361" t="s">
        <v>330</v>
      </c>
      <c r="C361" t="s">
        <v>153</v>
      </c>
      <c r="D361" t="s">
        <v>189</v>
      </c>
      <c r="F361" t="s">
        <v>1615</v>
      </c>
      <c r="G361" t="s">
        <v>1616</v>
      </c>
      <c r="H361" t="s">
        <v>673</v>
      </c>
      <c r="I361" t="s">
        <v>657</v>
      </c>
      <c r="J361" t="s">
        <v>658</v>
      </c>
      <c r="N361" t="s">
        <v>659</v>
      </c>
      <c r="O361" t="s">
        <v>1617</v>
      </c>
    </row>
    <row r="362" spans="1:15" ht="15" customHeight="1" x14ac:dyDescent="0.2">
      <c r="A362">
        <v>27</v>
      </c>
      <c r="B362" t="s">
        <v>330</v>
      </c>
      <c r="C362" t="s">
        <v>153</v>
      </c>
      <c r="D362" t="s">
        <v>189</v>
      </c>
      <c r="F362" t="s">
        <v>1618</v>
      </c>
      <c r="G362" t="s">
        <v>1619</v>
      </c>
      <c r="H362" t="s">
        <v>673</v>
      </c>
      <c r="I362" t="s">
        <v>657</v>
      </c>
      <c r="J362" t="s">
        <v>658</v>
      </c>
      <c r="N362" t="s">
        <v>659</v>
      </c>
      <c r="O362" t="s">
        <v>1620</v>
      </c>
    </row>
    <row r="363" spans="1:15" ht="15" customHeight="1" x14ac:dyDescent="0.2">
      <c r="A363">
        <v>27</v>
      </c>
      <c r="B363" t="s">
        <v>330</v>
      </c>
      <c r="C363" t="s">
        <v>153</v>
      </c>
      <c r="D363" t="s">
        <v>189</v>
      </c>
      <c r="F363" t="s">
        <v>1621</v>
      </c>
      <c r="G363" t="s">
        <v>1622</v>
      </c>
      <c r="H363" t="s">
        <v>673</v>
      </c>
      <c r="I363" t="s">
        <v>657</v>
      </c>
      <c r="J363" t="s">
        <v>658</v>
      </c>
      <c r="N363" t="s">
        <v>659</v>
      </c>
      <c r="O363" t="s">
        <v>1623</v>
      </c>
    </row>
    <row r="364" spans="1:15" ht="15" customHeight="1" x14ac:dyDescent="0.2">
      <c r="A364">
        <v>27</v>
      </c>
      <c r="B364" t="s">
        <v>330</v>
      </c>
      <c r="C364" t="s">
        <v>153</v>
      </c>
      <c r="D364" t="s">
        <v>189</v>
      </c>
      <c r="F364" t="s">
        <v>1624</v>
      </c>
      <c r="G364" t="s">
        <v>1625</v>
      </c>
      <c r="H364" t="s">
        <v>673</v>
      </c>
      <c r="I364" t="s">
        <v>657</v>
      </c>
      <c r="J364" t="s">
        <v>663</v>
      </c>
      <c r="N364" t="s">
        <v>659</v>
      </c>
      <c r="O364">
        <v>15</v>
      </c>
    </row>
    <row r="365" spans="1:15" ht="15" customHeight="1" x14ac:dyDescent="0.2">
      <c r="A365">
        <v>27</v>
      </c>
      <c r="B365" t="s">
        <v>330</v>
      </c>
      <c r="C365" t="s">
        <v>153</v>
      </c>
      <c r="D365" t="s">
        <v>189</v>
      </c>
      <c r="F365" t="s">
        <v>1626</v>
      </c>
      <c r="G365" t="s">
        <v>1627</v>
      </c>
      <c r="H365" t="s">
        <v>673</v>
      </c>
      <c r="I365" t="s">
        <v>657</v>
      </c>
      <c r="J365" t="s">
        <v>663</v>
      </c>
      <c r="N365" t="s">
        <v>659</v>
      </c>
      <c r="O365" t="s">
        <v>1628</v>
      </c>
    </row>
    <row r="366" spans="1:15" ht="15" customHeight="1" x14ac:dyDescent="0.2">
      <c r="A366">
        <v>27</v>
      </c>
      <c r="B366" t="s">
        <v>330</v>
      </c>
      <c r="C366" t="s">
        <v>153</v>
      </c>
      <c r="D366" t="s">
        <v>189</v>
      </c>
      <c r="F366" t="s">
        <v>1629</v>
      </c>
      <c r="G366" t="s">
        <v>1630</v>
      </c>
      <c r="H366" t="s">
        <v>673</v>
      </c>
      <c r="I366" t="s">
        <v>657</v>
      </c>
      <c r="J366" t="s">
        <v>663</v>
      </c>
      <c r="N366" t="s">
        <v>659</v>
      </c>
      <c r="O366" t="s">
        <v>1631</v>
      </c>
    </row>
    <row r="367" spans="1:15" ht="15" customHeight="1" x14ac:dyDescent="0.2">
      <c r="A367">
        <v>27</v>
      </c>
      <c r="B367" t="s">
        <v>330</v>
      </c>
      <c r="C367" t="s">
        <v>153</v>
      </c>
      <c r="D367" t="s">
        <v>189</v>
      </c>
      <c r="F367" t="s">
        <v>1632</v>
      </c>
      <c r="G367" t="s">
        <v>1633</v>
      </c>
      <c r="H367" t="s">
        <v>673</v>
      </c>
      <c r="I367" t="s">
        <v>657</v>
      </c>
      <c r="J367" t="s">
        <v>663</v>
      </c>
      <c r="N367" t="s">
        <v>659</v>
      </c>
      <c r="O367" t="s">
        <v>1634</v>
      </c>
    </row>
    <row r="368" spans="1:15" ht="15" customHeight="1" x14ac:dyDescent="0.2">
      <c r="A368">
        <v>27</v>
      </c>
      <c r="B368" t="s">
        <v>330</v>
      </c>
      <c r="C368" t="s">
        <v>153</v>
      </c>
      <c r="D368" t="s">
        <v>189</v>
      </c>
      <c r="F368" t="s">
        <v>1635</v>
      </c>
      <c r="G368" t="s">
        <v>1636</v>
      </c>
      <c r="H368" t="s">
        <v>673</v>
      </c>
      <c r="I368" t="s">
        <v>657</v>
      </c>
      <c r="J368" t="s">
        <v>663</v>
      </c>
      <c r="N368" t="s">
        <v>659</v>
      </c>
      <c r="O368" t="s">
        <v>1637</v>
      </c>
    </row>
    <row r="369" spans="1:15" ht="15" customHeight="1" x14ac:dyDescent="0.2">
      <c r="A369">
        <v>27</v>
      </c>
      <c r="B369" t="s">
        <v>330</v>
      </c>
      <c r="C369" t="s">
        <v>153</v>
      </c>
      <c r="D369" t="s">
        <v>189</v>
      </c>
      <c r="F369" t="s">
        <v>1638</v>
      </c>
      <c r="G369" t="s">
        <v>1639</v>
      </c>
      <c r="H369" t="s">
        <v>673</v>
      </c>
      <c r="I369" t="s">
        <v>657</v>
      </c>
      <c r="J369" t="s">
        <v>663</v>
      </c>
      <c r="N369" t="s">
        <v>659</v>
      </c>
      <c r="O369" t="s">
        <v>1640</v>
      </c>
    </row>
    <row r="370" spans="1:15" ht="15" customHeight="1" x14ac:dyDescent="0.2">
      <c r="A370">
        <v>27</v>
      </c>
      <c r="B370" t="s">
        <v>330</v>
      </c>
      <c r="C370" t="s">
        <v>153</v>
      </c>
      <c r="D370" t="s">
        <v>189</v>
      </c>
      <c r="F370" t="s">
        <v>1641</v>
      </c>
      <c r="G370" t="s">
        <v>1642</v>
      </c>
      <c r="H370" t="s">
        <v>673</v>
      </c>
      <c r="I370" t="s">
        <v>657</v>
      </c>
      <c r="J370" t="s">
        <v>663</v>
      </c>
      <c r="N370" t="s">
        <v>659</v>
      </c>
      <c r="O370" t="s">
        <v>1643</v>
      </c>
    </row>
    <row r="371" spans="1:15" ht="15" customHeight="1" x14ac:dyDescent="0.2">
      <c r="A371">
        <v>27</v>
      </c>
      <c r="B371" t="s">
        <v>330</v>
      </c>
      <c r="C371" t="s">
        <v>153</v>
      </c>
      <c r="D371" t="s">
        <v>189</v>
      </c>
      <c r="F371" t="s">
        <v>1644</v>
      </c>
      <c r="G371" t="s">
        <v>1645</v>
      </c>
      <c r="H371" t="s">
        <v>673</v>
      </c>
      <c r="I371" t="s">
        <v>657</v>
      </c>
      <c r="J371" t="s">
        <v>663</v>
      </c>
      <c r="N371" t="s">
        <v>659</v>
      </c>
      <c r="O371" t="s">
        <v>1646</v>
      </c>
    </row>
    <row r="372" spans="1:15" ht="15" customHeight="1" x14ac:dyDescent="0.2">
      <c r="A372">
        <v>27</v>
      </c>
      <c r="B372" t="s">
        <v>330</v>
      </c>
      <c r="C372" t="s">
        <v>153</v>
      </c>
      <c r="D372" t="s">
        <v>189</v>
      </c>
      <c r="F372" t="s">
        <v>1647</v>
      </c>
      <c r="G372" t="s">
        <v>1648</v>
      </c>
      <c r="H372" t="s">
        <v>673</v>
      </c>
      <c r="I372" t="s">
        <v>657</v>
      </c>
      <c r="J372" t="s">
        <v>663</v>
      </c>
      <c r="N372" t="s">
        <v>659</v>
      </c>
      <c r="O372" t="s">
        <v>1649</v>
      </c>
    </row>
    <row r="373" spans="1:15" ht="15" customHeight="1" x14ac:dyDescent="0.2">
      <c r="A373">
        <v>27</v>
      </c>
      <c r="B373" t="s">
        <v>330</v>
      </c>
      <c r="C373" t="s">
        <v>153</v>
      </c>
      <c r="D373" t="s">
        <v>189</v>
      </c>
      <c r="F373" t="s">
        <v>1650</v>
      </c>
      <c r="G373" t="s">
        <v>1651</v>
      </c>
      <c r="H373" t="s">
        <v>673</v>
      </c>
      <c r="I373" t="s">
        <v>657</v>
      </c>
      <c r="J373" t="s">
        <v>663</v>
      </c>
      <c r="N373" t="s">
        <v>659</v>
      </c>
      <c r="O373" t="s">
        <v>1652</v>
      </c>
    </row>
    <row r="374" spans="1:15" ht="15" customHeight="1" x14ac:dyDescent="0.2">
      <c r="A374">
        <v>27</v>
      </c>
      <c r="B374" t="s">
        <v>330</v>
      </c>
      <c r="C374" t="s">
        <v>153</v>
      </c>
      <c r="D374" t="s">
        <v>189</v>
      </c>
      <c r="F374" t="s">
        <v>1653</v>
      </c>
      <c r="G374" t="s">
        <v>1654</v>
      </c>
      <c r="H374" t="s">
        <v>673</v>
      </c>
      <c r="I374" t="s">
        <v>657</v>
      </c>
      <c r="J374" t="s">
        <v>663</v>
      </c>
      <c r="N374" t="s">
        <v>659</v>
      </c>
      <c r="O374" t="s">
        <v>1655</v>
      </c>
    </row>
    <row r="375" spans="1:15" ht="15" customHeight="1" x14ac:dyDescent="0.2">
      <c r="A375">
        <v>27</v>
      </c>
      <c r="B375" t="s">
        <v>330</v>
      </c>
      <c r="C375" t="s">
        <v>153</v>
      </c>
      <c r="D375" t="s">
        <v>189</v>
      </c>
      <c r="F375" t="s">
        <v>1656</v>
      </c>
      <c r="G375" t="s">
        <v>1657</v>
      </c>
      <c r="H375" t="s">
        <v>673</v>
      </c>
      <c r="I375" t="s">
        <v>657</v>
      </c>
      <c r="J375" t="s">
        <v>663</v>
      </c>
      <c r="N375" t="s">
        <v>659</v>
      </c>
      <c r="O375" t="s">
        <v>1658</v>
      </c>
    </row>
    <row r="376" spans="1:15" ht="15" customHeight="1" x14ac:dyDescent="0.2">
      <c r="A376">
        <v>27</v>
      </c>
      <c r="B376" t="s">
        <v>330</v>
      </c>
      <c r="C376" t="s">
        <v>153</v>
      </c>
      <c r="D376" t="s">
        <v>189</v>
      </c>
      <c r="F376" t="s">
        <v>1659</v>
      </c>
      <c r="G376" t="s">
        <v>1660</v>
      </c>
      <c r="H376" t="s">
        <v>673</v>
      </c>
      <c r="I376" t="s">
        <v>657</v>
      </c>
      <c r="J376" t="s">
        <v>658</v>
      </c>
      <c r="N376" t="s">
        <v>659</v>
      </c>
      <c r="O376" t="s">
        <v>947</v>
      </c>
    </row>
    <row r="377" spans="1:15" ht="15" customHeight="1" x14ac:dyDescent="0.2">
      <c r="A377">
        <v>27</v>
      </c>
      <c r="B377" t="s">
        <v>330</v>
      </c>
      <c r="C377" t="s">
        <v>153</v>
      </c>
      <c r="D377" t="s">
        <v>189</v>
      </c>
      <c r="F377" t="s">
        <v>1661</v>
      </c>
      <c r="G377" t="s">
        <v>1662</v>
      </c>
      <c r="H377" t="s">
        <v>673</v>
      </c>
      <c r="I377" t="s">
        <v>657</v>
      </c>
      <c r="J377" t="s">
        <v>658</v>
      </c>
      <c r="N377" t="s">
        <v>659</v>
      </c>
      <c r="O377" t="s">
        <v>950</v>
      </c>
    </row>
    <row r="378" spans="1:15" ht="15" customHeight="1" x14ac:dyDescent="0.2">
      <c r="A378">
        <v>27</v>
      </c>
      <c r="B378" t="s">
        <v>330</v>
      </c>
      <c r="C378" t="s">
        <v>153</v>
      </c>
      <c r="D378" t="s">
        <v>189</v>
      </c>
      <c r="F378" t="s">
        <v>1663</v>
      </c>
      <c r="G378" t="s">
        <v>1664</v>
      </c>
      <c r="H378" t="s">
        <v>673</v>
      </c>
      <c r="I378" t="s">
        <v>657</v>
      </c>
      <c r="J378" t="s">
        <v>658</v>
      </c>
      <c r="N378" t="s">
        <v>659</v>
      </c>
      <c r="O378" t="s">
        <v>953</v>
      </c>
    </row>
    <row r="379" spans="1:15" ht="15" customHeight="1" x14ac:dyDescent="0.2">
      <c r="A379">
        <v>27</v>
      </c>
      <c r="B379" t="s">
        <v>330</v>
      </c>
      <c r="C379" t="s">
        <v>153</v>
      </c>
      <c r="D379" t="s">
        <v>189</v>
      </c>
      <c r="F379" t="s">
        <v>1665</v>
      </c>
      <c r="G379" t="s">
        <v>1666</v>
      </c>
      <c r="H379" t="s">
        <v>673</v>
      </c>
      <c r="I379" t="s">
        <v>657</v>
      </c>
      <c r="J379" t="s">
        <v>658</v>
      </c>
      <c r="N379" t="s">
        <v>659</v>
      </c>
      <c r="O379" t="s">
        <v>1667</v>
      </c>
    </row>
    <row r="380" spans="1:15" ht="15" customHeight="1" x14ac:dyDescent="0.2">
      <c r="A380">
        <v>27</v>
      </c>
      <c r="B380" t="s">
        <v>330</v>
      </c>
      <c r="C380" t="s">
        <v>153</v>
      </c>
      <c r="D380" t="s">
        <v>189</v>
      </c>
      <c r="F380" t="s">
        <v>1668</v>
      </c>
      <c r="G380" t="s">
        <v>1669</v>
      </c>
      <c r="H380" t="s">
        <v>673</v>
      </c>
      <c r="I380" t="s">
        <v>657</v>
      </c>
      <c r="J380" t="s">
        <v>658</v>
      </c>
      <c r="N380" t="s">
        <v>659</v>
      </c>
      <c r="O380" t="s">
        <v>1670</v>
      </c>
    </row>
    <row r="381" spans="1:15" ht="15" customHeight="1" x14ac:dyDescent="0.2">
      <c r="A381">
        <v>27</v>
      </c>
      <c r="B381" t="s">
        <v>330</v>
      </c>
      <c r="C381" t="s">
        <v>153</v>
      </c>
      <c r="D381" t="s">
        <v>189</v>
      </c>
      <c r="F381" t="s">
        <v>1671</v>
      </c>
      <c r="G381" t="s">
        <v>1672</v>
      </c>
      <c r="H381" t="s">
        <v>673</v>
      </c>
      <c r="I381" t="s">
        <v>657</v>
      </c>
      <c r="J381" t="s">
        <v>658</v>
      </c>
      <c r="N381" t="s">
        <v>659</v>
      </c>
      <c r="O381" t="s">
        <v>1673</v>
      </c>
    </row>
    <row r="382" spans="1:15" ht="15" customHeight="1" x14ac:dyDescent="0.2">
      <c r="A382">
        <v>27</v>
      </c>
      <c r="B382" t="s">
        <v>330</v>
      </c>
      <c r="C382" t="s">
        <v>153</v>
      </c>
      <c r="D382" t="s">
        <v>189</v>
      </c>
      <c r="F382" t="s">
        <v>1674</v>
      </c>
      <c r="G382" t="s">
        <v>1675</v>
      </c>
      <c r="H382" t="s">
        <v>673</v>
      </c>
      <c r="I382" t="s">
        <v>657</v>
      </c>
      <c r="J382" t="s">
        <v>663</v>
      </c>
      <c r="N382" t="s">
        <v>659</v>
      </c>
      <c r="O382" t="s">
        <v>1557</v>
      </c>
    </row>
    <row r="383" spans="1:15" ht="15" customHeight="1" x14ac:dyDescent="0.2">
      <c r="A383">
        <v>27</v>
      </c>
      <c r="B383" t="s">
        <v>330</v>
      </c>
      <c r="C383" t="s">
        <v>153</v>
      </c>
      <c r="D383" t="s">
        <v>189</v>
      </c>
      <c r="F383" t="s">
        <v>1676</v>
      </c>
      <c r="G383" t="s">
        <v>1677</v>
      </c>
      <c r="H383" t="s">
        <v>673</v>
      </c>
      <c r="I383" t="s">
        <v>657</v>
      </c>
      <c r="J383" t="s">
        <v>663</v>
      </c>
      <c r="N383" t="s">
        <v>659</v>
      </c>
      <c r="O383" t="s">
        <v>1030</v>
      </c>
    </row>
    <row r="384" spans="1:15" ht="15" customHeight="1" x14ac:dyDescent="0.2">
      <c r="A384">
        <v>27</v>
      </c>
      <c r="B384" t="s">
        <v>330</v>
      </c>
      <c r="C384" t="s">
        <v>153</v>
      </c>
      <c r="D384" t="s">
        <v>189</v>
      </c>
      <c r="F384" t="s">
        <v>1678</v>
      </c>
      <c r="G384" t="s">
        <v>1679</v>
      </c>
      <c r="H384" t="s">
        <v>673</v>
      </c>
      <c r="I384" t="s">
        <v>657</v>
      </c>
      <c r="J384" t="s">
        <v>663</v>
      </c>
      <c r="N384" t="s">
        <v>659</v>
      </c>
      <c r="O384" t="s">
        <v>1033</v>
      </c>
    </row>
    <row r="385" spans="1:15" ht="15" customHeight="1" x14ac:dyDescent="0.2">
      <c r="A385">
        <v>27</v>
      </c>
      <c r="B385" t="s">
        <v>330</v>
      </c>
      <c r="C385" t="s">
        <v>153</v>
      </c>
      <c r="D385" t="s">
        <v>189</v>
      </c>
      <c r="F385" t="s">
        <v>1680</v>
      </c>
      <c r="G385" t="s">
        <v>1681</v>
      </c>
      <c r="H385" t="s">
        <v>673</v>
      </c>
      <c r="I385" t="s">
        <v>657</v>
      </c>
      <c r="J385" t="s">
        <v>663</v>
      </c>
      <c r="N385" t="s">
        <v>659</v>
      </c>
      <c r="O385" t="s">
        <v>1036</v>
      </c>
    </row>
    <row r="386" spans="1:15" ht="15" customHeight="1" x14ac:dyDescent="0.2">
      <c r="A386">
        <v>27</v>
      </c>
      <c r="B386" t="s">
        <v>330</v>
      </c>
      <c r="C386" t="s">
        <v>153</v>
      </c>
      <c r="D386" t="s">
        <v>189</v>
      </c>
      <c r="F386" t="s">
        <v>1682</v>
      </c>
      <c r="G386" t="s">
        <v>1683</v>
      </c>
      <c r="H386" t="s">
        <v>673</v>
      </c>
      <c r="I386" t="s">
        <v>657</v>
      </c>
      <c r="J386" t="s">
        <v>663</v>
      </c>
      <c r="N386" t="s">
        <v>659</v>
      </c>
      <c r="O386" t="s">
        <v>1559</v>
      </c>
    </row>
    <row r="387" spans="1:15" ht="15" customHeight="1" x14ac:dyDescent="0.2">
      <c r="A387">
        <v>27</v>
      </c>
      <c r="B387" t="s">
        <v>330</v>
      </c>
      <c r="C387" t="s">
        <v>153</v>
      </c>
      <c r="D387" t="s">
        <v>189</v>
      </c>
      <c r="F387" t="s">
        <v>1684</v>
      </c>
      <c r="G387" t="s">
        <v>1685</v>
      </c>
      <c r="H387" t="s">
        <v>656</v>
      </c>
      <c r="I387" t="s">
        <v>657</v>
      </c>
      <c r="J387" t="s">
        <v>663</v>
      </c>
      <c r="N387" t="s">
        <v>659</v>
      </c>
      <c r="O387" t="s">
        <v>1246</v>
      </c>
    </row>
    <row r="388" spans="1:15" ht="15" customHeight="1" x14ac:dyDescent="0.2">
      <c r="A388">
        <v>27</v>
      </c>
      <c r="B388" t="s">
        <v>330</v>
      </c>
      <c r="C388" t="s">
        <v>153</v>
      </c>
      <c r="D388" t="s">
        <v>189</v>
      </c>
      <c r="F388" t="s">
        <v>1686</v>
      </c>
      <c r="G388" t="s">
        <v>1687</v>
      </c>
      <c r="H388" t="s">
        <v>656</v>
      </c>
      <c r="I388" t="s">
        <v>657</v>
      </c>
      <c r="J388" t="s">
        <v>663</v>
      </c>
      <c r="N388" t="s">
        <v>659</v>
      </c>
      <c r="O388" t="s">
        <v>1249</v>
      </c>
    </row>
    <row r="389" spans="1:15" ht="15" customHeight="1" x14ac:dyDescent="0.2">
      <c r="A389">
        <v>27</v>
      </c>
      <c r="B389" t="s">
        <v>330</v>
      </c>
      <c r="C389" t="s">
        <v>153</v>
      </c>
      <c r="D389" t="s">
        <v>189</v>
      </c>
      <c r="F389" t="s">
        <v>1688</v>
      </c>
      <c r="G389" t="s">
        <v>1689</v>
      </c>
      <c r="H389" t="s">
        <v>656</v>
      </c>
      <c r="I389" t="s">
        <v>657</v>
      </c>
      <c r="J389" t="s">
        <v>663</v>
      </c>
      <c r="N389" t="s">
        <v>659</v>
      </c>
      <c r="O389" t="s">
        <v>1252</v>
      </c>
    </row>
    <row r="390" spans="1:15" ht="15" customHeight="1" x14ac:dyDescent="0.2">
      <c r="A390">
        <v>27</v>
      </c>
      <c r="B390" t="s">
        <v>330</v>
      </c>
      <c r="C390" t="s">
        <v>153</v>
      </c>
      <c r="D390" t="s">
        <v>189</v>
      </c>
      <c r="F390" t="s">
        <v>1690</v>
      </c>
      <c r="G390" t="s">
        <v>1691</v>
      </c>
      <c r="H390" t="s">
        <v>656</v>
      </c>
      <c r="I390" t="s">
        <v>657</v>
      </c>
      <c r="J390" t="s">
        <v>663</v>
      </c>
      <c r="N390" t="s">
        <v>659</v>
      </c>
      <c r="O390" t="s">
        <v>1255</v>
      </c>
    </row>
    <row r="391" spans="1:15" ht="15" customHeight="1" x14ac:dyDescent="0.2">
      <c r="A391">
        <v>27</v>
      </c>
      <c r="B391" t="s">
        <v>330</v>
      </c>
      <c r="C391" t="s">
        <v>153</v>
      </c>
      <c r="D391" t="s">
        <v>189</v>
      </c>
      <c r="F391" t="s">
        <v>1692</v>
      </c>
      <c r="G391" t="s">
        <v>1693</v>
      </c>
      <c r="H391" t="s">
        <v>656</v>
      </c>
      <c r="I391" t="s">
        <v>657</v>
      </c>
      <c r="J391" t="s">
        <v>663</v>
      </c>
      <c r="N391" t="s">
        <v>659</v>
      </c>
      <c r="O391" t="s">
        <v>1258</v>
      </c>
    </row>
    <row r="392" spans="1:15" ht="15" customHeight="1" x14ac:dyDescent="0.2">
      <c r="A392">
        <v>27</v>
      </c>
      <c r="B392" t="s">
        <v>330</v>
      </c>
      <c r="C392" t="s">
        <v>153</v>
      </c>
      <c r="D392" t="s">
        <v>189</v>
      </c>
      <c r="F392" t="s">
        <v>1694</v>
      </c>
      <c r="G392" t="s">
        <v>1695</v>
      </c>
      <c r="H392" t="s">
        <v>656</v>
      </c>
      <c r="I392" t="s">
        <v>657</v>
      </c>
      <c r="J392" t="s">
        <v>658</v>
      </c>
      <c r="N392" t="s">
        <v>659</v>
      </c>
      <c r="O392" t="s">
        <v>958</v>
      </c>
    </row>
    <row r="393" spans="1:15" ht="15" customHeight="1" x14ac:dyDescent="0.2">
      <c r="A393">
        <v>27</v>
      </c>
      <c r="B393" t="s">
        <v>330</v>
      </c>
      <c r="C393" t="s">
        <v>153</v>
      </c>
      <c r="D393" t="s">
        <v>189</v>
      </c>
      <c r="F393" t="s">
        <v>1696</v>
      </c>
      <c r="G393" t="s">
        <v>1697</v>
      </c>
      <c r="H393" t="s">
        <v>656</v>
      </c>
      <c r="I393" t="s">
        <v>657</v>
      </c>
      <c r="J393" t="s">
        <v>658</v>
      </c>
      <c r="N393" t="s">
        <v>659</v>
      </c>
      <c r="O393" t="s">
        <v>961</v>
      </c>
    </row>
    <row r="394" spans="1:15" ht="15" customHeight="1" x14ac:dyDescent="0.2">
      <c r="A394">
        <v>27</v>
      </c>
      <c r="B394" t="s">
        <v>330</v>
      </c>
      <c r="C394" t="s">
        <v>153</v>
      </c>
      <c r="D394" t="s">
        <v>189</v>
      </c>
      <c r="F394" t="s">
        <v>1698</v>
      </c>
      <c r="G394" t="s">
        <v>1699</v>
      </c>
      <c r="H394" t="s">
        <v>656</v>
      </c>
      <c r="I394" t="s">
        <v>657</v>
      </c>
      <c r="J394" t="s">
        <v>658</v>
      </c>
      <c r="N394" t="s">
        <v>659</v>
      </c>
      <c r="O394" t="s">
        <v>1700</v>
      </c>
    </row>
    <row r="395" spans="1:15" ht="15" customHeight="1" x14ac:dyDescent="0.2">
      <c r="A395">
        <v>27</v>
      </c>
      <c r="B395" t="s">
        <v>330</v>
      </c>
      <c r="C395" t="s">
        <v>153</v>
      </c>
      <c r="D395" t="s">
        <v>189</v>
      </c>
      <c r="F395" t="s">
        <v>1701</v>
      </c>
      <c r="G395" t="s">
        <v>1702</v>
      </c>
      <c r="H395" t="s">
        <v>656</v>
      </c>
      <c r="I395" t="s">
        <v>657</v>
      </c>
      <c r="J395" t="s">
        <v>658</v>
      </c>
      <c r="N395" t="s">
        <v>659</v>
      </c>
      <c r="O395" t="s">
        <v>1703</v>
      </c>
    </row>
    <row r="396" spans="1:15" ht="15" customHeight="1" x14ac:dyDescent="0.2">
      <c r="A396">
        <v>27</v>
      </c>
      <c r="B396" t="s">
        <v>330</v>
      </c>
      <c r="C396" t="s">
        <v>153</v>
      </c>
      <c r="D396" t="s">
        <v>189</v>
      </c>
      <c r="F396" t="s">
        <v>1704</v>
      </c>
      <c r="G396" t="s">
        <v>1705</v>
      </c>
      <c r="H396" t="s">
        <v>673</v>
      </c>
      <c r="I396" t="s">
        <v>657</v>
      </c>
      <c r="J396" t="s">
        <v>663</v>
      </c>
      <c r="N396" t="s">
        <v>659</v>
      </c>
      <c r="O396" t="s">
        <v>976</v>
      </c>
    </row>
    <row r="397" spans="1:15" ht="15" customHeight="1" x14ac:dyDescent="0.2">
      <c r="A397">
        <v>27</v>
      </c>
      <c r="B397" t="s">
        <v>330</v>
      </c>
      <c r="C397" t="s">
        <v>153</v>
      </c>
      <c r="D397" t="s">
        <v>189</v>
      </c>
      <c r="F397" t="s">
        <v>1706</v>
      </c>
      <c r="G397" t="s">
        <v>1707</v>
      </c>
      <c r="H397" t="s">
        <v>656</v>
      </c>
      <c r="I397" t="s">
        <v>657</v>
      </c>
      <c r="J397" t="s">
        <v>658</v>
      </c>
      <c r="N397" t="s">
        <v>659</v>
      </c>
      <c r="O397" t="s">
        <v>979</v>
      </c>
    </row>
    <row r="398" spans="1:15" ht="15" customHeight="1" x14ac:dyDescent="0.2">
      <c r="A398">
        <v>27</v>
      </c>
      <c r="B398" t="s">
        <v>330</v>
      </c>
      <c r="C398" t="s">
        <v>153</v>
      </c>
      <c r="D398" t="s">
        <v>189</v>
      </c>
      <c r="F398" t="s">
        <v>1708</v>
      </c>
      <c r="G398" t="s">
        <v>1709</v>
      </c>
      <c r="H398" t="s">
        <v>673</v>
      </c>
      <c r="I398" t="s">
        <v>657</v>
      </c>
      <c r="J398" t="s">
        <v>658</v>
      </c>
      <c r="K398" t="s">
        <v>685</v>
      </c>
      <c r="N398" t="s">
        <v>659</v>
      </c>
      <c r="O398" t="s">
        <v>1710</v>
      </c>
    </row>
    <row r="399" spans="1:15" ht="15" customHeight="1" x14ac:dyDescent="0.2">
      <c r="A399">
        <v>27</v>
      </c>
      <c r="B399" t="s">
        <v>330</v>
      </c>
      <c r="C399" t="s">
        <v>153</v>
      </c>
      <c r="D399" t="s">
        <v>189</v>
      </c>
      <c r="F399" t="s">
        <v>1711</v>
      </c>
      <c r="G399" t="s">
        <v>1712</v>
      </c>
      <c r="H399" t="s">
        <v>1163</v>
      </c>
      <c r="I399" t="s">
        <v>678</v>
      </c>
      <c r="J399" t="s">
        <v>658</v>
      </c>
      <c r="K399" t="s">
        <v>685</v>
      </c>
      <c r="N399" t="s">
        <v>659</v>
      </c>
      <c r="O399" t="s">
        <v>1713</v>
      </c>
    </row>
    <row r="400" spans="1:15" ht="15" customHeight="1" x14ac:dyDescent="0.2">
      <c r="A400">
        <v>27</v>
      </c>
      <c r="B400" t="s">
        <v>330</v>
      </c>
      <c r="C400" t="s">
        <v>153</v>
      </c>
      <c r="D400" t="s">
        <v>189</v>
      </c>
      <c r="F400" t="s">
        <v>1714</v>
      </c>
      <c r="G400" t="s">
        <v>1715</v>
      </c>
      <c r="H400" t="s">
        <v>673</v>
      </c>
      <c r="I400" t="s">
        <v>657</v>
      </c>
      <c r="J400" t="s">
        <v>663</v>
      </c>
      <c r="K400" t="s">
        <v>685</v>
      </c>
      <c r="N400" t="s">
        <v>659</v>
      </c>
      <c r="O400" t="s">
        <v>1716</v>
      </c>
    </row>
    <row r="401" spans="1:15" ht="15" customHeight="1" x14ac:dyDescent="0.2">
      <c r="A401">
        <v>27</v>
      </c>
      <c r="B401" t="s">
        <v>330</v>
      </c>
      <c r="C401" t="s">
        <v>153</v>
      </c>
      <c r="D401" t="s">
        <v>189</v>
      </c>
      <c r="F401" t="s">
        <v>1717</v>
      </c>
      <c r="G401" t="s">
        <v>1718</v>
      </c>
      <c r="H401" t="s">
        <v>673</v>
      </c>
      <c r="I401" t="s">
        <v>657</v>
      </c>
      <c r="J401" t="s">
        <v>663</v>
      </c>
      <c r="K401" t="s">
        <v>685</v>
      </c>
      <c r="N401" t="s">
        <v>659</v>
      </c>
      <c r="O401" t="s">
        <v>1719</v>
      </c>
    </row>
    <row r="402" spans="1:15" ht="15" customHeight="1" x14ac:dyDescent="0.2">
      <c r="A402">
        <v>27</v>
      </c>
      <c r="B402" t="s">
        <v>330</v>
      </c>
      <c r="C402" t="s">
        <v>153</v>
      </c>
      <c r="D402" t="s">
        <v>189</v>
      </c>
      <c r="F402" t="s">
        <v>1720</v>
      </c>
      <c r="G402" t="s">
        <v>1721</v>
      </c>
      <c r="H402" t="s">
        <v>673</v>
      </c>
      <c r="I402" t="s">
        <v>657</v>
      </c>
      <c r="J402" t="s">
        <v>663</v>
      </c>
      <c r="K402" t="s">
        <v>685</v>
      </c>
      <c r="N402" t="s">
        <v>659</v>
      </c>
      <c r="O402" t="s">
        <v>1722</v>
      </c>
    </row>
    <row r="403" spans="1:15" ht="15" customHeight="1" x14ac:dyDescent="0.2">
      <c r="A403">
        <v>27</v>
      </c>
      <c r="B403" t="s">
        <v>330</v>
      </c>
      <c r="C403" t="s">
        <v>153</v>
      </c>
      <c r="D403" t="s">
        <v>189</v>
      </c>
      <c r="F403" t="s">
        <v>1723</v>
      </c>
      <c r="G403" t="s">
        <v>1724</v>
      </c>
      <c r="H403" t="s">
        <v>673</v>
      </c>
      <c r="I403" t="s">
        <v>657</v>
      </c>
      <c r="J403" t="s">
        <v>658</v>
      </c>
      <c r="K403" t="s">
        <v>685</v>
      </c>
      <c r="N403" t="s">
        <v>659</v>
      </c>
      <c r="O403" t="s">
        <v>1725</v>
      </c>
    </row>
    <row r="404" spans="1:15" ht="15" customHeight="1" x14ac:dyDescent="0.2">
      <c r="A404">
        <v>27</v>
      </c>
      <c r="B404" t="s">
        <v>330</v>
      </c>
      <c r="C404" t="s">
        <v>153</v>
      </c>
      <c r="D404" t="s">
        <v>189</v>
      </c>
      <c r="F404" t="s">
        <v>1726</v>
      </c>
      <c r="G404" t="s">
        <v>1727</v>
      </c>
      <c r="H404" t="s">
        <v>673</v>
      </c>
      <c r="I404" t="s">
        <v>657</v>
      </c>
      <c r="J404" t="s">
        <v>658</v>
      </c>
      <c r="N404" t="s">
        <v>659</v>
      </c>
      <c r="O404" t="s">
        <v>982</v>
      </c>
    </row>
    <row r="405" spans="1:15" ht="15" customHeight="1" x14ac:dyDescent="0.2">
      <c r="A405">
        <v>27</v>
      </c>
      <c r="B405" t="s">
        <v>330</v>
      </c>
      <c r="C405" t="s">
        <v>153</v>
      </c>
      <c r="D405" t="s">
        <v>189</v>
      </c>
      <c r="F405" t="s">
        <v>1728</v>
      </c>
      <c r="G405" t="s">
        <v>1729</v>
      </c>
      <c r="H405" t="s">
        <v>673</v>
      </c>
      <c r="I405" t="s">
        <v>657</v>
      </c>
      <c r="J405" t="s">
        <v>663</v>
      </c>
      <c r="N405" t="s">
        <v>659</v>
      </c>
      <c r="O405" t="s">
        <v>1730</v>
      </c>
    </row>
    <row r="406" spans="1:15" ht="15" customHeight="1" x14ac:dyDescent="0.2">
      <c r="A406">
        <v>27</v>
      </c>
      <c r="B406" t="s">
        <v>330</v>
      </c>
      <c r="C406" t="s">
        <v>153</v>
      </c>
      <c r="D406" t="s">
        <v>189</v>
      </c>
      <c r="F406" t="s">
        <v>1731</v>
      </c>
      <c r="G406" t="s">
        <v>1732</v>
      </c>
      <c r="H406" t="s">
        <v>673</v>
      </c>
      <c r="I406" t="s">
        <v>657</v>
      </c>
      <c r="J406" t="s">
        <v>663</v>
      </c>
      <c r="K406" t="s">
        <v>685</v>
      </c>
      <c r="N406" t="s">
        <v>659</v>
      </c>
      <c r="O406" t="s">
        <v>1733</v>
      </c>
    </row>
    <row r="407" spans="1:15" ht="15" customHeight="1" x14ac:dyDescent="0.2">
      <c r="A407">
        <v>27</v>
      </c>
      <c r="B407" t="s">
        <v>330</v>
      </c>
      <c r="C407" t="s">
        <v>153</v>
      </c>
      <c r="D407" t="s">
        <v>189</v>
      </c>
      <c r="F407" t="s">
        <v>1734</v>
      </c>
      <c r="G407" t="s">
        <v>1735</v>
      </c>
      <c r="H407" t="s">
        <v>673</v>
      </c>
      <c r="I407" t="s">
        <v>657</v>
      </c>
      <c r="J407" t="s">
        <v>663</v>
      </c>
      <c r="N407" t="s">
        <v>659</v>
      </c>
      <c r="O407" t="s">
        <v>1736</v>
      </c>
    </row>
    <row r="408" spans="1:15" ht="15" customHeight="1" x14ac:dyDescent="0.2">
      <c r="A408">
        <v>27</v>
      </c>
      <c r="B408" t="s">
        <v>330</v>
      </c>
      <c r="C408" t="s">
        <v>153</v>
      </c>
      <c r="D408" t="s">
        <v>189</v>
      </c>
      <c r="F408" t="s">
        <v>1737</v>
      </c>
      <c r="G408" t="s">
        <v>1738</v>
      </c>
      <c r="H408" t="s">
        <v>673</v>
      </c>
      <c r="I408" t="s">
        <v>657</v>
      </c>
      <c r="J408" t="s">
        <v>663</v>
      </c>
      <c r="N408" t="s">
        <v>659</v>
      </c>
      <c r="O408" t="s">
        <v>1739</v>
      </c>
    </row>
    <row r="409" spans="1:15" ht="15" customHeight="1" x14ac:dyDescent="0.2">
      <c r="A409">
        <v>27</v>
      </c>
      <c r="B409" t="s">
        <v>330</v>
      </c>
      <c r="C409" t="s">
        <v>153</v>
      </c>
      <c r="D409" t="s">
        <v>189</v>
      </c>
      <c r="F409" t="s">
        <v>1740</v>
      </c>
      <c r="G409" t="s">
        <v>1741</v>
      </c>
      <c r="H409" t="s">
        <v>656</v>
      </c>
      <c r="I409" t="s">
        <v>657</v>
      </c>
      <c r="J409" t="s">
        <v>663</v>
      </c>
      <c r="N409" t="s">
        <v>659</v>
      </c>
      <c r="O409" t="s">
        <v>1742</v>
      </c>
    </row>
    <row r="410" spans="1:15" ht="15" customHeight="1" x14ac:dyDescent="0.2">
      <c r="A410">
        <v>27</v>
      </c>
      <c r="B410" t="s">
        <v>330</v>
      </c>
      <c r="C410" t="s">
        <v>153</v>
      </c>
      <c r="D410" t="s">
        <v>189</v>
      </c>
      <c r="F410" t="s">
        <v>1743</v>
      </c>
      <c r="G410" t="s">
        <v>1744</v>
      </c>
      <c r="H410" t="s">
        <v>656</v>
      </c>
      <c r="I410" t="s">
        <v>657</v>
      </c>
      <c r="J410" t="s">
        <v>663</v>
      </c>
      <c r="N410" t="s">
        <v>659</v>
      </c>
      <c r="O410" t="s">
        <v>1742</v>
      </c>
    </row>
    <row r="411" spans="1:15" ht="15" customHeight="1" x14ac:dyDescent="0.2">
      <c r="A411">
        <v>27</v>
      </c>
      <c r="B411" t="s">
        <v>330</v>
      </c>
      <c r="C411" t="s">
        <v>153</v>
      </c>
      <c r="D411" t="s">
        <v>189</v>
      </c>
      <c r="F411" t="s">
        <v>1745</v>
      </c>
      <c r="G411" t="s">
        <v>1746</v>
      </c>
      <c r="H411" t="s">
        <v>673</v>
      </c>
      <c r="I411" t="s">
        <v>657</v>
      </c>
      <c r="J411" t="s">
        <v>663</v>
      </c>
      <c r="N411" t="s">
        <v>659</v>
      </c>
      <c r="O411" t="s">
        <v>1747</v>
      </c>
    </row>
    <row r="412" spans="1:15" ht="15" customHeight="1" x14ac:dyDescent="0.2">
      <c r="A412">
        <v>27</v>
      </c>
      <c r="B412" t="s">
        <v>330</v>
      </c>
      <c r="C412" t="s">
        <v>153</v>
      </c>
      <c r="D412" t="s">
        <v>189</v>
      </c>
      <c r="F412" t="s">
        <v>1748</v>
      </c>
      <c r="G412" t="s">
        <v>1749</v>
      </c>
      <c r="H412" t="s">
        <v>656</v>
      </c>
      <c r="I412" t="s">
        <v>657</v>
      </c>
      <c r="J412" t="s">
        <v>658</v>
      </c>
      <c r="N412" t="s">
        <v>659</v>
      </c>
      <c r="O412" t="s">
        <v>1750</v>
      </c>
    </row>
    <row r="413" spans="1:15" ht="15" customHeight="1" x14ac:dyDescent="0.2">
      <c r="A413">
        <v>27</v>
      </c>
      <c r="B413" t="s">
        <v>330</v>
      </c>
      <c r="C413" t="s">
        <v>153</v>
      </c>
      <c r="D413" t="s">
        <v>189</v>
      </c>
      <c r="F413" t="s">
        <v>1751</v>
      </c>
      <c r="G413" t="s">
        <v>1752</v>
      </c>
      <c r="H413" t="s">
        <v>673</v>
      </c>
      <c r="I413" t="s">
        <v>657</v>
      </c>
      <c r="J413" t="s">
        <v>658</v>
      </c>
      <c r="K413" t="s">
        <v>685</v>
      </c>
      <c r="N413" t="s">
        <v>659</v>
      </c>
      <c r="O413" t="s">
        <v>1753</v>
      </c>
    </row>
    <row r="414" spans="1:15" ht="15" customHeight="1" x14ac:dyDescent="0.2">
      <c r="A414">
        <v>27</v>
      </c>
      <c r="B414" t="s">
        <v>330</v>
      </c>
      <c r="C414" t="s">
        <v>153</v>
      </c>
      <c r="D414" t="s">
        <v>189</v>
      </c>
      <c r="F414" t="s">
        <v>1754</v>
      </c>
      <c r="G414" t="s">
        <v>1755</v>
      </c>
      <c r="H414" t="s">
        <v>673</v>
      </c>
      <c r="I414" t="s">
        <v>657</v>
      </c>
      <c r="J414" t="s">
        <v>658</v>
      </c>
      <c r="K414" t="s">
        <v>685</v>
      </c>
      <c r="N414" t="s">
        <v>659</v>
      </c>
      <c r="O414" t="s">
        <v>1756</v>
      </c>
    </row>
    <row r="415" spans="1:15" ht="15" customHeight="1" x14ac:dyDescent="0.2">
      <c r="A415">
        <v>27</v>
      </c>
      <c r="B415" t="s">
        <v>330</v>
      </c>
      <c r="C415" t="s">
        <v>153</v>
      </c>
      <c r="D415" t="s">
        <v>189</v>
      </c>
      <c r="F415" t="s">
        <v>1757</v>
      </c>
      <c r="G415" t="s">
        <v>1758</v>
      </c>
      <c r="H415" t="s">
        <v>673</v>
      </c>
      <c r="I415" t="s">
        <v>657</v>
      </c>
      <c r="J415" t="s">
        <v>658</v>
      </c>
      <c r="K415" t="s">
        <v>685</v>
      </c>
      <c r="N415" t="s">
        <v>659</v>
      </c>
      <c r="O415" t="s">
        <v>1759</v>
      </c>
    </row>
    <row r="416" spans="1:15" ht="15" customHeight="1" x14ac:dyDescent="0.2">
      <c r="A416">
        <v>27</v>
      </c>
      <c r="B416" t="s">
        <v>330</v>
      </c>
      <c r="C416" t="s">
        <v>153</v>
      </c>
      <c r="D416" t="s">
        <v>189</v>
      </c>
      <c r="F416" t="s">
        <v>1760</v>
      </c>
      <c r="G416" t="s">
        <v>1761</v>
      </c>
      <c r="H416" t="s">
        <v>656</v>
      </c>
      <c r="I416" t="s">
        <v>657</v>
      </c>
      <c r="J416" t="s">
        <v>658</v>
      </c>
      <c r="N416" t="s">
        <v>659</v>
      </c>
      <c r="O416" t="s">
        <v>1383</v>
      </c>
    </row>
    <row r="417" spans="1:15" ht="15" customHeight="1" x14ac:dyDescent="0.2">
      <c r="A417">
        <v>27</v>
      </c>
      <c r="B417" t="s">
        <v>330</v>
      </c>
      <c r="C417" t="s">
        <v>153</v>
      </c>
      <c r="D417" t="s">
        <v>189</v>
      </c>
      <c r="F417" t="s">
        <v>1762</v>
      </c>
      <c r="G417" t="s">
        <v>1763</v>
      </c>
      <c r="H417" t="s">
        <v>673</v>
      </c>
      <c r="I417" t="s">
        <v>657</v>
      </c>
      <c r="J417" t="s">
        <v>658</v>
      </c>
      <c r="N417" t="s">
        <v>659</v>
      </c>
      <c r="O417" t="s">
        <v>1392</v>
      </c>
    </row>
    <row r="418" spans="1:15" ht="15" customHeight="1" x14ac:dyDescent="0.2">
      <c r="A418">
        <v>27</v>
      </c>
      <c r="B418" t="s">
        <v>330</v>
      </c>
      <c r="C418" t="s">
        <v>153</v>
      </c>
      <c r="D418" t="s">
        <v>189</v>
      </c>
      <c r="F418" t="s">
        <v>1764</v>
      </c>
      <c r="G418" t="s">
        <v>1765</v>
      </c>
      <c r="H418" t="s">
        <v>673</v>
      </c>
      <c r="I418" t="s">
        <v>657</v>
      </c>
      <c r="J418" t="s">
        <v>658</v>
      </c>
      <c r="K418" t="s">
        <v>685</v>
      </c>
      <c r="N418" t="s">
        <v>659</v>
      </c>
      <c r="O418" t="s">
        <v>1395</v>
      </c>
    </row>
    <row r="419" spans="1:15" ht="15" customHeight="1" x14ac:dyDescent="0.2">
      <c r="A419">
        <v>27</v>
      </c>
      <c r="B419" t="s">
        <v>330</v>
      </c>
      <c r="C419" t="s">
        <v>153</v>
      </c>
      <c r="D419" t="s">
        <v>189</v>
      </c>
      <c r="F419" t="s">
        <v>1766</v>
      </c>
      <c r="G419" t="s">
        <v>1767</v>
      </c>
      <c r="H419" t="s">
        <v>656</v>
      </c>
      <c r="I419" t="s">
        <v>657</v>
      </c>
      <c r="J419" t="s">
        <v>658</v>
      </c>
      <c r="N419" t="s">
        <v>659</v>
      </c>
      <c r="O419" t="s">
        <v>1398</v>
      </c>
    </row>
    <row r="420" spans="1:15" ht="15" customHeight="1" x14ac:dyDescent="0.2">
      <c r="A420">
        <v>27</v>
      </c>
      <c r="B420" t="s">
        <v>330</v>
      </c>
      <c r="C420" t="s">
        <v>153</v>
      </c>
      <c r="D420" t="s">
        <v>189</v>
      </c>
      <c r="F420" t="s">
        <v>1768</v>
      </c>
      <c r="G420" t="s">
        <v>1769</v>
      </c>
      <c r="H420" t="s">
        <v>656</v>
      </c>
      <c r="I420" t="s">
        <v>657</v>
      </c>
      <c r="J420" t="s">
        <v>658</v>
      </c>
      <c r="N420" t="s">
        <v>659</v>
      </c>
      <c r="O420" t="s">
        <v>1770</v>
      </c>
    </row>
    <row r="421" spans="1:15" ht="15" customHeight="1" x14ac:dyDescent="0.2">
      <c r="A421">
        <v>27</v>
      </c>
      <c r="B421" t="s">
        <v>330</v>
      </c>
      <c r="C421" t="s">
        <v>153</v>
      </c>
      <c r="D421" t="s">
        <v>189</v>
      </c>
      <c r="F421" t="s">
        <v>1771</v>
      </c>
      <c r="G421" t="s">
        <v>1772</v>
      </c>
      <c r="H421" t="s">
        <v>656</v>
      </c>
      <c r="I421" t="s">
        <v>657</v>
      </c>
      <c r="J421" t="s">
        <v>663</v>
      </c>
      <c r="N421" t="s">
        <v>659</v>
      </c>
      <c r="O421" t="s">
        <v>1055</v>
      </c>
    </row>
    <row r="422" spans="1:15" ht="15" customHeight="1" x14ac:dyDescent="0.2">
      <c r="A422">
        <v>27</v>
      </c>
      <c r="B422" t="s">
        <v>330</v>
      </c>
      <c r="C422" t="s">
        <v>153</v>
      </c>
      <c r="D422" t="s">
        <v>189</v>
      </c>
      <c r="F422" t="s">
        <v>1773</v>
      </c>
      <c r="G422" t="s">
        <v>1774</v>
      </c>
      <c r="H422" t="s">
        <v>1160</v>
      </c>
      <c r="I422" t="s">
        <v>657</v>
      </c>
      <c r="J422" t="s">
        <v>658</v>
      </c>
      <c r="K422" t="s">
        <v>685</v>
      </c>
      <c r="N422" t="s">
        <v>659</v>
      </c>
      <c r="O422">
        <v>35</v>
      </c>
    </row>
    <row r="423" spans="1:15" ht="15" customHeight="1" x14ac:dyDescent="0.2">
      <c r="A423">
        <v>27</v>
      </c>
      <c r="B423" t="s">
        <v>330</v>
      </c>
      <c r="C423" t="s">
        <v>153</v>
      </c>
      <c r="D423" t="s">
        <v>189</v>
      </c>
      <c r="F423" t="s">
        <v>1775</v>
      </c>
      <c r="G423" t="s">
        <v>1776</v>
      </c>
      <c r="H423" t="s">
        <v>1777</v>
      </c>
      <c r="I423" t="s">
        <v>657</v>
      </c>
      <c r="J423" t="s">
        <v>658</v>
      </c>
      <c r="K423" t="s">
        <v>685</v>
      </c>
      <c r="N423" t="s">
        <v>659</v>
      </c>
      <c r="O423">
        <v>35</v>
      </c>
    </row>
    <row r="424" spans="1:15" ht="15" customHeight="1" x14ac:dyDescent="0.2">
      <c r="A424">
        <v>27</v>
      </c>
      <c r="B424" t="s">
        <v>330</v>
      </c>
      <c r="C424" t="s">
        <v>153</v>
      </c>
      <c r="D424" t="s">
        <v>189</v>
      </c>
      <c r="F424" t="s">
        <v>1778</v>
      </c>
      <c r="G424" t="s">
        <v>1779</v>
      </c>
      <c r="H424" t="s">
        <v>673</v>
      </c>
      <c r="I424" t="s">
        <v>657</v>
      </c>
      <c r="J424" t="s">
        <v>663</v>
      </c>
      <c r="K424" t="s">
        <v>685</v>
      </c>
      <c r="N424" t="s">
        <v>659</v>
      </c>
      <c r="O424">
        <v>36</v>
      </c>
    </row>
    <row r="425" spans="1:15" ht="15" customHeight="1" x14ac:dyDescent="0.2">
      <c r="A425">
        <v>27</v>
      </c>
      <c r="B425" t="s">
        <v>330</v>
      </c>
      <c r="C425" t="s">
        <v>153</v>
      </c>
      <c r="D425" t="s">
        <v>189</v>
      </c>
      <c r="F425" t="s">
        <v>1780</v>
      </c>
      <c r="G425" t="s">
        <v>1781</v>
      </c>
      <c r="H425" t="s">
        <v>673</v>
      </c>
      <c r="I425" t="s">
        <v>657</v>
      </c>
      <c r="J425" t="s">
        <v>658</v>
      </c>
      <c r="K425" t="s">
        <v>685</v>
      </c>
      <c r="N425" t="s">
        <v>659</v>
      </c>
      <c r="O425">
        <v>38</v>
      </c>
    </row>
    <row r="426" spans="1:15" ht="15" customHeight="1" x14ac:dyDescent="0.2">
      <c r="A426">
        <v>27</v>
      </c>
      <c r="B426" t="s">
        <v>330</v>
      </c>
      <c r="C426" t="s">
        <v>153</v>
      </c>
      <c r="D426" t="s">
        <v>189</v>
      </c>
      <c r="F426" t="s">
        <v>1782</v>
      </c>
      <c r="G426" t="s">
        <v>1783</v>
      </c>
      <c r="H426" t="s">
        <v>673</v>
      </c>
      <c r="I426" t="s">
        <v>657</v>
      </c>
      <c r="J426" t="s">
        <v>663</v>
      </c>
      <c r="K426" t="s">
        <v>685</v>
      </c>
      <c r="N426" t="s">
        <v>659</v>
      </c>
      <c r="O426" t="s">
        <v>777</v>
      </c>
    </row>
    <row r="427" spans="1:15" ht="15" customHeight="1" x14ac:dyDescent="0.2">
      <c r="A427">
        <v>27</v>
      </c>
      <c r="B427" t="s">
        <v>330</v>
      </c>
      <c r="C427" t="s">
        <v>153</v>
      </c>
      <c r="D427" t="s">
        <v>189</v>
      </c>
      <c r="F427" t="s">
        <v>1784</v>
      </c>
      <c r="G427" t="s">
        <v>1785</v>
      </c>
      <c r="H427" t="s">
        <v>673</v>
      </c>
      <c r="I427" t="s">
        <v>657</v>
      </c>
      <c r="J427" t="s">
        <v>663</v>
      </c>
      <c r="K427" t="s">
        <v>685</v>
      </c>
      <c r="N427" t="s">
        <v>659</v>
      </c>
      <c r="O427" t="s">
        <v>780</v>
      </c>
    </row>
    <row r="428" spans="1:15" ht="15" customHeight="1" x14ac:dyDescent="0.2">
      <c r="A428">
        <v>27</v>
      </c>
      <c r="B428" t="s">
        <v>330</v>
      </c>
      <c r="C428" t="s">
        <v>153</v>
      </c>
      <c r="D428" t="s">
        <v>189</v>
      </c>
      <c r="F428" t="s">
        <v>1786</v>
      </c>
      <c r="G428" t="s">
        <v>1787</v>
      </c>
      <c r="H428" t="s">
        <v>673</v>
      </c>
      <c r="I428" t="s">
        <v>657</v>
      </c>
      <c r="J428" t="s">
        <v>663</v>
      </c>
      <c r="K428" t="s">
        <v>685</v>
      </c>
      <c r="N428" t="s">
        <v>659</v>
      </c>
      <c r="O428" t="s">
        <v>783</v>
      </c>
    </row>
    <row r="429" spans="1:15" ht="15" customHeight="1" x14ac:dyDescent="0.2">
      <c r="A429">
        <v>27</v>
      </c>
      <c r="B429" t="s">
        <v>330</v>
      </c>
      <c r="C429" t="s">
        <v>153</v>
      </c>
      <c r="D429" t="s">
        <v>189</v>
      </c>
      <c r="F429" t="s">
        <v>1788</v>
      </c>
      <c r="G429" t="s">
        <v>1789</v>
      </c>
      <c r="H429" t="s">
        <v>673</v>
      </c>
      <c r="I429" t="s">
        <v>657</v>
      </c>
      <c r="J429" t="s">
        <v>663</v>
      </c>
      <c r="K429" t="s">
        <v>685</v>
      </c>
      <c r="N429" t="s">
        <v>659</v>
      </c>
      <c r="O429" t="s">
        <v>786</v>
      </c>
    </row>
    <row r="430" spans="1:15" ht="15" customHeight="1" x14ac:dyDescent="0.2">
      <c r="A430">
        <v>27</v>
      </c>
      <c r="B430" t="s">
        <v>330</v>
      </c>
      <c r="C430" t="s">
        <v>153</v>
      </c>
      <c r="D430" t="s">
        <v>189</v>
      </c>
      <c r="F430" t="s">
        <v>1790</v>
      </c>
      <c r="G430" t="s">
        <v>1791</v>
      </c>
      <c r="H430" t="s">
        <v>673</v>
      </c>
      <c r="I430" t="s">
        <v>657</v>
      </c>
      <c r="J430" t="s">
        <v>663</v>
      </c>
      <c r="K430" t="s">
        <v>685</v>
      </c>
      <c r="N430" t="s">
        <v>659</v>
      </c>
      <c r="O430" t="s">
        <v>789</v>
      </c>
    </row>
    <row r="431" spans="1:15" ht="15" customHeight="1" x14ac:dyDescent="0.2">
      <c r="A431">
        <v>27</v>
      </c>
      <c r="B431" t="s">
        <v>330</v>
      </c>
      <c r="C431" t="s">
        <v>153</v>
      </c>
      <c r="D431" t="s">
        <v>189</v>
      </c>
      <c r="F431" t="s">
        <v>1792</v>
      </c>
      <c r="G431" t="s">
        <v>1793</v>
      </c>
      <c r="H431" t="s">
        <v>1777</v>
      </c>
      <c r="I431" t="s">
        <v>657</v>
      </c>
      <c r="J431" t="s">
        <v>663</v>
      </c>
      <c r="K431" t="s">
        <v>685</v>
      </c>
      <c r="N431" t="s">
        <v>659</v>
      </c>
      <c r="O431" t="s">
        <v>1794</v>
      </c>
    </row>
    <row r="432" spans="1:15" ht="15" customHeight="1" x14ac:dyDescent="0.2">
      <c r="A432">
        <v>27</v>
      </c>
      <c r="B432" t="s">
        <v>330</v>
      </c>
      <c r="C432" t="s">
        <v>153</v>
      </c>
      <c r="D432" t="s">
        <v>189</v>
      </c>
      <c r="F432" t="s">
        <v>1795</v>
      </c>
      <c r="G432" t="s">
        <v>1796</v>
      </c>
      <c r="H432" t="s">
        <v>1777</v>
      </c>
      <c r="I432" t="s">
        <v>657</v>
      </c>
      <c r="J432" t="s">
        <v>663</v>
      </c>
      <c r="K432" t="s">
        <v>685</v>
      </c>
      <c r="N432" t="s">
        <v>659</v>
      </c>
      <c r="O432" t="s">
        <v>1797</v>
      </c>
    </row>
    <row r="433" spans="1:15" ht="15" customHeight="1" x14ac:dyDescent="0.2">
      <c r="A433">
        <v>27</v>
      </c>
      <c r="B433" t="s">
        <v>330</v>
      </c>
      <c r="C433" t="s">
        <v>153</v>
      </c>
      <c r="D433" t="s">
        <v>189</v>
      </c>
      <c r="F433" t="s">
        <v>1798</v>
      </c>
      <c r="G433" t="s">
        <v>1799</v>
      </c>
      <c r="H433" t="s">
        <v>1777</v>
      </c>
      <c r="I433" t="s">
        <v>657</v>
      </c>
      <c r="J433" t="s">
        <v>663</v>
      </c>
      <c r="K433" t="s">
        <v>685</v>
      </c>
      <c r="N433" t="s">
        <v>659</v>
      </c>
      <c r="O433" t="s">
        <v>1800</v>
      </c>
    </row>
    <row r="434" spans="1:15" ht="15" customHeight="1" x14ac:dyDescent="0.2">
      <c r="A434">
        <v>27</v>
      </c>
      <c r="B434" t="s">
        <v>330</v>
      </c>
      <c r="C434" t="s">
        <v>153</v>
      </c>
      <c r="D434" t="s">
        <v>189</v>
      </c>
      <c r="F434" t="s">
        <v>1801</v>
      </c>
      <c r="G434" t="s">
        <v>1802</v>
      </c>
      <c r="H434" t="s">
        <v>1777</v>
      </c>
      <c r="I434" t="s">
        <v>657</v>
      </c>
      <c r="J434" t="s">
        <v>663</v>
      </c>
      <c r="K434" t="s">
        <v>685</v>
      </c>
      <c r="N434" t="s">
        <v>659</v>
      </c>
      <c r="O434" t="s">
        <v>1803</v>
      </c>
    </row>
    <row r="435" spans="1:15" ht="15" customHeight="1" x14ac:dyDescent="0.2">
      <c r="A435">
        <v>27</v>
      </c>
      <c r="B435" t="s">
        <v>330</v>
      </c>
      <c r="C435" t="s">
        <v>153</v>
      </c>
      <c r="D435" t="s">
        <v>189</v>
      </c>
      <c r="F435" t="s">
        <v>1804</v>
      </c>
      <c r="G435" t="s">
        <v>1805</v>
      </c>
      <c r="H435" t="s">
        <v>673</v>
      </c>
      <c r="I435" t="s">
        <v>657</v>
      </c>
      <c r="J435" t="s">
        <v>663</v>
      </c>
      <c r="K435" t="s">
        <v>685</v>
      </c>
      <c r="N435" t="s">
        <v>659</v>
      </c>
      <c r="O435">
        <v>39</v>
      </c>
    </row>
    <row r="436" spans="1:15" ht="15" customHeight="1" x14ac:dyDescent="0.2">
      <c r="A436">
        <v>27</v>
      </c>
      <c r="B436" t="s">
        <v>330</v>
      </c>
      <c r="C436" t="s">
        <v>153</v>
      </c>
      <c r="D436" t="s">
        <v>189</v>
      </c>
      <c r="F436" t="s">
        <v>1806</v>
      </c>
      <c r="G436" t="s">
        <v>1807</v>
      </c>
      <c r="H436" t="s">
        <v>1160</v>
      </c>
      <c r="I436" t="s">
        <v>657</v>
      </c>
      <c r="J436" t="s">
        <v>663</v>
      </c>
      <c r="K436" t="s">
        <v>685</v>
      </c>
      <c r="N436" t="s">
        <v>659</v>
      </c>
      <c r="O436" t="s">
        <v>1004</v>
      </c>
    </row>
    <row r="437" spans="1:15" ht="15" customHeight="1" x14ac:dyDescent="0.2">
      <c r="A437">
        <v>27</v>
      </c>
      <c r="B437" t="s">
        <v>330</v>
      </c>
      <c r="C437" t="s">
        <v>153</v>
      </c>
      <c r="D437" t="s">
        <v>189</v>
      </c>
      <c r="F437" t="s">
        <v>1808</v>
      </c>
      <c r="G437" t="s">
        <v>1809</v>
      </c>
      <c r="H437" t="s">
        <v>1777</v>
      </c>
      <c r="I437" t="s">
        <v>657</v>
      </c>
      <c r="J437" t="s">
        <v>663</v>
      </c>
      <c r="K437" t="s">
        <v>685</v>
      </c>
      <c r="N437" t="s">
        <v>659</v>
      </c>
      <c r="O437" t="s">
        <v>1004</v>
      </c>
    </row>
    <row r="438" spans="1:15" ht="15" customHeight="1" x14ac:dyDescent="0.2">
      <c r="A438">
        <v>27</v>
      </c>
      <c r="B438" t="s">
        <v>330</v>
      </c>
      <c r="C438" t="s">
        <v>153</v>
      </c>
      <c r="D438" t="s">
        <v>189</v>
      </c>
      <c r="F438" t="s">
        <v>1810</v>
      </c>
      <c r="G438" t="s">
        <v>1811</v>
      </c>
      <c r="H438" t="s">
        <v>673</v>
      </c>
      <c r="I438" t="s">
        <v>657</v>
      </c>
      <c r="J438" t="s">
        <v>663</v>
      </c>
      <c r="K438" t="s">
        <v>685</v>
      </c>
      <c r="N438" t="s">
        <v>659</v>
      </c>
      <c r="O438">
        <v>40</v>
      </c>
    </row>
    <row r="439" spans="1:15" ht="15" customHeight="1" x14ac:dyDescent="0.2">
      <c r="A439">
        <v>27</v>
      </c>
      <c r="B439" t="s">
        <v>330</v>
      </c>
      <c r="C439" t="s">
        <v>153</v>
      </c>
      <c r="D439" t="s">
        <v>189</v>
      </c>
      <c r="F439" t="s">
        <v>1812</v>
      </c>
      <c r="G439" t="s">
        <v>1813</v>
      </c>
      <c r="H439" t="s">
        <v>673</v>
      </c>
      <c r="I439" t="s">
        <v>657</v>
      </c>
      <c r="J439" t="s">
        <v>663</v>
      </c>
      <c r="K439" t="s">
        <v>685</v>
      </c>
      <c r="N439" t="s">
        <v>659</v>
      </c>
      <c r="O439" t="s">
        <v>1419</v>
      </c>
    </row>
    <row r="440" spans="1:15" ht="15" customHeight="1" x14ac:dyDescent="0.2">
      <c r="A440">
        <v>27</v>
      </c>
      <c r="B440" t="s">
        <v>330</v>
      </c>
      <c r="C440" t="s">
        <v>153</v>
      </c>
      <c r="D440" t="s">
        <v>189</v>
      </c>
      <c r="F440" t="s">
        <v>1814</v>
      </c>
      <c r="G440" t="s">
        <v>1815</v>
      </c>
      <c r="H440" t="s">
        <v>673</v>
      </c>
      <c r="I440" t="s">
        <v>657</v>
      </c>
      <c r="J440" t="s">
        <v>663</v>
      </c>
      <c r="K440" t="s">
        <v>685</v>
      </c>
      <c r="N440" t="s">
        <v>659</v>
      </c>
      <c r="O440" t="s">
        <v>1422</v>
      </c>
    </row>
    <row r="441" spans="1:15" ht="15" customHeight="1" x14ac:dyDescent="0.2">
      <c r="A441">
        <v>27</v>
      </c>
      <c r="B441" t="s">
        <v>330</v>
      </c>
      <c r="C441" t="s">
        <v>153</v>
      </c>
      <c r="D441" t="s">
        <v>189</v>
      </c>
      <c r="F441" t="s">
        <v>1816</v>
      </c>
      <c r="G441" t="s">
        <v>1817</v>
      </c>
      <c r="H441" t="s">
        <v>673</v>
      </c>
      <c r="I441" t="s">
        <v>657</v>
      </c>
      <c r="J441" t="s">
        <v>663</v>
      </c>
      <c r="K441" t="s">
        <v>685</v>
      </c>
      <c r="N441" t="s">
        <v>659</v>
      </c>
      <c r="O441" t="s">
        <v>1818</v>
      </c>
    </row>
    <row r="442" spans="1:15" ht="15" customHeight="1" x14ac:dyDescent="0.2">
      <c r="A442">
        <v>27</v>
      </c>
      <c r="B442" t="s">
        <v>330</v>
      </c>
      <c r="C442" t="s">
        <v>153</v>
      </c>
      <c r="D442" t="s">
        <v>189</v>
      </c>
      <c r="F442" t="s">
        <v>1819</v>
      </c>
      <c r="G442" t="s">
        <v>1820</v>
      </c>
      <c r="H442" t="s">
        <v>673</v>
      </c>
      <c r="I442" t="s">
        <v>657</v>
      </c>
      <c r="J442" t="s">
        <v>663</v>
      </c>
      <c r="K442" t="s">
        <v>685</v>
      </c>
      <c r="N442" t="s">
        <v>659</v>
      </c>
      <c r="O442" t="s">
        <v>1821</v>
      </c>
    </row>
    <row r="443" spans="1:15" ht="15" customHeight="1" x14ac:dyDescent="0.2">
      <c r="A443">
        <v>27</v>
      </c>
      <c r="B443" t="s">
        <v>330</v>
      </c>
      <c r="C443" t="s">
        <v>153</v>
      </c>
      <c r="D443" t="s">
        <v>189</v>
      </c>
      <c r="F443" t="s">
        <v>1822</v>
      </c>
      <c r="G443" t="s">
        <v>1823</v>
      </c>
      <c r="H443" t="s">
        <v>673</v>
      </c>
      <c r="I443" t="s">
        <v>657</v>
      </c>
      <c r="J443" t="s">
        <v>663</v>
      </c>
      <c r="K443" t="s">
        <v>685</v>
      </c>
      <c r="N443" t="s">
        <v>659</v>
      </c>
      <c r="O443" t="s">
        <v>1824</v>
      </c>
    </row>
    <row r="444" spans="1:15" ht="15" customHeight="1" x14ac:dyDescent="0.2">
      <c r="A444">
        <v>27</v>
      </c>
      <c r="B444" t="s">
        <v>330</v>
      </c>
      <c r="C444" t="s">
        <v>153</v>
      </c>
      <c r="D444" t="s">
        <v>189</v>
      </c>
      <c r="F444" t="s">
        <v>1825</v>
      </c>
      <c r="G444" t="s">
        <v>1826</v>
      </c>
      <c r="H444" t="s">
        <v>673</v>
      </c>
      <c r="I444" t="s">
        <v>657</v>
      </c>
      <c r="J444" t="s">
        <v>663</v>
      </c>
      <c r="K444" t="s">
        <v>685</v>
      </c>
      <c r="N444" t="s">
        <v>659</v>
      </c>
      <c r="O444" t="s">
        <v>1827</v>
      </c>
    </row>
    <row r="445" spans="1:15" ht="15" customHeight="1" x14ac:dyDescent="0.2">
      <c r="A445">
        <v>27</v>
      </c>
      <c r="B445" t="s">
        <v>330</v>
      </c>
      <c r="C445" t="s">
        <v>153</v>
      </c>
      <c r="D445" t="s">
        <v>189</v>
      </c>
      <c r="F445" t="s">
        <v>1828</v>
      </c>
      <c r="G445" t="s">
        <v>1829</v>
      </c>
      <c r="H445" t="s">
        <v>673</v>
      </c>
      <c r="I445" t="s">
        <v>657</v>
      </c>
      <c r="J445" t="s">
        <v>663</v>
      </c>
      <c r="K445" t="s">
        <v>685</v>
      </c>
      <c r="N445" t="s">
        <v>659</v>
      </c>
      <c r="O445" t="s">
        <v>1830</v>
      </c>
    </row>
    <row r="446" spans="1:15" ht="15" customHeight="1" x14ac:dyDescent="0.2">
      <c r="A446">
        <v>27</v>
      </c>
      <c r="B446" t="s">
        <v>330</v>
      </c>
      <c r="C446" t="s">
        <v>153</v>
      </c>
      <c r="D446" t="s">
        <v>189</v>
      </c>
      <c r="F446" t="s">
        <v>1831</v>
      </c>
      <c r="G446" t="s">
        <v>1832</v>
      </c>
      <c r="H446" t="s">
        <v>673</v>
      </c>
      <c r="I446" t="s">
        <v>657</v>
      </c>
      <c r="J446" t="s">
        <v>663</v>
      </c>
      <c r="K446" t="s">
        <v>685</v>
      </c>
      <c r="N446" t="s">
        <v>659</v>
      </c>
      <c r="O446" t="s">
        <v>1833</v>
      </c>
    </row>
    <row r="447" spans="1:15" ht="15" customHeight="1" x14ac:dyDescent="0.2">
      <c r="A447">
        <v>27</v>
      </c>
      <c r="B447" t="s">
        <v>330</v>
      </c>
      <c r="C447" t="s">
        <v>153</v>
      </c>
      <c r="D447" t="s">
        <v>189</v>
      </c>
      <c r="F447" t="s">
        <v>1834</v>
      </c>
      <c r="G447" t="s">
        <v>1835</v>
      </c>
      <c r="H447" t="s">
        <v>673</v>
      </c>
      <c r="I447" t="s">
        <v>657</v>
      </c>
      <c r="J447" t="s">
        <v>663</v>
      </c>
      <c r="K447" t="s">
        <v>685</v>
      </c>
      <c r="N447" t="s">
        <v>659</v>
      </c>
      <c r="O447" t="s">
        <v>1836</v>
      </c>
    </row>
    <row r="448" spans="1:15" ht="15" customHeight="1" x14ac:dyDescent="0.2">
      <c r="A448">
        <v>27</v>
      </c>
      <c r="B448" t="s">
        <v>330</v>
      </c>
      <c r="C448" t="s">
        <v>153</v>
      </c>
      <c r="D448" t="s">
        <v>189</v>
      </c>
      <c r="F448" t="s">
        <v>1837</v>
      </c>
      <c r="G448" t="s">
        <v>1838</v>
      </c>
      <c r="H448" t="s">
        <v>673</v>
      </c>
      <c r="I448" t="s">
        <v>657</v>
      </c>
      <c r="J448" t="s">
        <v>663</v>
      </c>
      <c r="K448" t="s">
        <v>685</v>
      </c>
      <c r="N448" t="s">
        <v>659</v>
      </c>
      <c r="O448" t="s">
        <v>1839</v>
      </c>
    </row>
    <row r="449" spans="1:15" ht="15" customHeight="1" x14ac:dyDescent="0.2">
      <c r="A449">
        <v>27</v>
      </c>
      <c r="B449" t="s">
        <v>330</v>
      </c>
      <c r="C449" t="s">
        <v>153</v>
      </c>
      <c r="D449" t="s">
        <v>189</v>
      </c>
      <c r="F449" t="s">
        <v>1840</v>
      </c>
      <c r="G449" t="s">
        <v>1841</v>
      </c>
      <c r="H449" t="s">
        <v>1163</v>
      </c>
      <c r="I449" t="s">
        <v>678</v>
      </c>
      <c r="J449" t="s">
        <v>658</v>
      </c>
      <c r="L449" t="s">
        <v>1842</v>
      </c>
      <c r="N449" t="s">
        <v>659</v>
      </c>
      <c r="O449" t="s">
        <v>1843</v>
      </c>
    </row>
    <row r="450" spans="1:15" ht="15" customHeight="1" x14ac:dyDescent="0.2">
      <c r="A450">
        <v>27</v>
      </c>
      <c r="B450" t="s">
        <v>330</v>
      </c>
      <c r="C450" t="s">
        <v>153</v>
      </c>
      <c r="D450" t="s">
        <v>189</v>
      </c>
      <c r="F450" t="s">
        <v>1844</v>
      </c>
      <c r="G450" t="s">
        <v>1845</v>
      </c>
      <c r="H450" t="s">
        <v>673</v>
      </c>
      <c r="I450" t="s">
        <v>657</v>
      </c>
      <c r="J450" t="s">
        <v>658</v>
      </c>
      <c r="L450" t="s">
        <v>1283</v>
      </c>
      <c r="N450" t="s">
        <v>659</v>
      </c>
      <c r="O450" t="s">
        <v>1843</v>
      </c>
    </row>
    <row r="451" spans="1:15" ht="15" customHeight="1" x14ac:dyDescent="0.2">
      <c r="A451">
        <v>27</v>
      </c>
      <c r="B451" t="s">
        <v>330</v>
      </c>
      <c r="C451" t="s">
        <v>153</v>
      </c>
      <c r="D451" t="s">
        <v>189</v>
      </c>
      <c r="F451" t="s">
        <v>1846</v>
      </c>
      <c r="G451" t="s">
        <v>1847</v>
      </c>
      <c r="H451" t="s">
        <v>673</v>
      </c>
      <c r="I451" t="s">
        <v>657</v>
      </c>
      <c r="J451" t="s">
        <v>658</v>
      </c>
      <c r="L451" t="s">
        <v>1283</v>
      </c>
      <c r="N451" t="s">
        <v>659</v>
      </c>
      <c r="O451" t="s">
        <v>1848</v>
      </c>
    </row>
    <row r="452" spans="1:15" ht="15" customHeight="1" x14ac:dyDescent="0.2">
      <c r="A452">
        <v>27</v>
      </c>
      <c r="B452" t="s">
        <v>330</v>
      </c>
      <c r="C452" t="s">
        <v>153</v>
      </c>
      <c r="D452" t="s">
        <v>189</v>
      </c>
      <c r="F452" t="s">
        <v>1849</v>
      </c>
      <c r="G452" t="s">
        <v>1850</v>
      </c>
      <c r="H452" t="s">
        <v>673</v>
      </c>
      <c r="I452" t="s">
        <v>657</v>
      </c>
      <c r="J452" t="s">
        <v>658</v>
      </c>
      <c r="L452" t="s">
        <v>1283</v>
      </c>
      <c r="N452" t="s">
        <v>659</v>
      </c>
      <c r="O452" t="s">
        <v>1851</v>
      </c>
    </row>
    <row r="453" spans="1:15" ht="15" customHeight="1" x14ac:dyDescent="0.2">
      <c r="A453">
        <v>27</v>
      </c>
      <c r="B453" t="s">
        <v>330</v>
      </c>
      <c r="C453" t="s">
        <v>153</v>
      </c>
      <c r="D453" t="s">
        <v>189</v>
      </c>
      <c r="F453" t="s">
        <v>1852</v>
      </c>
      <c r="G453" t="s">
        <v>1853</v>
      </c>
      <c r="H453" t="s">
        <v>673</v>
      </c>
      <c r="I453" t="s">
        <v>657</v>
      </c>
      <c r="J453" t="s">
        <v>663</v>
      </c>
      <c r="L453" t="s">
        <v>1283</v>
      </c>
      <c r="N453" t="s">
        <v>659</v>
      </c>
      <c r="O453" t="s">
        <v>1854</v>
      </c>
    </row>
    <row r="454" spans="1:15" ht="15" customHeight="1" x14ac:dyDescent="0.2">
      <c r="A454">
        <v>27</v>
      </c>
      <c r="B454" t="s">
        <v>330</v>
      </c>
      <c r="C454" t="s">
        <v>153</v>
      </c>
      <c r="D454" t="s">
        <v>189</v>
      </c>
      <c r="F454" t="s">
        <v>1855</v>
      </c>
      <c r="G454" t="s">
        <v>1856</v>
      </c>
      <c r="H454" t="s">
        <v>677</v>
      </c>
      <c r="I454" t="s">
        <v>678</v>
      </c>
      <c r="J454" t="s">
        <v>663</v>
      </c>
      <c r="L454" t="s">
        <v>1283</v>
      </c>
      <c r="N454" t="s">
        <v>659</v>
      </c>
      <c r="O454" t="s">
        <v>1854</v>
      </c>
    </row>
    <row r="455" spans="1:15" ht="15" customHeight="1" x14ac:dyDescent="0.2">
      <c r="A455">
        <v>28</v>
      </c>
      <c r="B455" t="s">
        <v>258</v>
      </c>
      <c r="C455" t="s">
        <v>264</v>
      </c>
      <c r="D455" t="s">
        <v>189</v>
      </c>
      <c r="F455" t="s">
        <v>1857</v>
      </c>
      <c r="G455" t="s">
        <v>1858</v>
      </c>
      <c r="H455" t="s">
        <v>673</v>
      </c>
      <c r="I455" t="s">
        <v>657</v>
      </c>
      <c r="J455" t="s">
        <v>658</v>
      </c>
      <c r="N455" t="s">
        <v>659</v>
      </c>
      <c r="O455">
        <v>15</v>
      </c>
    </row>
    <row r="456" spans="1:15" ht="15" customHeight="1" x14ac:dyDescent="0.2">
      <c r="A456">
        <v>28</v>
      </c>
      <c r="B456" t="s">
        <v>258</v>
      </c>
      <c r="C456" t="s">
        <v>264</v>
      </c>
      <c r="D456" t="s">
        <v>189</v>
      </c>
      <c r="F456" t="s">
        <v>1859</v>
      </c>
      <c r="G456" t="s">
        <v>1860</v>
      </c>
      <c r="H456" t="s">
        <v>673</v>
      </c>
      <c r="I456" t="s">
        <v>657</v>
      </c>
      <c r="J456" t="s">
        <v>658</v>
      </c>
      <c r="N456" t="s">
        <v>659</v>
      </c>
      <c r="O456">
        <v>16</v>
      </c>
    </row>
    <row r="457" spans="1:15" ht="15" customHeight="1" x14ac:dyDescent="0.2">
      <c r="A457">
        <v>28</v>
      </c>
      <c r="B457" t="s">
        <v>258</v>
      </c>
      <c r="C457" t="s">
        <v>264</v>
      </c>
      <c r="D457" t="s">
        <v>189</v>
      </c>
      <c r="F457" t="s">
        <v>1861</v>
      </c>
      <c r="G457" t="s">
        <v>1862</v>
      </c>
      <c r="H457" t="s">
        <v>673</v>
      </c>
      <c r="I457" t="s">
        <v>657</v>
      </c>
      <c r="J457" t="s">
        <v>658</v>
      </c>
      <c r="N457" t="s">
        <v>659</v>
      </c>
      <c r="O457" t="s">
        <v>1863</v>
      </c>
    </row>
    <row r="458" spans="1:15" ht="15" customHeight="1" x14ac:dyDescent="0.2">
      <c r="A458">
        <v>28</v>
      </c>
      <c r="B458" t="s">
        <v>258</v>
      </c>
      <c r="C458" t="s">
        <v>264</v>
      </c>
      <c r="D458" t="s">
        <v>189</v>
      </c>
      <c r="F458" t="s">
        <v>1864</v>
      </c>
      <c r="G458" t="s">
        <v>1865</v>
      </c>
      <c r="H458" t="s">
        <v>673</v>
      </c>
      <c r="I458" t="s">
        <v>657</v>
      </c>
      <c r="J458" t="s">
        <v>658</v>
      </c>
      <c r="N458" t="s">
        <v>659</v>
      </c>
      <c r="O458" t="s">
        <v>1866</v>
      </c>
    </row>
    <row r="459" spans="1:15" ht="15" customHeight="1" x14ac:dyDescent="0.2">
      <c r="A459">
        <v>28</v>
      </c>
      <c r="B459" t="s">
        <v>258</v>
      </c>
      <c r="C459" t="s">
        <v>264</v>
      </c>
      <c r="D459" t="s">
        <v>189</v>
      </c>
      <c r="F459" t="s">
        <v>1867</v>
      </c>
      <c r="G459" t="s">
        <v>1222</v>
      </c>
      <c r="H459" t="s">
        <v>673</v>
      </c>
      <c r="I459" t="s">
        <v>657</v>
      </c>
      <c r="J459" t="s">
        <v>658</v>
      </c>
      <c r="N459" t="s">
        <v>659</v>
      </c>
      <c r="O459" t="s">
        <v>1868</v>
      </c>
    </row>
    <row r="460" spans="1:15" ht="15" customHeight="1" x14ac:dyDescent="0.2">
      <c r="A460">
        <v>28</v>
      </c>
      <c r="B460" t="s">
        <v>258</v>
      </c>
      <c r="C460" t="s">
        <v>264</v>
      </c>
      <c r="D460" t="s">
        <v>189</v>
      </c>
      <c r="F460" t="s">
        <v>1869</v>
      </c>
      <c r="G460" t="s">
        <v>1870</v>
      </c>
      <c r="H460" t="s">
        <v>673</v>
      </c>
      <c r="I460" t="s">
        <v>657</v>
      </c>
      <c r="J460" t="s">
        <v>658</v>
      </c>
      <c r="N460" t="s">
        <v>659</v>
      </c>
      <c r="O460">
        <v>17</v>
      </c>
    </row>
    <row r="461" spans="1:15" ht="15" customHeight="1" x14ac:dyDescent="0.2">
      <c r="A461">
        <v>28</v>
      </c>
      <c r="B461" t="s">
        <v>258</v>
      </c>
      <c r="C461" t="s">
        <v>264</v>
      </c>
      <c r="D461" t="s">
        <v>189</v>
      </c>
      <c r="F461" t="s">
        <v>1871</v>
      </c>
      <c r="G461" t="s">
        <v>1872</v>
      </c>
      <c r="H461" t="s">
        <v>673</v>
      </c>
      <c r="I461" t="s">
        <v>657</v>
      </c>
      <c r="J461" t="s">
        <v>658</v>
      </c>
      <c r="N461" t="s">
        <v>659</v>
      </c>
      <c r="O461">
        <v>17</v>
      </c>
    </row>
    <row r="462" spans="1:15" ht="15" customHeight="1" x14ac:dyDescent="0.2">
      <c r="A462">
        <v>28</v>
      </c>
      <c r="B462" t="s">
        <v>258</v>
      </c>
      <c r="C462" t="s">
        <v>264</v>
      </c>
      <c r="D462" t="s">
        <v>189</v>
      </c>
      <c r="F462" t="s">
        <v>1873</v>
      </c>
      <c r="G462" t="s">
        <v>1212</v>
      </c>
      <c r="H462" t="s">
        <v>673</v>
      </c>
      <c r="I462" t="s">
        <v>657</v>
      </c>
      <c r="J462" t="s">
        <v>663</v>
      </c>
      <c r="N462" t="s">
        <v>659</v>
      </c>
      <c r="O462" t="s">
        <v>1874</v>
      </c>
    </row>
    <row r="463" spans="1:15" ht="15" customHeight="1" x14ac:dyDescent="0.2">
      <c r="A463">
        <v>28</v>
      </c>
      <c r="B463" t="s">
        <v>258</v>
      </c>
      <c r="C463" t="s">
        <v>264</v>
      </c>
      <c r="D463" t="s">
        <v>189</v>
      </c>
      <c r="F463" t="s">
        <v>1875</v>
      </c>
      <c r="G463" t="s">
        <v>1242</v>
      </c>
      <c r="H463" t="s">
        <v>673</v>
      </c>
      <c r="I463" t="s">
        <v>657</v>
      </c>
      <c r="J463" t="s">
        <v>663</v>
      </c>
      <c r="N463" t="s">
        <v>659</v>
      </c>
      <c r="O463" t="s">
        <v>1876</v>
      </c>
    </row>
    <row r="464" spans="1:15" ht="15" customHeight="1" x14ac:dyDescent="0.2">
      <c r="A464">
        <v>28</v>
      </c>
      <c r="B464" t="s">
        <v>258</v>
      </c>
      <c r="C464" t="s">
        <v>264</v>
      </c>
      <c r="D464" t="s">
        <v>189</v>
      </c>
      <c r="F464" t="s">
        <v>1877</v>
      </c>
      <c r="G464" t="s">
        <v>1878</v>
      </c>
      <c r="H464" t="s">
        <v>673</v>
      </c>
      <c r="I464" t="s">
        <v>657</v>
      </c>
      <c r="J464" t="s">
        <v>658</v>
      </c>
      <c r="N464" t="s">
        <v>659</v>
      </c>
      <c r="O464">
        <v>20</v>
      </c>
    </row>
    <row r="465" spans="1:15" ht="15" customHeight="1" x14ac:dyDescent="0.2">
      <c r="A465">
        <v>28</v>
      </c>
      <c r="B465" t="s">
        <v>258</v>
      </c>
      <c r="C465" t="s">
        <v>264</v>
      </c>
      <c r="D465" t="s">
        <v>189</v>
      </c>
      <c r="F465" t="s">
        <v>1879</v>
      </c>
      <c r="G465" t="s">
        <v>1880</v>
      </c>
      <c r="H465" t="s">
        <v>656</v>
      </c>
      <c r="I465" t="s">
        <v>657</v>
      </c>
      <c r="J465" t="s">
        <v>658</v>
      </c>
      <c r="K465" t="s">
        <v>685</v>
      </c>
      <c r="N465" t="s">
        <v>659</v>
      </c>
      <c r="O465" t="s">
        <v>1009</v>
      </c>
    </row>
    <row r="466" spans="1:15" ht="15" customHeight="1" x14ac:dyDescent="0.2">
      <c r="A466">
        <v>28</v>
      </c>
      <c r="B466" t="s">
        <v>258</v>
      </c>
      <c r="C466" t="s">
        <v>264</v>
      </c>
      <c r="D466" t="s">
        <v>189</v>
      </c>
      <c r="F466" t="s">
        <v>1881</v>
      </c>
      <c r="G466" t="s">
        <v>1345</v>
      </c>
      <c r="H466" t="s">
        <v>673</v>
      </c>
      <c r="I466" t="s">
        <v>657</v>
      </c>
      <c r="J466" t="s">
        <v>658</v>
      </c>
      <c r="K466" t="s">
        <v>685</v>
      </c>
      <c r="N466" t="s">
        <v>659</v>
      </c>
      <c r="O466" t="s">
        <v>1882</v>
      </c>
    </row>
    <row r="467" spans="1:15" ht="15" customHeight="1" x14ac:dyDescent="0.2">
      <c r="A467">
        <v>28</v>
      </c>
      <c r="B467" t="s">
        <v>258</v>
      </c>
      <c r="C467" t="s">
        <v>264</v>
      </c>
      <c r="D467" t="s">
        <v>189</v>
      </c>
      <c r="F467" t="s">
        <v>1883</v>
      </c>
      <c r="G467" t="s">
        <v>1568</v>
      </c>
      <c r="H467" t="s">
        <v>673</v>
      </c>
      <c r="I467" t="s">
        <v>657</v>
      </c>
      <c r="J467" t="s">
        <v>658</v>
      </c>
      <c r="K467" t="s">
        <v>685</v>
      </c>
      <c r="N467" t="s">
        <v>659</v>
      </c>
      <c r="O467" t="s">
        <v>1884</v>
      </c>
    </row>
    <row r="468" spans="1:15" ht="15" customHeight="1" x14ac:dyDescent="0.2">
      <c r="A468">
        <v>28</v>
      </c>
      <c r="B468" t="s">
        <v>258</v>
      </c>
      <c r="C468" t="s">
        <v>264</v>
      </c>
      <c r="D468" t="s">
        <v>189</v>
      </c>
      <c r="F468" t="s">
        <v>1885</v>
      </c>
      <c r="G468" t="s">
        <v>1886</v>
      </c>
      <c r="H468" t="s">
        <v>673</v>
      </c>
      <c r="I468" t="s">
        <v>657</v>
      </c>
      <c r="J468" t="s">
        <v>658</v>
      </c>
      <c r="K468" t="s">
        <v>685</v>
      </c>
      <c r="N468" t="s">
        <v>659</v>
      </c>
      <c r="O468" t="s">
        <v>1887</v>
      </c>
    </row>
    <row r="469" spans="1:15" ht="15" customHeight="1" x14ac:dyDescent="0.2">
      <c r="A469">
        <v>28</v>
      </c>
      <c r="B469" t="s">
        <v>258</v>
      </c>
      <c r="C469" t="s">
        <v>264</v>
      </c>
      <c r="D469" t="s">
        <v>189</v>
      </c>
      <c r="F469" t="s">
        <v>1888</v>
      </c>
      <c r="G469" t="s">
        <v>1889</v>
      </c>
      <c r="H469" t="s">
        <v>673</v>
      </c>
      <c r="I469" t="s">
        <v>657</v>
      </c>
      <c r="J469" t="s">
        <v>658</v>
      </c>
      <c r="K469" t="s">
        <v>685</v>
      </c>
      <c r="N469" t="s">
        <v>659</v>
      </c>
      <c r="O469">
        <v>21</v>
      </c>
    </row>
    <row r="470" spans="1:15" ht="15" customHeight="1" x14ac:dyDescent="0.2">
      <c r="A470">
        <v>28</v>
      </c>
      <c r="B470" t="s">
        <v>258</v>
      </c>
      <c r="C470" t="s">
        <v>264</v>
      </c>
      <c r="D470" t="s">
        <v>189</v>
      </c>
      <c r="F470" t="s">
        <v>1890</v>
      </c>
      <c r="G470" t="s">
        <v>1891</v>
      </c>
      <c r="H470" t="s">
        <v>673</v>
      </c>
      <c r="I470" t="s">
        <v>657</v>
      </c>
      <c r="J470" t="s">
        <v>658</v>
      </c>
      <c r="K470" t="s">
        <v>685</v>
      </c>
      <c r="N470" t="s">
        <v>659</v>
      </c>
      <c r="O470">
        <v>22</v>
      </c>
    </row>
    <row r="471" spans="1:15" ht="15" customHeight="1" x14ac:dyDescent="0.2">
      <c r="A471">
        <v>28</v>
      </c>
      <c r="B471" t="s">
        <v>258</v>
      </c>
      <c r="C471" t="s">
        <v>264</v>
      </c>
      <c r="D471" t="s">
        <v>189</v>
      </c>
      <c r="F471" t="s">
        <v>1892</v>
      </c>
      <c r="G471" t="s">
        <v>1893</v>
      </c>
      <c r="H471" t="s">
        <v>673</v>
      </c>
      <c r="I471" t="s">
        <v>657</v>
      </c>
      <c r="J471" t="s">
        <v>663</v>
      </c>
      <c r="K471" t="s">
        <v>685</v>
      </c>
      <c r="N471" t="s">
        <v>659</v>
      </c>
      <c r="O471">
        <v>22</v>
      </c>
    </row>
    <row r="472" spans="1:15" ht="15" customHeight="1" x14ac:dyDescent="0.2">
      <c r="A472">
        <v>28</v>
      </c>
      <c r="B472" t="s">
        <v>258</v>
      </c>
      <c r="C472" t="s">
        <v>264</v>
      </c>
      <c r="D472" t="s">
        <v>189</v>
      </c>
      <c r="F472" t="s">
        <v>1894</v>
      </c>
      <c r="G472" t="s">
        <v>1895</v>
      </c>
      <c r="H472" t="s">
        <v>656</v>
      </c>
      <c r="I472" t="s">
        <v>657</v>
      </c>
      <c r="J472" t="s">
        <v>663</v>
      </c>
      <c r="N472" t="s">
        <v>659</v>
      </c>
      <c r="O472" t="s">
        <v>1552</v>
      </c>
    </row>
    <row r="473" spans="1:15" ht="15" customHeight="1" x14ac:dyDescent="0.2">
      <c r="A473">
        <v>28</v>
      </c>
      <c r="B473" t="s">
        <v>258</v>
      </c>
      <c r="C473" t="s">
        <v>264</v>
      </c>
      <c r="D473" t="s">
        <v>189</v>
      </c>
      <c r="F473" t="s">
        <v>1896</v>
      </c>
      <c r="G473" t="s">
        <v>1897</v>
      </c>
      <c r="H473" t="s">
        <v>673</v>
      </c>
      <c r="I473" t="s">
        <v>657</v>
      </c>
      <c r="J473" t="s">
        <v>658</v>
      </c>
      <c r="N473" t="s">
        <v>659</v>
      </c>
      <c r="O473" t="s">
        <v>1898</v>
      </c>
    </row>
    <row r="474" spans="1:15" ht="15" customHeight="1" x14ac:dyDescent="0.2">
      <c r="A474">
        <v>28</v>
      </c>
      <c r="B474" t="s">
        <v>258</v>
      </c>
      <c r="C474" t="s">
        <v>264</v>
      </c>
      <c r="D474" t="s">
        <v>189</v>
      </c>
      <c r="F474" t="s">
        <v>1899</v>
      </c>
      <c r="G474" t="s">
        <v>1900</v>
      </c>
      <c r="H474" t="s">
        <v>673</v>
      </c>
      <c r="I474" t="s">
        <v>657</v>
      </c>
      <c r="J474" t="s">
        <v>658</v>
      </c>
      <c r="N474" t="s">
        <v>659</v>
      </c>
      <c r="O474" t="s">
        <v>1901</v>
      </c>
    </row>
    <row r="475" spans="1:15" ht="15" customHeight="1" x14ac:dyDescent="0.2">
      <c r="A475">
        <v>28</v>
      </c>
      <c r="B475" t="s">
        <v>258</v>
      </c>
      <c r="C475" t="s">
        <v>264</v>
      </c>
      <c r="D475" t="s">
        <v>189</v>
      </c>
      <c r="F475" t="s">
        <v>1902</v>
      </c>
      <c r="G475" t="s">
        <v>1394</v>
      </c>
      <c r="H475" t="s">
        <v>673</v>
      </c>
      <c r="I475" t="s">
        <v>657</v>
      </c>
      <c r="J475" t="s">
        <v>658</v>
      </c>
      <c r="N475" t="s">
        <v>659</v>
      </c>
      <c r="O475" t="s">
        <v>1903</v>
      </c>
    </row>
    <row r="476" spans="1:15" ht="15" customHeight="1" x14ac:dyDescent="0.2">
      <c r="A476">
        <v>28</v>
      </c>
      <c r="B476" t="s">
        <v>258</v>
      </c>
      <c r="C476" t="s">
        <v>264</v>
      </c>
      <c r="D476" t="s">
        <v>189</v>
      </c>
      <c r="F476" t="s">
        <v>1904</v>
      </c>
      <c r="G476" t="s">
        <v>1397</v>
      </c>
      <c r="H476" t="s">
        <v>673</v>
      </c>
      <c r="I476" t="s">
        <v>657</v>
      </c>
      <c r="J476" t="s">
        <v>658</v>
      </c>
      <c r="N476" t="s">
        <v>659</v>
      </c>
      <c r="O476" t="s">
        <v>1905</v>
      </c>
    </row>
    <row r="477" spans="1:15" ht="15" customHeight="1" x14ac:dyDescent="0.2">
      <c r="A477">
        <v>28</v>
      </c>
      <c r="B477" t="s">
        <v>258</v>
      </c>
      <c r="C477" t="s">
        <v>264</v>
      </c>
      <c r="D477" t="s">
        <v>189</v>
      </c>
      <c r="F477" t="s">
        <v>1906</v>
      </c>
      <c r="G477" t="s">
        <v>1907</v>
      </c>
      <c r="H477" t="s">
        <v>673</v>
      </c>
      <c r="I477" t="s">
        <v>657</v>
      </c>
      <c r="J477" t="s">
        <v>658</v>
      </c>
      <c r="N477" t="s">
        <v>659</v>
      </c>
      <c r="O477">
        <v>26</v>
      </c>
    </row>
    <row r="478" spans="1:15" ht="15" customHeight="1" x14ac:dyDescent="0.2">
      <c r="A478">
        <v>28</v>
      </c>
      <c r="B478" t="s">
        <v>258</v>
      </c>
      <c r="C478" t="s">
        <v>264</v>
      </c>
      <c r="D478" t="s">
        <v>189</v>
      </c>
      <c r="F478" t="s">
        <v>1908</v>
      </c>
      <c r="G478" t="s">
        <v>1402</v>
      </c>
      <c r="H478" t="s">
        <v>656</v>
      </c>
      <c r="I478" t="s">
        <v>657</v>
      </c>
      <c r="J478" t="s">
        <v>658</v>
      </c>
      <c r="N478" t="s">
        <v>659</v>
      </c>
      <c r="O478">
        <v>26</v>
      </c>
    </row>
    <row r="479" spans="1:15" ht="15" customHeight="1" x14ac:dyDescent="0.2">
      <c r="A479">
        <v>28</v>
      </c>
      <c r="B479" t="s">
        <v>258</v>
      </c>
      <c r="C479" t="s">
        <v>264</v>
      </c>
      <c r="D479" t="s">
        <v>189</v>
      </c>
      <c r="F479" t="s">
        <v>1909</v>
      </c>
      <c r="G479" t="s">
        <v>1891</v>
      </c>
      <c r="H479" t="s">
        <v>673</v>
      </c>
      <c r="I479" t="s">
        <v>657</v>
      </c>
      <c r="J479" t="s">
        <v>658</v>
      </c>
      <c r="N479" t="s">
        <v>659</v>
      </c>
      <c r="O479">
        <v>27</v>
      </c>
    </row>
    <row r="480" spans="1:15" ht="15" customHeight="1" x14ac:dyDescent="0.2">
      <c r="A480">
        <v>28</v>
      </c>
      <c r="B480" t="s">
        <v>258</v>
      </c>
      <c r="C480" t="s">
        <v>264</v>
      </c>
      <c r="D480" t="s">
        <v>189</v>
      </c>
      <c r="F480" t="s">
        <v>1910</v>
      </c>
      <c r="G480" t="s">
        <v>1911</v>
      </c>
      <c r="H480" t="s">
        <v>673</v>
      </c>
      <c r="I480" t="s">
        <v>657</v>
      </c>
      <c r="J480" t="s">
        <v>663</v>
      </c>
      <c r="K480" t="s">
        <v>685</v>
      </c>
      <c r="N480" t="s">
        <v>659</v>
      </c>
      <c r="O480">
        <v>27</v>
      </c>
    </row>
    <row r="481" spans="1:15" ht="15" customHeight="1" x14ac:dyDescent="0.2">
      <c r="A481">
        <v>28</v>
      </c>
      <c r="B481" t="s">
        <v>258</v>
      </c>
      <c r="C481" t="s">
        <v>264</v>
      </c>
      <c r="D481" t="s">
        <v>189</v>
      </c>
      <c r="F481" t="s">
        <v>1912</v>
      </c>
      <c r="G481" t="s">
        <v>1913</v>
      </c>
      <c r="H481" t="s">
        <v>673</v>
      </c>
      <c r="I481" t="s">
        <v>657</v>
      </c>
      <c r="J481" t="s">
        <v>663</v>
      </c>
      <c r="N481" t="s">
        <v>659</v>
      </c>
      <c r="O481" t="s">
        <v>1914</v>
      </c>
    </row>
    <row r="482" spans="1:15" ht="15" customHeight="1" x14ac:dyDescent="0.2">
      <c r="A482">
        <v>28</v>
      </c>
      <c r="B482" t="s">
        <v>258</v>
      </c>
      <c r="C482" t="s">
        <v>264</v>
      </c>
      <c r="D482" t="s">
        <v>189</v>
      </c>
      <c r="F482" t="s">
        <v>1915</v>
      </c>
      <c r="G482" t="s">
        <v>1916</v>
      </c>
      <c r="H482" t="s">
        <v>673</v>
      </c>
      <c r="I482" t="s">
        <v>657</v>
      </c>
      <c r="J482" t="s">
        <v>663</v>
      </c>
      <c r="N482" t="s">
        <v>659</v>
      </c>
      <c r="O482" t="s">
        <v>1917</v>
      </c>
    </row>
    <row r="483" spans="1:15" ht="15" customHeight="1" x14ac:dyDescent="0.2">
      <c r="A483">
        <v>28</v>
      </c>
      <c r="B483" t="s">
        <v>258</v>
      </c>
      <c r="C483" t="s">
        <v>264</v>
      </c>
      <c r="D483" t="s">
        <v>189</v>
      </c>
      <c r="F483" t="s">
        <v>1918</v>
      </c>
      <c r="G483" t="s">
        <v>1603</v>
      </c>
      <c r="H483" t="s">
        <v>656</v>
      </c>
      <c r="I483" t="s">
        <v>657</v>
      </c>
      <c r="J483" t="s">
        <v>663</v>
      </c>
      <c r="N483" t="s">
        <v>659</v>
      </c>
      <c r="O483" t="s">
        <v>1055</v>
      </c>
    </row>
    <row r="484" spans="1:15" ht="15" customHeight="1" x14ac:dyDescent="0.2">
      <c r="A484">
        <v>28</v>
      </c>
      <c r="B484" t="s">
        <v>258</v>
      </c>
      <c r="C484" t="s">
        <v>264</v>
      </c>
      <c r="D484" t="s">
        <v>189</v>
      </c>
      <c r="F484" t="s">
        <v>1919</v>
      </c>
      <c r="G484" t="s">
        <v>1920</v>
      </c>
      <c r="H484" t="s">
        <v>656</v>
      </c>
      <c r="I484" t="s">
        <v>657</v>
      </c>
      <c r="J484" t="s">
        <v>663</v>
      </c>
      <c r="N484" t="s">
        <v>659</v>
      </c>
      <c r="O484" t="s">
        <v>1055</v>
      </c>
    </row>
    <row r="485" spans="1:15" ht="15" customHeight="1" x14ac:dyDescent="0.2">
      <c r="A485">
        <v>28</v>
      </c>
      <c r="B485" t="s">
        <v>258</v>
      </c>
      <c r="C485" t="s">
        <v>264</v>
      </c>
      <c r="D485" t="s">
        <v>189</v>
      </c>
      <c r="F485" t="s">
        <v>1921</v>
      </c>
      <c r="G485" t="s">
        <v>1922</v>
      </c>
      <c r="H485" t="s">
        <v>1160</v>
      </c>
      <c r="I485" t="s">
        <v>657</v>
      </c>
      <c r="J485" t="s">
        <v>663</v>
      </c>
      <c r="N485" t="s">
        <v>659</v>
      </c>
      <c r="O485" t="s">
        <v>1598</v>
      </c>
    </row>
    <row r="486" spans="1:15" ht="15" customHeight="1" x14ac:dyDescent="0.2">
      <c r="A486">
        <v>28</v>
      </c>
      <c r="B486" t="s">
        <v>258</v>
      </c>
      <c r="C486" t="s">
        <v>264</v>
      </c>
      <c r="D486" t="s">
        <v>189</v>
      </c>
      <c r="F486" t="s">
        <v>1923</v>
      </c>
      <c r="G486" t="s">
        <v>1924</v>
      </c>
      <c r="H486" t="s">
        <v>673</v>
      </c>
      <c r="I486" t="s">
        <v>657</v>
      </c>
      <c r="J486" t="s">
        <v>658</v>
      </c>
      <c r="N486" t="s">
        <v>659</v>
      </c>
      <c r="O486" t="s">
        <v>1925</v>
      </c>
    </row>
    <row r="487" spans="1:15" ht="15" customHeight="1" x14ac:dyDescent="0.2">
      <c r="A487">
        <v>28</v>
      </c>
      <c r="B487" t="s">
        <v>258</v>
      </c>
      <c r="C487" t="s">
        <v>264</v>
      </c>
      <c r="D487" t="s">
        <v>189</v>
      </c>
      <c r="F487" t="s">
        <v>1926</v>
      </c>
      <c r="G487" t="s">
        <v>1927</v>
      </c>
      <c r="H487" t="s">
        <v>673</v>
      </c>
      <c r="I487" t="s">
        <v>657</v>
      </c>
      <c r="J487" t="s">
        <v>658</v>
      </c>
      <c r="N487" t="s">
        <v>659</v>
      </c>
      <c r="O487" t="s">
        <v>1928</v>
      </c>
    </row>
    <row r="488" spans="1:15" ht="15" customHeight="1" x14ac:dyDescent="0.2">
      <c r="A488">
        <v>28</v>
      </c>
      <c r="B488" t="s">
        <v>258</v>
      </c>
      <c r="C488" t="s">
        <v>264</v>
      </c>
      <c r="D488" t="s">
        <v>189</v>
      </c>
      <c r="F488" t="s">
        <v>1929</v>
      </c>
      <c r="G488" t="s">
        <v>1930</v>
      </c>
      <c r="H488" t="s">
        <v>673</v>
      </c>
      <c r="I488" t="s">
        <v>657</v>
      </c>
      <c r="J488" t="s">
        <v>658</v>
      </c>
      <c r="N488" t="s">
        <v>659</v>
      </c>
      <c r="O488" t="s">
        <v>1931</v>
      </c>
    </row>
    <row r="489" spans="1:15" ht="15" customHeight="1" x14ac:dyDescent="0.2">
      <c r="A489">
        <v>28</v>
      </c>
      <c r="B489" t="s">
        <v>258</v>
      </c>
      <c r="C489" t="s">
        <v>264</v>
      </c>
      <c r="D489" t="s">
        <v>189</v>
      </c>
      <c r="F489" t="s">
        <v>1932</v>
      </c>
      <c r="G489" t="s">
        <v>1933</v>
      </c>
      <c r="H489" t="s">
        <v>673</v>
      </c>
      <c r="I489" t="s">
        <v>657</v>
      </c>
      <c r="J489" t="s">
        <v>658</v>
      </c>
      <c r="N489" t="s">
        <v>659</v>
      </c>
      <c r="O489" t="s">
        <v>1934</v>
      </c>
    </row>
    <row r="490" spans="1:15" ht="15" customHeight="1" x14ac:dyDescent="0.2">
      <c r="A490">
        <v>28</v>
      </c>
      <c r="B490" t="s">
        <v>258</v>
      </c>
      <c r="C490" t="s">
        <v>264</v>
      </c>
      <c r="D490" t="s">
        <v>189</v>
      </c>
      <c r="F490" t="s">
        <v>1935</v>
      </c>
      <c r="G490" t="s">
        <v>1936</v>
      </c>
      <c r="H490" t="s">
        <v>673</v>
      </c>
      <c r="I490" t="s">
        <v>657</v>
      </c>
      <c r="J490" t="s">
        <v>658</v>
      </c>
      <c r="N490" t="s">
        <v>659</v>
      </c>
      <c r="O490" t="s">
        <v>1750</v>
      </c>
    </row>
    <row r="491" spans="1:15" ht="15" customHeight="1" x14ac:dyDescent="0.2">
      <c r="A491">
        <v>28</v>
      </c>
      <c r="B491" t="s">
        <v>258</v>
      </c>
      <c r="C491" t="s">
        <v>264</v>
      </c>
      <c r="D491" t="s">
        <v>189</v>
      </c>
      <c r="F491" t="s">
        <v>1937</v>
      </c>
      <c r="G491" t="s">
        <v>1938</v>
      </c>
      <c r="H491" t="s">
        <v>673</v>
      </c>
      <c r="I491" t="s">
        <v>657</v>
      </c>
      <c r="J491" t="s">
        <v>658</v>
      </c>
      <c r="N491" t="s">
        <v>659</v>
      </c>
      <c r="O491" t="s">
        <v>1383</v>
      </c>
    </row>
    <row r="492" spans="1:15" ht="15" customHeight="1" x14ac:dyDescent="0.2">
      <c r="A492">
        <v>28</v>
      </c>
      <c r="B492" t="s">
        <v>258</v>
      </c>
      <c r="C492" t="s">
        <v>264</v>
      </c>
      <c r="D492" t="s">
        <v>189</v>
      </c>
      <c r="F492" t="s">
        <v>1939</v>
      </c>
      <c r="G492" t="s">
        <v>1940</v>
      </c>
      <c r="H492" t="s">
        <v>673</v>
      </c>
      <c r="I492" t="s">
        <v>657</v>
      </c>
      <c r="J492" t="s">
        <v>658</v>
      </c>
      <c r="N492" t="s">
        <v>659</v>
      </c>
      <c r="O492" t="s">
        <v>1392</v>
      </c>
    </row>
    <row r="493" spans="1:15" ht="15" customHeight="1" x14ac:dyDescent="0.2">
      <c r="A493">
        <v>28</v>
      </c>
      <c r="B493" t="s">
        <v>258</v>
      </c>
      <c r="C493" t="s">
        <v>264</v>
      </c>
      <c r="D493" t="s">
        <v>189</v>
      </c>
      <c r="F493" t="s">
        <v>1941</v>
      </c>
      <c r="G493" t="s">
        <v>1942</v>
      </c>
      <c r="H493" t="s">
        <v>673</v>
      </c>
      <c r="I493" t="s">
        <v>657</v>
      </c>
      <c r="J493" t="s">
        <v>658</v>
      </c>
      <c r="N493" t="s">
        <v>659</v>
      </c>
      <c r="O493" t="s">
        <v>1943</v>
      </c>
    </row>
    <row r="494" spans="1:15" ht="15" customHeight="1" x14ac:dyDescent="0.2">
      <c r="A494">
        <v>28</v>
      </c>
      <c r="B494" t="s">
        <v>258</v>
      </c>
      <c r="C494" t="s">
        <v>264</v>
      </c>
      <c r="D494" t="s">
        <v>189</v>
      </c>
      <c r="F494" t="s">
        <v>1944</v>
      </c>
      <c r="G494" t="s">
        <v>1945</v>
      </c>
      <c r="H494" t="s">
        <v>673</v>
      </c>
      <c r="I494" t="s">
        <v>657</v>
      </c>
      <c r="J494" t="s">
        <v>658</v>
      </c>
      <c r="N494" t="s">
        <v>659</v>
      </c>
      <c r="O494" t="s">
        <v>1946</v>
      </c>
    </row>
    <row r="495" spans="1:15" ht="15" customHeight="1" x14ac:dyDescent="0.2">
      <c r="A495">
        <v>28</v>
      </c>
      <c r="B495" t="s">
        <v>258</v>
      </c>
      <c r="C495" t="s">
        <v>264</v>
      </c>
      <c r="D495" t="s">
        <v>189</v>
      </c>
      <c r="F495" t="s">
        <v>1947</v>
      </c>
      <c r="G495" t="s">
        <v>1948</v>
      </c>
      <c r="H495" t="s">
        <v>673</v>
      </c>
      <c r="I495" t="s">
        <v>657</v>
      </c>
      <c r="J495" t="s">
        <v>658</v>
      </c>
      <c r="N495" t="s">
        <v>659</v>
      </c>
      <c r="O495">
        <v>34</v>
      </c>
    </row>
    <row r="496" spans="1:15" ht="15" customHeight="1" x14ac:dyDescent="0.2">
      <c r="A496">
        <v>28</v>
      </c>
      <c r="B496" t="s">
        <v>258</v>
      </c>
      <c r="C496" t="s">
        <v>264</v>
      </c>
      <c r="D496" t="s">
        <v>189</v>
      </c>
      <c r="F496" t="s">
        <v>1949</v>
      </c>
      <c r="G496" t="s">
        <v>1950</v>
      </c>
      <c r="H496" t="s">
        <v>673</v>
      </c>
      <c r="I496" t="s">
        <v>657</v>
      </c>
      <c r="J496" t="s">
        <v>658</v>
      </c>
      <c r="N496" t="s">
        <v>659</v>
      </c>
      <c r="O496">
        <v>35</v>
      </c>
    </row>
    <row r="497" spans="1:15" ht="15" customHeight="1" x14ac:dyDescent="0.2">
      <c r="A497">
        <v>28</v>
      </c>
      <c r="B497" t="s">
        <v>258</v>
      </c>
      <c r="C497" t="s">
        <v>264</v>
      </c>
      <c r="D497" t="s">
        <v>189</v>
      </c>
      <c r="F497" t="s">
        <v>1951</v>
      </c>
      <c r="G497" t="s">
        <v>1952</v>
      </c>
      <c r="H497" t="s">
        <v>673</v>
      </c>
      <c r="I497" t="s">
        <v>657</v>
      </c>
      <c r="J497" t="s">
        <v>658</v>
      </c>
      <c r="N497" t="s">
        <v>659</v>
      </c>
      <c r="O497">
        <v>37</v>
      </c>
    </row>
    <row r="498" spans="1:15" ht="15" customHeight="1" x14ac:dyDescent="0.2">
      <c r="A498">
        <v>28</v>
      </c>
      <c r="B498" t="s">
        <v>258</v>
      </c>
      <c r="C498" t="s">
        <v>264</v>
      </c>
      <c r="D498" t="s">
        <v>189</v>
      </c>
      <c r="F498" t="s">
        <v>1953</v>
      </c>
      <c r="G498" t="s">
        <v>1954</v>
      </c>
      <c r="H498" t="s">
        <v>673</v>
      </c>
      <c r="I498" t="s">
        <v>657</v>
      </c>
      <c r="J498" t="s">
        <v>663</v>
      </c>
      <c r="N498" t="s">
        <v>659</v>
      </c>
      <c r="O498" t="s">
        <v>1955</v>
      </c>
    </row>
    <row r="499" spans="1:15" ht="15" customHeight="1" x14ac:dyDescent="0.2">
      <c r="A499">
        <v>28</v>
      </c>
      <c r="B499" t="s">
        <v>258</v>
      </c>
      <c r="C499" t="s">
        <v>264</v>
      </c>
      <c r="D499" t="s">
        <v>189</v>
      </c>
      <c r="F499" t="s">
        <v>1956</v>
      </c>
      <c r="G499" t="s">
        <v>1957</v>
      </c>
      <c r="H499" t="s">
        <v>673</v>
      </c>
      <c r="I499" t="s">
        <v>657</v>
      </c>
      <c r="J499" t="s">
        <v>663</v>
      </c>
      <c r="N499" t="s">
        <v>659</v>
      </c>
      <c r="O499" t="s">
        <v>1100</v>
      </c>
    </row>
    <row r="500" spans="1:15" ht="15" customHeight="1" x14ac:dyDescent="0.2">
      <c r="A500">
        <v>28</v>
      </c>
      <c r="B500" t="s">
        <v>258</v>
      </c>
      <c r="C500" t="s">
        <v>264</v>
      </c>
      <c r="D500" t="s">
        <v>189</v>
      </c>
      <c r="F500" t="s">
        <v>1958</v>
      </c>
      <c r="G500" t="s">
        <v>1959</v>
      </c>
      <c r="H500" t="s">
        <v>673</v>
      </c>
      <c r="I500" t="s">
        <v>657</v>
      </c>
      <c r="J500" t="s">
        <v>663</v>
      </c>
      <c r="N500" t="s">
        <v>659</v>
      </c>
      <c r="O500" t="s">
        <v>1429</v>
      </c>
    </row>
    <row r="501" spans="1:15" ht="15" customHeight="1" x14ac:dyDescent="0.2">
      <c r="A501">
        <v>28</v>
      </c>
      <c r="B501" t="s">
        <v>258</v>
      </c>
      <c r="C501" t="s">
        <v>264</v>
      </c>
      <c r="D501" t="s">
        <v>189</v>
      </c>
      <c r="F501" t="s">
        <v>1960</v>
      </c>
      <c r="G501" t="s">
        <v>1961</v>
      </c>
      <c r="H501" t="s">
        <v>673</v>
      </c>
      <c r="I501" t="s">
        <v>657</v>
      </c>
      <c r="J501" t="s">
        <v>663</v>
      </c>
      <c r="N501" t="s">
        <v>659</v>
      </c>
      <c r="O501" t="s">
        <v>1432</v>
      </c>
    </row>
    <row r="502" spans="1:15" ht="15" customHeight="1" x14ac:dyDescent="0.2">
      <c r="A502">
        <v>28</v>
      </c>
      <c r="B502" t="s">
        <v>258</v>
      </c>
      <c r="C502" t="s">
        <v>264</v>
      </c>
      <c r="D502" t="s">
        <v>189</v>
      </c>
      <c r="F502" t="s">
        <v>1962</v>
      </c>
      <c r="G502" t="s">
        <v>1963</v>
      </c>
      <c r="H502" t="s">
        <v>656</v>
      </c>
      <c r="I502" t="s">
        <v>657</v>
      </c>
      <c r="J502" t="s">
        <v>663</v>
      </c>
      <c r="N502" t="s">
        <v>659</v>
      </c>
      <c r="O502" t="s">
        <v>760</v>
      </c>
    </row>
    <row r="503" spans="1:15" ht="15" customHeight="1" x14ac:dyDescent="0.2">
      <c r="A503">
        <v>28</v>
      </c>
      <c r="B503" t="s">
        <v>258</v>
      </c>
      <c r="C503" t="s">
        <v>264</v>
      </c>
      <c r="D503" t="s">
        <v>189</v>
      </c>
      <c r="F503" t="s">
        <v>1964</v>
      </c>
      <c r="G503" t="s">
        <v>1457</v>
      </c>
      <c r="H503" t="s">
        <v>673</v>
      </c>
      <c r="I503" t="s">
        <v>657</v>
      </c>
      <c r="J503" t="s">
        <v>663</v>
      </c>
      <c r="N503" t="s">
        <v>659</v>
      </c>
      <c r="O503" t="s">
        <v>817</v>
      </c>
    </row>
    <row r="504" spans="1:15" ht="15" customHeight="1" x14ac:dyDescent="0.2">
      <c r="A504">
        <v>28</v>
      </c>
      <c r="B504" t="s">
        <v>258</v>
      </c>
      <c r="C504" t="s">
        <v>264</v>
      </c>
      <c r="D504" t="s">
        <v>189</v>
      </c>
      <c r="F504" t="s">
        <v>1965</v>
      </c>
      <c r="G504" t="s">
        <v>1966</v>
      </c>
      <c r="H504" t="s">
        <v>673</v>
      </c>
      <c r="I504" t="s">
        <v>657</v>
      </c>
      <c r="J504" t="s">
        <v>658</v>
      </c>
      <c r="N504" t="s">
        <v>659</v>
      </c>
      <c r="O504" t="s">
        <v>1830</v>
      </c>
    </row>
    <row r="505" spans="1:15" ht="15" customHeight="1" x14ac:dyDescent="0.2">
      <c r="A505">
        <v>28</v>
      </c>
      <c r="B505" t="s">
        <v>258</v>
      </c>
      <c r="C505" t="s">
        <v>264</v>
      </c>
      <c r="D505" t="s">
        <v>189</v>
      </c>
      <c r="F505" t="s">
        <v>1967</v>
      </c>
      <c r="G505" t="s">
        <v>1968</v>
      </c>
      <c r="H505" t="s">
        <v>673</v>
      </c>
      <c r="I505" t="s">
        <v>657</v>
      </c>
      <c r="J505" t="s">
        <v>658</v>
      </c>
      <c r="N505" t="s">
        <v>659</v>
      </c>
      <c r="O505" t="s">
        <v>1969</v>
      </c>
    </row>
    <row r="506" spans="1:15" ht="15" customHeight="1" x14ac:dyDescent="0.2">
      <c r="A506">
        <v>28</v>
      </c>
      <c r="B506" t="s">
        <v>258</v>
      </c>
      <c r="C506" t="s">
        <v>264</v>
      </c>
      <c r="D506" t="s">
        <v>189</v>
      </c>
      <c r="F506" t="s">
        <v>1970</v>
      </c>
      <c r="G506" t="s">
        <v>1971</v>
      </c>
      <c r="H506" t="s">
        <v>673</v>
      </c>
      <c r="I506" t="s">
        <v>657</v>
      </c>
      <c r="J506" t="s">
        <v>658</v>
      </c>
      <c r="N506" t="s">
        <v>659</v>
      </c>
      <c r="O506" t="s">
        <v>1972</v>
      </c>
    </row>
    <row r="507" spans="1:15" ht="15" customHeight="1" x14ac:dyDescent="0.2">
      <c r="A507">
        <v>28</v>
      </c>
      <c r="B507" t="s">
        <v>258</v>
      </c>
      <c r="C507" t="s">
        <v>264</v>
      </c>
      <c r="D507" t="s">
        <v>189</v>
      </c>
      <c r="F507" t="s">
        <v>1973</v>
      </c>
      <c r="G507" t="s">
        <v>1974</v>
      </c>
      <c r="H507" t="s">
        <v>673</v>
      </c>
      <c r="I507" t="s">
        <v>657</v>
      </c>
      <c r="J507" t="s">
        <v>663</v>
      </c>
      <c r="N507" t="s">
        <v>659</v>
      </c>
      <c r="O507" t="s">
        <v>1975</v>
      </c>
    </row>
    <row r="508" spans="1:15" ht="15" customHeight="1" x14ac:dyDescent="0.2">
      <c r="A508">
        <v>28</v>
      </c>
      <c r="B508" t="s">
        <v>258</v>
      </c>
      <c r="C508" t="s">
        <v>264</v>
      </c>
      <c r="D508" t="s">
        <v>189</v>
      </c>
      <c r="F508" t="s">
        <v>1976</v>
      </c>
      <c r="G508" t="s">
        <v>1977</v>
      </c>
      <c r="H508" t="s">
        <v>673</v>
      </c>
      <c r="I508" t="s">
        <v>657</v>
      </c>
      <c r="J508" t="s">
        <v>663</v>
      </c>
      <c r="N508" t="s">
        <v>659</v>
      </c>
      <c r="O508" t="s">
        <v>1978</v>
      </c>
    </row>
    <row r="509" spans="1:15" ht="15" customHeight="1" x14ac:dyDescent="0.2">
      <c r="A509">
        <v>28</v>
      </c>
      <c r="B509" t="s">
        <v>258</v>
      </c>
      <c r="C509" t="s">
        <v>264</v>
      </c>
      <c r="D509" t="s">
        <v>189</v>
      </c>
      <c r="F509" t="s">
        <v>1979</v>
      </c>
      <c r="G509" t="s">
        <v>1980</v>
      </c>
      <c r="H509" t="s">
        <v>673</v>
      </c>
      <c r="I509" t="s">
        <v>657</v>
      </c>
      <c r="J509" t="s">
        <v>663</v>
      </c>
      <c r="N509" t="s">
        <v>659</v>
      </c>
      <c r="O509" t="s">
        <v>857</v>
      </c>
    </row>
    <row r="510" spans="1:15" ht="15" customHeight="1" x14ac:dyDescent="0.2">
      <c r="A510" s="63" t="s">
        <v>156</v>
      </c>
      <c r="B510" s="63" t="s">
        <v>157</v>
      </c>
      <c r="C510" s="63" t="s">
        <v>157</v>
      </c>
      <c r="D510" s="63" t="s">
        <v>1981</v>
      </c>
      <c r="E510" s="63" t="s">
        <v>159</v>
      </c>
      <c r="F510" s="63" t="s">
        <v>1982</v>
      </c>
      <c r="G510" s="63" t="s">
        <v>1983</v>
      </c>
      <c r="H510" s="63"/>
      <c r="I510" s="63"/>
      <c r="J510" s="63"/>
      <c r="K510" s="63"/>
      <c r="L510" s="63"/>
      <c r="M510" s="63"/>
      <c r="N510" s="63"/>
      <c r="O510" s="63"/>
    </row>
    <row r="511" spans="1:15" ht="15" customHeight="1" x14ac:dyDescent="0.2">
      <c r="A511" s="63" t="s">
        <v>160</v>
      </c>
      <c r="B511" s="63" t="s">
        <v>161</v>
      </c>
      <c r="C511" s="63" t="s">
        <v>161</v>
      </c>
      <c r="D511" s="63" t="s">
        <v>1981</v>
      </c>
      <c r="E511" s="63" t="s">
        <v>162</v>
      </c>
      <c r="F511" s="63" t="s">
        <v>1982</v>
      </c>
      <c r="G511" s="63" t="s">
        <v>1983</v>
      </c>
      <c r="H511" s="63"/>
      <c r="I511" s="63"/>
      <c r="J511" s="63"/>
      <c r="K511" s="63"/>
      <c r="L511" s="63"/>
      <c r="M511" s="63"/>
      <c r="N511" s="63"/>
      <c r="O511" s="63"/>
    </row>
    <row r="512" spans="1:15" ht="15" customHeight="1" x14ac:dyDescent="0.2">
      <c r="A512" s="63" t="s">
        <v>163</v>
      </c>
      <c r="B512" s="63" t="s">
        <v>164</v>
      </c>
      <c r="C512" s="63" t="s">
        <v>164</v>
      </c>
      <c r="D512" s="63" t="s">
        <v>1981</v>
      </c>
      <c r="E512" s="63" t="s">
        <v>165</v>
      </c>
      <c r="F512" s="63" t="s">
        <v>1982</v>
      </c>
      <c r="G512" s="63" t="s">
        <v>1983</v>
      </c>
      <c r="H512" s="63"/>
      <c r="I512" s="63"/>
      <c r="J512" s="63"/>
      <c r="K512" s="63"/>
      <c r="L512" s="63"/>
      <c r="M512" s="63"/>
      <c r="N512" s="63"/>
      <c r="O512" s="63"/>
    </row>
    <row r="513" spans="1:15" ht="15" customHeight="1" x14ac:dyDescent="0.2">
      <c r="A513" s="63" t="s">
        <v>166</v>
      </c>
      <c r="B513" s="63" t="s">
        <v>167</v>
      </c>
      <c r="C513" s="63" t="s">
        <v>167</v>
      </c>
      <c r="D513" s="63" t="s">
        <v>1981</v>
      </c>
      <c r="E513" s="63" t="s">
        <v>165</v>
      </c>
      <c r="F513" s="63" t="s">
        <v>1982</v>
      </c>
      <c r="G513" s="63" t="s">
        <v>1983</v>
      </c>
      <c r="H513" s="63"/>
      <c r="I513" s="63"/>
      <c r="J513" s="63"/>
      <c r="K513" s="63"/>
      <c r="L513" s="63"/>
      <c r="M513" s="63"/>
      <c r="N513" s="63"/>
      <c r="O513" s="63"/>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Y465"/>
  <sheetViews>
    <sheetView zoomScaleNormal="100" workbookViewId="0">
      <selection activeCell="C18" sqref="C18"/>
    </sheetView>
  </sheetViews>
  <sheetFormatPr baseColWidth="10" defaultColWidth="8.6640625" defaultRowHeight="15" x14ac:dyDescent="0.2"/>
  <cols>
    <col min="1" max="1" width="42" customWidth="1"/>
    <col min="2" max="2" width="10" customWidth="1"/>
    <col min="3" max="3" width="32" customWidth="1"/>
    <col min="4" max="4" width="18" customWidth="1"/>
    <col min="5" max="5" width="72" customWidth="1"/>
    <col min="6" max="155" width="8.6640625" style="66"/>
  </cols>
  <sheetData>
    <row r="1" spans="1:5" ht="26.25" customHeight="1" x14ac:dyDescent="0.2">
      <c r="A1" s="61" t="s">
        <v>1984</v>
      </c>
      <c r="B1" s="61" t="s">
        <v>55</v>
      </c>
      <c r="C1" s="61" t="s">
        <v>1985</v>
      </c>
      <c r="D1" s="61" t="s">
        <v>1986</v>
      </c>
      <c r="E1" s="61" t="s">
        <v>1987</v>
      </c>
    </row>
    <row r="2" spans="1:5" ht="15" customHeight="1" x14ac:dyDescent="0.2">
      <c r="A2" s="64" t="s">
        <v>239</v>
      </c>
      <c r="B2" s="64" t="s">
        <v>40</v>
      </c>
      <c r="C2" s="64" t="s">
        <v>1988</v>
      </c>
      <c r="D2" s="64" t="s">
        <v>46</v>
      </c>
      <c r="E2" s="64" t="s">
        <v>1989</v>
      </c>
    </row>
    <row r="3" spans="1:5" ht="15" customHeight="1" x14ac:dyDescent="0.2">
      <c r="A3" s="64" t="s">
        <v>252</v>
      </c>
      <c r="B3" s="64" t="s">
        <v>41</v>
      </c>
      <c r="C3" s="64" t="s">
        <v>1990</v>
      </c>
      <c r="D3" s="64" t="s">
        <v>46</v>
      </c>
      <c r="E3" s="64" t="s">
        <v>1991</v>
      </c>
    </row>
    <row r="4" spans="1:5" ht="15" customHeight="1" x14ac:dyDescent="0.2">
      <c r="A4" s="64" t="s">
        <v>1992</v>
      </c>
      <c r="B4" s="64" t="s">
        <v>41</v>
      </c>
      <c r="C4" s="64" t="s">
        <v>1990</v>
      </c>
      <c r="D4" s="64" t="s">
        <v>46</v>
      </c>
      <c r="E4" s="64" t="s">
        <v>1991</v>
      </c>
    </row>
    <row r="5" spans="1:5" ht="23.25" customHeight="1" x14ac:dyDescent="0.2">
      <c r="A5" s="64" t="s">
        <v>256</v>
      </c>
      <c r="B5" s="64" t="s">
        <v>40</v>
      </c>
      <c r="C5" s="64" t="s">
        <v>1993</v>
      </c>
      <c r="D5" s="64" t="s">
        <v>47</v>
      </c>
      <c r="E5" s="64" t="s">
        <v>1994</v>
      </c>
    </row>
    <row r="6" spans="1:5" ht="15" customHeight="1" x14ac:dyDescent="0.2">
      <c r="A6" s="64" t="s">
        <v>278</v>
      </c>
      <c r="B6" s="64" t="s">
        <v>41</v>
      </c>
      <c r="C6" s="64" t="s">
        <v>1995</v>
      </c>
      <c r="D6" s="64" t="s">
        <v>47</v>
      </c>
      <c r="E6" s="64" t="s">
        <v>1996</v>
      </c>
    </row>
    <row r="7" spans="1:5" ht="49" customHeight="1" x14ac:dyDescent="0.2">
      <c r="A7" s="64" t="s">
        <v>288</v>
      </c>
      <c r="B7" s="64" t="s">
        <v>41</v>
      </c>
      <c r="C7" s="64" t="s">
        <v>1997</v>
      </c>
      <c r="D7" s="64" t="s">
        <v>47</v>
      </c>
      <c r="E7" s="64" t="s">
        <v>1998</v>
      </c>
    </row>
    <row r="8" spans="1:5" ht="34.5" customHeight="1" x14ac:dyDescent="0.2">
      <c r="A8" s="64" t="s">
        <v>292</v>
      </c>
      <c r="B8" s="64" t="s">
        <v>41</v>
      </c>
      <c r="C8" s="64" t="s">
        <v>1999</v>
      </c>
      <c r="D8" s="64" t="s">
        <v>47</v>
      </c>
      <c r="E8" s="64" t="s">
        <v>2000</v>
      </c>
    </row>
    <row r="9" spans="1:5" s="66" customFormat="1" ht="15" customHeight="1" x14ac:dyDescent="0.2">
      <c r="A9" s="68"/>
      <c r="B9" s="68"/>
      <c r="C9" s="68"/>
      <c r="D9" s="68"/>
      <c r="E9" s="68"/>
    </row>
    <row r="10" spans="1:5" ht="15" customHeight="1" x14ac:dyDescent="0.2">
      <c r="A10" s="65" t="s">
        <v>2001</v>
      </c>
      <c r="B10" s="68"/>
      <c r="C10" s="68"/>
      <c r="D10" s="68"/>
      <c r="E10" s="68"/>
    </row>
    <row r="11" spans="1:5" s="66" customFormat="1" x14ac:dyDescent="0.2"/>
    <row r="12" spans="1:5" s="66" customFormat="1" ht="15" customHeight="1" x14ac:dyDescent="0.2">
      <c r="A12" s="67"/>
    </row>
    <row r="13" spans="1:5" s="66" customFormat="1" x14ac:dyDescent="0.2"/>
    <row r="14" spans="1:5" s="66" customFormat="1" x14ac:dyDescent="0.2"/>
    <row r="15" spans="1:5" s="66" customFormat="1" x14ac:dyDescent="0.2"/>
    <row r="16" spans="1:5" s="66" customFormat="1" x14ac:dyDescent="0.2"/>
    <row r="17" s="66" customFormat="1" x14ac:dyDescent="0.2"/>
    <row r="18" s="66" customFormat="1" x14ac:dyDescent="0.2"/>
    <row r="19" s="66" customFormat="1" x14ac:dyDescent="0.2"/>
    <row r="20" s="66" customFormat="1" x14ac:dyDescent="0.2"/>
    <row r="21" s="66" customFormat="1" x14ac:dyDescent="0.2"/>
    <row r="22" s="66" customFormat="1" x14ac:dyDescent="0.2"/>
    <row r="23" s="66" customFormat="1" x14ac:dyDescent="0.2"/>
    <row r="24" s="66" customFormat="1" x14ac:dyDescent="0.2"/>
    <row r="25" s="66" customFormat="1" x14ac:dyDescent="0.2"/>
    <row r="26" s="66" customFormat="1" x14ac:dyDescent="0.2"/>
    <row r="27" s="66" customFormat="1" x14ac:dyDescent="0.2"/>
    <row r="28" s="66" customFormat="1" x14ac:dyDescent="0.2"/>
    <row r="29" s="66" customFormat="1" x14ac:dyDescent="0.2"/>
    <row r="30" s="66" customFormat="1" x14ac:dyDescent="0.2"/>
    <row r="31" s="66" customFormat="1" x14ac:dyDescent="0.2"/>
    <row r="32" s="66" customFormat="1" x14ac:dyDescent="0.2"/>
    <row r="33" s="66" customFormat="1" x14ac:dyDescent="0.2"/>
    <row r="34" s="66" customFormat="1" x14ac:dyDescent="0.2"/>
    <row r="35" s="66" customFormat="1" x14ac:dyDescent="0.2"/>
    <row r="36" s="66" customFormat="1" x14ac:dyDescent="0.2"/>
    <row r="37" s="66" customFormat="1" x14ac:dyDescent="0.2"/>
    <row r="38" s="66" customFormat="1" x14ac:dyDescent="0.2"/>
    <row r="39" s="66" customFormat="1" x14ac:dyDescent="0.2"/>
    <row r="40" s="66" customFormat="1" x14ac:dyDescent="0.2"/>
    <row r="41" s="66" customFormat="1" x14ac:dyDescent="0.2"/>
    <row r="42" s="66" customFormat="1" x14ac:dyDescent="0.2"/>
    <row r="43" s="66" customFormat="1" x14ac:dyDescent="0.2"/>
    <row r="44" s="66" customFormat="1" x14ac:dyDescent="0.2"/>
    <row r="45" s="66" customFormat="1" x14ac:dyDescent="0.2"/>
    <row r="46" s="66" customFormat="1" x14ac:dyDescent="0.2"/>
    <row r="47" s="66" customFormat="1" x14ac:dyDescent="0.2"/>
    <row r="48" s="66" customFormat="1" x14ac:dyDescent="0.2"/>
    <row r="49" s="66" customFormat="1" x14ac:dyDescent="0.2"/>
    <row r="50" s="66" customFormat="1" x14ac:dyDescent="0.2"/>
    <row r="51" s="66" customFormat="1" x14ac:dyDescent="0.2"/>
    <row r="52" s="66" customFormat="1" x14ac:dyDescent="0.2"/>
    <row r="53" s="66" customFormat="1" x14ac:dyDescent="0.2"/>
    <row r="54" s="66" customFormat="1" x14ac:dyDescent="0.2"/>
    <row r="55" s="66" customFormat="1" x14ac:dyDescent="0.2"/>
    <row r="56" s="66" customFormat="1" x14ac:dyDescent="0.2"/>
    <row r="57" s="66" customFormat="1" x14ac:dyDescent="0.2"/>
    <row r="58" s="66" customFormat="1" x14ac:dyDescent="0.2"/>
    <row r="59" s="66" customFormat="1" x14ac:dyDescent="0.2"/>
    <row r="60" s="66" customFormat="1" x14ac:dyDescent="0.2"/>
    <row r="61" s="66" customFormat="1" x14ac:dyDescent="0.2"/>
    <row r="62" s="66" customFormat="1" x14ac:dyDescent="0.2"/>
    <row r="63" s="66" customFormat="1" x14ac:dyDescent="0.2"/>
    <row r="64" s="66" customFormat="1" x14ac:dyDescent="0.2"/>
    <row r="65" s="66" customFormat="1" x14ac:dyDescent="0.2"/>
    <row r="66" s="66" customFormat="1" x14ac:dyDescent="0.2"/>
    <row r="67" s="66" customFormat="1" x14ac:dyDescent="0.2"/>
    <row r="68" s="66" customFormat="1" x14ac:dyDescent="0.2"/>
    <row r="69" s="66" customFormat="1" x14ac:dyDescent="0.2"/>
    <row r="70" s="66" customFormat="1" x14ac:dyDescent="0.2"/>
    <row r="71" s="66" customFormat="1" x14ac:dyDescent="0.2"/>
    <row r="72" s="66" customFormat="1" x14ac:dyDescent="0.2"/>
    <row r="73" s="66" customFormat="1" x14ac:dyDescent="0.2"/>
    <row r="74" s="66" customFormat="1" x14ac:dyDescent="0.2"/>
    <row r="75" s="66" customFormat="1" x14ac:dyDescent="0.2"/>
    <row r="76" s="66" customFormat="1" x14ac:dyDescent="0.2"/>
    <row r="77" s="66" customFormat="1" x14ac:dyDescent="0.2"/>
    <row r="78" s="66" customFormat="1" x14ac:dyDescent="0.2"/>
    <row r="79" s="66" customFormat="1" x14ac:dyDescent="0.2"/>
    <row r="80" s="66" customFormat="1" x14ac:dyDescent="0.2"/>
    <row r="81" s="66" customFormat="1" x14ac:dyDescent="0.2"/>
    <row r="82" s="66" customFormat="1" x14ac:dyDescent="0.2"/>
    <row r="83" s="66" customFormat="1" x14ac:dyDescent="0.2"/>
    <row r="84" s="66" customFormat="1" x14ac:dyDescent="0.2"/>
    <row r="85" s="66" customFormat="1" x14ac:dyDescent="0.2"/>
    <row r="86" s="66" customFormat="1" x14ac:dyDescent="0.2"/>
    <row r="87" s="66" customFormat="1" x14ac:dyDescent="0.2"/>
    <row r="88" s="66" customFormat="1" x14ac:dyDescent="0.2"/>
    <row r="89" s="66" customFormat="1" x14ac:dyDescent="0.2"/>
    <row r="90" s="66" customFormat="1" x14ac:dyDescent="0.2"/>
    <row r="91" s="66" customFormat="1" x14ac:dyDescent="0.2"/>
    <row r="92" s="66" customFormat="1" x14ac:dyDescent="0.2"/>
    <row r="93" s="66" customFormat="1" x14ac:dyDescent="0.2"/>
    <row r="94" s="66" customFormat="1" x14ac:dyDescent="0.2"/>
    <row r="95" s="66" customFormat="1" x14ac:dyDescent="0.2"/>
    <row r="96" s="66" customFormat="1" x14ac:dyDescent="0.2"/>
    <row r="97" s="66" customFormat="1" x14ac:dyDescent="0.2"/>
    <row r="98" s="66" customFormat="1" x14ac:dyDescent="0.2"/>
    <row r="99" s="66" customFormat="1" x14ac:dyDescent="0.2"/>
    <row r="100" s="66" customFormat="1" x14ac:dyDescent="0.2"/>
    <row r="101" s="66" customFormat="1" x14ac:dyDescent="0.2"/>
    <row r="102" s="66" customFormat="1" x14ac:dyDescent="0.2"/>
    <row r="103" s="66" customFormat="1" x14ac:dyDescent="0.2"/>
    <row r="104" s="66" customFormat="1" x14ac:dyDescent="0.2"/>
    <row r="105" s="66" customFormat="1" x14ac:dyDescent="0.2"/>
    <row r="106" s="66" customFormat="1" x14ac:dyDescent="0.2"/>
    <row r="107" s="66" customFormat="1" x14ac:dyDescent="0.2"/>
    <row r="108" s="66" customFormat="1" x14ac:dyDescent="0.2"/>
    <row r="109" s="66" customFormat="1" x14ac:dyDescent="0.2"/>
    <row r="110" s="66" customFormat="1" x14ac:dyDescent="0.2"/>
    <row r="111" s="66" customFormat="1" x14ac:dyDescent="0.2"/>
    <row r="112" s="66" customFormat="1" x14ac:dyDescent="0.2"/>
    <row r="113" s="66" customFormat="1" x14ac:dyDescent="0.2"/>
    <row r="114" s="66" customFormat="1" x14ac:dyDescent="0.2"/>
    <row r="115" s="66" customFormat="1" x14ac:dyDescent="0.2"/>
    <row r="116" s="66" customFormat="1" x14ac:dyDescent="0.2"/>
    <row r="117" s="66" customFormat="1" x14ac:dyDescent="0.2"/>
    <row r="118" s="66" customFormat="1" x14ac:dyDescent="0.2"/>
    <row r="119" s="66" customFormat="1" x14ac:dyDescent="0.2"/>
    <row r="120" s="66" customFormat="1" x14ac:dyDescent="0.2"/>
    <row r="121" s="66" customFormat="1" x14ac:dyDescent="0.2"/>
    <row r="122" s="66" customFormat="1" x14ac:dyDescent="0.2"/>
    <row r="123" s="66" customFormat="1" x14ac:dyDescent="0.2"/>
    <row r="124" s="66" customFormat="1" x14ac:dyDescent="0.2"/>
    <row r="125" s="66" customFormat="1" x14ac:dyDescent="0.2"/>
    <row r="126" s="66" customFormat="1" x14ac:dyDescent="0.2"/>
    <row r="127" s="66" customFormat="1" x14ac:dyDescent="0.2"/>
    <row r="128" s="66" customFormat="1" x14ac:dyDescent="0.2"/>
    <row r="129" s="66" customFormat="1" x14ac:dyDescent="0.2"/>
    <row r="130" s="66" customFormat="1" x14ac:dyDescent="0.2"/>
    <row r="131" s="66" customFormat="1" x14ac:dyDescent="0.2"/>
    <row r="132" s="66" customFormat="1" x14ac:dyDescent="0.2"/>
    <row r="133" s="66" customFormat="1" x14ac:dyDescent="0.2"/>
    <row r="134" s="66" customFormat="1" x14ac:dyDescent="0.2"/>
    <row r="135" s="66" customFormat="1" x14ac:dyDescent="0.2"/>
    <row r="136" s="66" customFormat="1" x14ac:dyDescent="0.2"/>
    <row r="137" s="66" customFormat="1" x14ac:dyDescent="0.2"/>
    <row r="138" s="66" customFormat="1" x14ac:dyDescent="0.2"/>
    <row r="139" s="66" customFormat="1" x14ac:dyDescent="0.2"/>
    <row r="140" s="66" customFormat="1" x14ac:dyDescent="0.2"/>
    <row r="141" s="66" customFormat="1" x14ac:dyDescent="0.2"/>
    <row r="142" s="66" customFormat="1" x14ac:dyDescent="0.2"/>
    <row r="143" s="66" customFormat="1" x14ac:dyDescent="0.2"/>
    <row r="144" s="66" customFormat="1" x14ac:dyDescent="0.2"/>
    <row r="145" s="66" customFormat="1" x14ac:dyDescent="0.2"/>
    <row r="146" s="66" customFormat="1" x14ac:dyDescent="0.2"/>
    <row r="147" s="66" customFormat="1" x14ac:dyDescent="0.2"/>
    <row r="148" s="66" customFormat="1" x14ac:dyDescent="0.2"/>
    <row r="149" s="66" customFormat="1" x14ac:dyDescent="0.2"/>
    <row r="150" s="66" customFormat="1" x14ac:dyDescent="0.2"/>
    <row r="151" s="66" customFormat="1" x14ac:dyDescent="0.2"/>
    <row r="152" s="66" customFormat="1" x14ac:dyDescent="0.2"/>
    <row r="153" s="66" customFormat="1" x14ac:dyDescent="0.2"/>
    <row r="154" s="66" customFormat="1" x14ac:dyDescent="0.2"/>
    <row r="155" s="66" customFormat="1" x14ac:dyDescent="0.2"/>
    <row r="156" s="66" customFormat="1" x14ac:dyDescent="0.2"/>
    <row r="157" s="66" customFormat="1" x14ac:dyDescent="0.2"/>
    <row r="158" s="66" customFormat="1" x14ac:dyDescent="0.2"/>
    <row r="159" s="66" customFormat="1" x14ac:dyDescent="0.2"/>
    <row r="160" s="66" customFormat="1" x14ac:dyDescent="0.2"/>
    <row r="161" s="66" customFormat="1" x14ac:dyDescent="0.2"/>
    <row r="162" s="66" customFormat="1" x14ac:dyDescent="0.2"/>
    <row r="163" s="66" customFormat="1" x14ac:dyDescent="0.2"/>
    <row r="164" s="66" customFormat="1" x14ac:dyDescent="0.2"/>
    <row r="165" s="66" customFormat="1" x14ac:dyDescent="0.2"/>
    <row r="166" s="66" customFormat="1" x14ac:dyDescent="0.2"/>
    <row r="167" s="66" customFormat="1" x14ac:dyDescent="0.2"/>
    <row r="168" s="66" customFormat="1" x14ac:dyDescent="0.2"/>
    <row r="169" s="66" customFormat="1" x14ac:dyDescent="0.2"/>
    <row r="170" s="66" customFormat="1" x14ac:dyDescent="0.2"/>
    <row r="171" s="66" customFormat="1" x14ac:dyDescent="0.2"/>
    <row r="172" s="66" customFormat="1" x14ac:dyDescent="0.2"/>
    <row r="173" s="66" customFormat="1" x14ac:dyDescent="0.2"/>
    <row r="174" s="66" customFormat="1" x14ac:dyDescent="0.2"/>
    <row r="175" s="66" customFormat="1" x14ac:dyDescent="0.2"/>
    <row r="176" s="66" customFormat="1" x14ac:dyDescent="0.2"/>
    <row r="177" s="66" customFormat="1" x14ac:dyDescent="0.2"/>
    <row r="178" s="66" customFormat="1" x14ac:dyDescent="0.2"/>
    <row r="179" s="66" customFormat="1" x14ac:dyDescent="0.2"/>
    <row r="180" s="66" customFormat="1" x14ac:dyDescent="0.2"/>
    <row r="181" s="66" customFormat="1" x14ac:dyDescent="0.2"/>
    <row r="182" s="66" customFormat="1" x14ac:dyDescent="0.2"/>
    <row r="183" s="66" customFormat="1" x14ac:dyDescent="0.2"/>
    <row r="184" s="66" customFormat="1" x14ac:dyDescent="0.2"/>
    <row r="185" s="66" customFormat="1" x14ac:dyDescent="0.2"/>
    <row r="186" s="66" customFormat="1" x14ac:dyDescent="0.2"/>
    <row r="187" s="66" customFormat="1" x14ac:dyDescent="0.2"/>
    <row r="188" s="66" customFormat="1" x14ac:dyDescent="0.2"/>
    <row r="189" s="66" customFormat="1" x14ac:dyDescent="0.2"/>
    <row r="190" s="66" customFormat="1" x14ac:dyDescent="0.2"/>
    <row r="191" s="66" customFormat="1" x14ac:dyDescent="0.2"/>
    <row r="192" s="66" customFormat="1" x14ac:dyDescent="0.2"/>
    <row r="193" s="66" customFormat="1" x14ac:dyDescent="0.2"/>
    <row r="194" s="66" customFormat="1" x14ac:dyDescent="0.2"/>
    <row r="195" s="66" customFormat="1" x14ac:dyDescent="0.2"/>
    <row r="196" s="66" customFormat="1" x14ac:dyDescent="0.2"/>
    <row r="197" s="66" customFormat="1" x14ac:dyDescent="0.2"/>
    <row r="198" s="66" customFormat="1" x14ac:dyDescent="0.2"/>
    <row r="199" s="66" customFormat="1" x14ac:dyDescent="0.2"/>
    <row r="200" s="66" customFormat="1" x14ac:dyDescent="0.2"/>
    <row r="201" s="66" customFormat="1" x14ac:dyDescent="0.2"/>
    <row r="202" s="66" customFormat="1" x14ac:dyDescent="0.2"/>
    <row r="203" s="66" customFormat="1" x14ac:dyDescent="0.2"/>
    <row r="204" s="66" customFormat="1" x14ac:dyDescent="0.2"/>
    <row r="205" s="66" customFormat="1" x14ac:dyDescent="0.2"/>
    <row r="206" s="66" customFormat="1" x14ac:dyDescent="0.2"/>
    <row r="207" s="66" customFormat="1" x14ac:dyDescent="0.2"/>
    <row r="208" s="66" customFormat="1" x14ac:dyDescent="0.2"/>
    <row r="209" s="66" customFormat="1" x14ac:dyDescent="0.2"/>
    <row r="210" s="66" customFormat="1" x14ac:dyDescent="0.2"/>
    <row r="211" s="66" customFormat="1" x14ac:dyDescent="0.2"/>
    <row r="212" s="66" customFormat="1" x14ac:dyDescent="0.2"/>
    <row r="213" s="66" customFormat="1" x14ac:dyDescent="0.2"/>
    <row r="214" s="66" customFormat="1" x14ac:dyDescent="0.2"/>
    <row r="215" s="66" customFormat="1" x14ac:dyDescent="0.2"/>
    <row r="216" s="66" customFormat="1" x14ac:dyDescent="0.2"/>
    <row r="217" s="66" customFormat="1" x14ac:dyDescent="0.2"/>
    <row r="218" s="66" customFormat="1" x14ac:dyDescent="0.2"/>
    <row r="219" s="66" customFormat="1" x14ac:dyDescent="0.2"/>
    <row r="220" s="66" customFormat="1" x14ac:dyDescent="0.2"/>
    <row r="221" s="66" customFormat="1" x14ac:dyDescent="0.2"/>
    <row r="222" s="66" customFormat="1" x14ac:dyDescent="0.2"/>
    <row r="223" s="66" customFormat="1" x14ac:dyDescent="0.2"/>
    <row r="224" s="66" customFormat="1" x14ac:dyDescent="0.2"/>
    <row r="225" s="66" customFormat="1" x14ac:dyDescent="0.2"/>
    <row r="226" s="66" customFormat="1" x14ac:dyDescent="0.2"/>
    <row r="227" s="66" customFormat="1" x14ac:dyDescent="0.2"/>
    <row r="228" s="66" customFormat="1" x14ac:dyDescent="0.2"/>
    <row r="229" s="66" customFormat="1" x14ac:dyDescent="0.2"/>
    <row r="230" s="66" customFormat="1" x14ac:dyDescent="0.2"/>
    <row r="231" s="66" customFormat="1" x14ac:dyDescent="0.2"/>
    <row r="232" s="66" customFormat="1" x14ac:dyDescent="0.2"/>
    <row r="233" s="66" customFormat="1" x14ac:dyDescent="0.2"/>
    <row r="234" s="66" customFormat="1" x14ac:dyDescent="0.2"/>
    <row r="235" s="66" customFormat="1" x14ac:dyDescent="0.2"/>
    <row r="236" s="66" customFormat="1" x14ac:dyDescent="0.2"/>
    <row r="237" s="66" customFormat="1" x14ac:dyDescent="0.2"/>
    <row r="238" s="66" customFormat="1" x14ac:dyDescent="0.2"/>
    <row r="239" s="66" customFormat="1" x14ac:dyDescent="0.2"/>
    <row r="240" s="66" customFormat="1" x14ac:dyDescent="0.2"/>
    <row r="241" s="66" customFormat="1" x14ac:dyDescent="0.2"/>
    <row r="242" s="66" customFormat="1" x14ac:dyDescent="0.2"/>
    <row r="243" s="66" customFormat="1" x14ac:dyDescent="0.2"/>
    <row r="244" s="66" customFormat="1" x14ac:dyDescent="0.2"/>
    <row r="245" s="66" customFormat="1" x14ac:dyDescent="0.2"/>
    <row r="246" s="66" customFormat="1" x14ac:dyDescent="0.2"/>
    <row r="247" s="66" customFormat="1" x14ac:dyDescent="0.2"/>
    <row r="248" s="66" customFormat="1" x14ac:dyDescent="0.2"/>
    <row r="249" s="66" customFormat="1" x14ac:dyDescent="0.2"/>
    <row r="250" s="66" customFormat="1" x14ac:dyDescent="0.2"/>
    <row r="251" s="66" customFormat="1" x14ac:dyDescent="0.2"/>
    <row r="252" s="66" customFormat="1" x14ac:dyDescent="0.2"/>
    <row r="253" s="66" customFormat="1" x14ac:dyDescent="0.2"/>
    <row r="254" s="66" customFormat="1" x14ac:dyDescent="0.2"/>
    <row r="255" s="66" customFormat="1" x14ac:dyDescent="0.2"/>
    <row r="256" s="66" customFormat="1" x14ac:dyDescent="0.2"/>
    <row r="257" s="66" customFormat="1" x14ac:dyDescent="0.2"/>
    <row r="258" s="66" customFormat="1" x14ac:dyDescent="0.2"/>
    <row r="259" s="66" customFormat="1" x14ac:dyDescent="0.2"/>
    <row r="260" s="66" customFormat="1" x14ac:dyDescent="0.2"/>
    <row r="261" s="66" customFormat="1" x14ac:dyDescent="0.2"/>
    <row r="262" s="66" customFormat="1" x14ac:dyDescent="0.2"/>
    <row r="263" s="66" customFormat="1" x14ac:dyDescent="0.2"/>
    <row r="264" s="66" customFormat="1" x14ac:dyDescent="0.2"/>
    <row r="265" s="66" customFormat="1" x14ac:dyDescent="0.2"/>
    <row r="266" s="66" customFormat="1" x14ac:dyDescent="0.2"/>
    <row r="267" s="66" customFormat="1" x14ac:dyDescent="0.2"/>
    <row r="268" s="66" customFormat="1" x14ac:dyDescent="0.2"/>
    <row r="269" s="66" customFormat="1" x14ac:dyDescent="0.2"/>
    <row r="270" s="66" customFormat="1" x14ac:dyDescent="0.2"/>
    <row r="271" s="66" customFormat="1" x14ac:dyDescent="0.2"/>
    <row r="272" s="66" customFormat="1" x14ac:dyDescent="0.2"/>
    <row r="273" s="66" customFormat="1" x14ac:dyDescent="0.2"/>
    <row r="274" s="66" customFormat="1" x14ac:dyDescent="0.2"/>
    <row r="275" s="66" customFormat="1" x14ac:dyDescent="0.2"/>
    <row r="276" s="66" customFormat="1" x14ac:dyDescent="0.2"/>
    <row r="277" s="66" customFormat="1" x14ac:dyDescent="0.2"/>
    <row r="278" s="66" customFormat="1" x14ac:dyDescent="0.2"/>
    <row r="279" s="66" customFormat="1" x14ac:dyDescent="0.2"/>
    <row r="280" s="66" customFormat="1" x14ac:dyDescent="0.2"/>
    <row r="281" s="66" customFormat="1" x14ac:dyDescent="0.2"/>
    <row r="282" s="66" customFormat="1" x14ac:dyDescent="0.2"/>
    <row r="283" s="66" customFormat="1" x14ac:dyDescent="0.2"/>
    <row r="284" s="66" customFormat="1" x14ac:dyDescent="0.2"/>
    <row r="285" s="66" customFormat="1" x14ac:dyDescent="0.2"/>
    <row r="286" s="66" customFormat="1" x14ac:dyDescent="0.2"/>
    <row r="287" s="66" customFormat="1" x14ac:dyDescent="0.2"/>
    <row r="288" s="66" customFormat="1" x14ac:dyDescent="0.2"/>
    <row r="289" s="66" customFormat="1" x14ac:dyDescent="0.2"/>
    <row r="290" s="66" customFormat="1" x14ac:dyDescent="0.2"/>
    <row r="291" s="66" customFormat="1" x14ac:dyDescent="0.2"/>
    <row r="292" s="66" customFormat="1" x14ac:dyDescent="0.2"/>
    <row r="293" s="66" customFormat="1" x14ac:dyDescent="0.2"/>
    <row r="294" s="66" customFormat="1" x14ac:dyDescent="0.2"/>
    <row r="295" s="66" customFormat="1" x14ac:dyDescent="0.2"/>
    <row r="296" s="66" customFormat="1" x14ac:dyDescent="0.2"/>
    <row r="297" s="66" customFormat="1" x14ac:dyDescent="0.2"/>
    <row r="298" s="66" customFormat="1" x14ac:dyDescent="0.2"/>
    <row r="299" s="66" customFormat="1" x14ac:dyDescent="0.2"/>
    <row r="300" s="66" customFormat="1" x14ac:dyDescent="0.2"/>
    <row r="301" s="66" customFormat="1" x14ac:dyDescent="0.2"/>
    <row r="302" s="66" customFormat="1" x14ac:dyDescent="0.2"/>
    <row r="303" s="66" customFormat="1" x14ac:dyDescent="0.2"/>
    <row r="304" s="66" customFormat="1" x14ac:dyDescent="0.2"/>
    <row r="305" s="66" customFormat="1" x14ac:dyDescent="0.2"/>
    <row r="306" s="66" customFormat="1" x14ac:dyDescent="0.2"/>
    <row r="307" s="66" customFormat="1" x14ac:dyDescent="0.2"/>
    <row r="308" s="66" customFormat="1" x14ac:dyDescent="0.2"/>
    <row r="309" s="66" customFormat="1" x14ac:dyDescent="0.2"/>
    <row r="310" s="66" customFormat="1" x14ac:dyDescent="0.2"/>
    <row r="311" s="66" customFormat="1" x14ac:dyDescent="0.2"/>
    <row r="312" s="66" customFormat="1" x14ac:dyDescent="0.2"/>
    <row r="313" s="66" customFormat="1" x14ac:dyDescent="0.2"/>
    <row r="314" s="66" customFormat="1" x14ac:dyDescent="0.2"/>
    <row r="315" s="66" customFormat="1" x14ac:dyDescent="0.2"/>
    <row r="316" s="66" customFormat="1" x14ac:dyDescent="0.2"/>
    <row r="317" s="66" customFormat="1" x14ac:dyDescent="0.2"/>
    <row r="318" s="66" customFormat="1" x14ac:dyDescent="0.2"/>
    <row r="319" s="66" customFormat="1" x14ac:dyDescent="0.2"/>
    <row r="320" s="66" customFormat="1" x14ac:dyDescent="0.2"/>
    <row r="321" s="66" customFormat="1" x14ac:dyDescent="0.2"/>
    <row r="322" s="66" customFormat="1" x14ac:dyDescent="0.2"/>
    <row r="323" s="66" customFormat="1" x14ac:dyDescent="0.2"/>
    <row r="324" s="66" customFormat="1" x14ac:dyDescent="0.2"/>
    <row r="325" s="66" customFormat="1" x14ac:dyDescent="0.2"/>
    <row r="326" s="66" customFormat="1" x14ac:dyDescent="0.2"/>
    <row r="327" s="66" customFormat="1" x14ac:dyDescent="0.2"/>
    <row r="328" s="66" customFormat="1" x14ac:dyDescent="0.2"/>
    <row r="329" s="66" customFormat="1" x14ac:dyDescent="0.2"/>
    <row r="330" s="66" customFormat="1" x14ac:dyDescent="0.2"/>
    <row r="331" s="66" customFormat="1" x14ac:dyDescent="0.2"/>
    <row r="332" s="66" customFormat="1" x14ac:dyDescent="0.2"/>
    <row r="333" s="66" customFormat="1" x14ac:dyDescent="0.2"/>
    <row r="334" s="66" customFormat="1" x14ac:dyDescent="0.2"/>
    <row r="335" s="66" customFormat="1" x14ac:dyDescent="0.2"/>
    <row r="336" s="66" customFormat="1" x14ac:dyDescent="0.2"/>
    <row r="337" s="66" customFormat="1" x14ac:dyDescent="0.2"/>
    <row r="338" s="66" customFormat="1" x14ac:dyDescent="0.2"/>
    <row r="339" s="66" customFormat="1" x14ac:dyDescent="0.2"/>
    <row r="340" s="66" customFormat="1" x14ac:dyDescent="0.2"/>
    <row r="341" s="66" customFormat="1" x14ac:dyDescent="0.2"/>
    <row r="342" s="66" customFormat="1" x14ac:dyDescent="0.2"/>
    <row r="343" s="66" customFormat="1" x14ac:dyDescent="0.2"/>
    <row r="344" s="66" customFormat="1" x14ac:dyDescent="0.2"/>
    <row r="345" s="66" customFormat="1" x14ac:dyDescent="0.2"/>
    <row r="346" s="66" customFormat="1" x14ac:dyDescent="0.2"/>
    <row r="347" s="66" customFormat="1" x14ac:dyDescent="0.2"/>
    <row r="348" s="66" customFormat="1" x14ac:dyDescent="0.2"/>
    <row r="349" s="66" customFormat="1" x14ac:dyDescent="0.2"/>
    <row r="350" s="66" customFormat="1" x14ac:dyDescent="0.2"/>
    <row r="351" s="66" customFormat="1" x14ac:dyDescent="0.2"/>
    <row r="352" s="66" customFormat="1" x14ac:dyDescent="0.2"/>
    <row r="353" s="66" customFormat="1" x14ac:dyDescent="0.2"/>
    <row r="354" s="66" customFormat="1" x14ac:dyDescent="0.2"/>
    <row r="355" s="66" customFormat="1" x14ac:dyDescent="0.2"/>
    <row r="356" s="66" customFormat="1" x14ac:dyDescent="0.2"/>
    <row r="357" s="66" customFormat="1" x14ac:dyDescent="0.2"/>
    <row r="358" s="66" customFormat="1" x14ac:dyDescent="0.2"/>
    <row r="359" s="66" customFormat="1" x14ac:dyDescent="0.2"/>
    <row r="360" s="66" customFormat="1" x14ac:dyDescent="0.2"/>
    <row r="361" s="66" customFormat="1" x14ac:dyDescent="0.2"/>
    <row r="362" s="66" customFormat="1" x14ac:dyDescent="0.2"/>
    <row r="363" s="66" customFormat="1" x14ac:dyDescent="0.2"/>
    <row r="364" s="66" customFormat="1" x14ac:dyDescent="0.2"/>
    <row r="365" s="66" customFormat="1" x14ac:dyDescent="0.2"/>
    <row r="366" s="66" customFormat="1" x14ac:dyDescent="0.2"/>
    <row r="367" s="66" customFormat="1" x14ac:dyDescent="0.2"/>
    <row r="368" s="66" customFormat="1" x14ac:dyDescent="0.2"/>
    <row r="369" s="66" customFormat="1" x14ac:dyDescent="0.2"/>
    <row r="370" s="66" customFormat="1" x14ac:dyDescent="0.2"/>
    <row r="371" s="66" customFormat="1" x14ac:dyDescent="0.2"/>
    <row r="372" s="66" customFormat="1" x14ac:dyDescent="0.2"/>
    <row r="373" s="66" customFormat="1" x14ac:dyDescent="0.2"/>
    <row r="374" s="66" customFormat="1" x14ac:dyDescent="0.2"/>
    <row r="375" s="66" customFormat="1" x14ac:dyDescent="0.2"/>
    <row r="376" s="66" customFormat="1" x14ac:dyDescent="0.2"/>
    <row r="377" s="66" customFormat="1" x14ac:dyDescent="0.2"/>
    <row r="378" s="66" customFormat="1" x14ac:dyDescent="0.2"/>
    <row r="379" s="66" customFormat="1" x14ac:dyDescent="0.2"/>
    <row r="380" s="66" customFormat="1" x14ac:dyDescent="0.2"/>
    <row r="381" s="66" customFormat="1" x14ac:dyDescent="0.2"/>
    <row r="382" s="66" customFormat="1" x14ac:dyDescent="0.2"/>
    <row r="383" s="66" customFormat="1" x14ac:dyDescent="0.2"/>
    <row r="384" s="66" customFormat="1" x14ac:dyDescent="0.2"/>
    <row r="385" s="66" customFormat="1" x14ac:dyDescent="0.2"/>
    <row r="386" s="66" customFormat="1" x14ac:dyDescent="0.2"/>
    <row r="387" s="66" customFormat="1" x14ac:dyDescent="0.2"/>
    <row r="388" s="66" customFormat="1" x14ac:dyDescent="0.2"/>
    <row r="389" s="66" customFormat="1" x14ac:dyDescent="0.2"/>
    <row r="390" s="66" customFormat="1" x14ac:dyDescent="0.2"/>
    <row r="391" s="66" customFormat="1" x14ac:dyDescent="0.2"/>
    <row r="392" s="66" customFormat="1" x14ac:dyDescent="0.2"/>
    <row r="393" s="66" customFormat="1" x14ac:dyDescent="0.2"/>
    <row r="394" s="66" customFormat="1" x14ac:dyDescent="0.2"/>
    <row r="395" s="66" customFormat="1" x14ac:dyDescent="0.2"/>
    <row r="396" s="66" customFormat="1" x14ac:dyDescent="0.2"/>
    <row r="397" s="66" customFormat="1" x14ac:dyDescent="0.2"/>
    <row r="398" s="66" customFormat="1" x14ac:dyDescent="0.2"/>
    <row r="399" s="66" customFormat="1" x14ac:dyDescent="0.2"/>
    <row r="400" s="66" customFormat="1" x14ac:dyDescent="0.2"/>
    <row r="401" s="66" customFormat="1" x14ac:dyDescent="0.2"/>
    <row r="402" s="66" customFormat="1" x14ac:dyDescent="0.2"/>
    <row r="403" s="66" customFormat="1" x14ac:dyDescent="0.2"/>
    <row r="404" s="66" customFormat="1" x14ac:dyDescent="0.2"/>
    <row r="405" s="66" customFormat="1" x14ac:dyDescent="0.2"/>
    <row r="406" s="66" customFormat="1" x14ac:dyDescent="0.2"/>
    <row r="407" s="66" customFormat="1" x14ac:dyDescent="0.2"/>
    <row r="408" s="66" customFormat="1" x14ac:dyDescent="0.2"/>
    <row r="409" s="66" customFormat="1" x14ac:dyDescent="0.2"/>
    <row r="410" s="66" customFormat="1" x14ac:dyDescent="0.2"/>
    <row r="411" s="66" customFormat="1" x14ac:dyDescent="0.2"/>
    <row r="412" s="66" customFormat="1" x14ac:dyDescent="0.2"/>
    <row r="413" s="66" customFormat="1" x14ac:dyDescent="0.2"/>
    <row r="414" s="66" customFormat="1" x14ac:dyDescent="0.2"/>
    <row r="415" s="66" customFormat="1" x14ac:dyDescent="0.2"/>
    <row r="416" s="66" customFormat="1" x14ac:dyDescent="0.2"/>
    <row r="417" s="66" customFormat="1" x14ac:dyDescent="0.2"/>
    <row r="418" s="66" customFormat="1" x14ac:dyDescent="0.2"/>
    <row r="419" s="66" customFormat="1" x14ac:dyDescent="0.2"/>
    <row r="420" s="66" customFormat="1" x14ac:dyDescent="0.2"/>
    <row r="421" s="66" customFormat="1" x14ac:dyDescent="0.2"/>
    <row r="422" s="66" customFormat="1" x14ac:dyDescent="0.2"/>
    <row r="423" s="66" customFormat="1" x14ac:dyDescent="0.2"/>
    <row r="424" s="66" customFormat="1" x14ac:dyDescent="0.2"/>
    <row r="425" s="66" customFormat="1" x14ac:dyDescent="0.2"/>
    <row r="426" s="66" customFormat="1" x14ac:dyDescent="0.2"/>
    <row r="427" s="66" customFormat="1" x14ac:dyDescent="0.2"/>
    <row r="428" s="66" customFormat="1" x14ac:dyDescent="0.2"/>
    <row r="429" s="66" customFormat="1" x14ac:dyDescent="0.2"/>
    <row r="430" s="66" customFormat="1" x14ac:dyDescent="0.2"/>
    <row r="431" s="66" customFormat="1" x14ac:dyDescent="0.2"/>
    <row r="432" s="66" customFormat="1" x14ac:dyDescent="0.2"/>
    <row r="433" s="66" customFormat="1" x14ac:dyDescent="0.2"/>
    <row r="434" s="66" customFormat="1" x14ac:dyDescent="0.2"/>
    <row r="435" s="66" customFormat="1" x14ac:dyDescent="0.2"/>
    <row r="436" s="66" customFormat="1" x14ac:dyDescent="0.2"/>
    <row r="437" s="66" customFormat="1" x14ac:dyDescent="0.2"/>
    <row r="438" s="66" customFormat="1" x14ac:dyDescent="0.2"/>
    <row r="439" s="66" customFormat="1" x14ac:dyDescent="0.2"/>
    <row r="440" s="66" customFormat="1" x14ac:dyDescent="0.2"/>
    <row r="441" s="66" customFormat="1" x14ac:dyDescent="0.2"/>
    <row r="442" s="66" customFormat="1" x14ac:dyDescent="0.2"/>
    <row r="443" s="66" customFormat="1" x14ac:dyDescent="0.2"/>
    <row r="444" s="66" customFormat="1" x14ac:dyDescent="0.2"/>
    <row r="445" s="66" customFormat="1" x14ac:dyDescent="0.2"/>
    <row r="446" s="66" customFormat="1" x14ac:dyDescent="0.2"/>
    <row r="447" s="66" customFormat="1" x14ac:dyDescent="0.2"/>
    <row r="448" s="66" customFormat="1" x14ac:dyDescent="0.2"/>
    <row r="449" s="66" customFormat="1" x14ac:dyDescent="0.2"/>
    <row r="450" s="66" customFormat="1" x14ac:dyDescent="0.2"/>
    <row r="451" s="66" customFormat="1" x14ac:dyDescent="0.2"/>
    <row r="452" s="66" customFormat="1" x14ac:dyDescent="0.2"/>
    <row r="453" s="66" customFormat="1" x14ac:dyDescent="0.2"/>
    <row r="454" s="66" customFormat="1" x14ac:dyDescent="0.2"/>
    <row r="455" s="66" customFormat="1" x14ac:dyDescent="0.2"/>
    <row r="456" s="66" customFormat="1" x14ac:dyDescent="0.2"/>
    <row r="457" s="66" customFormat="1" x14ac:dyDescent="0.2"/>
    <row r="458" s="66" customFormat="1" x14ac:dyDescent="0.2"/>
    <row r="459" s="66" customFormat="1" x14ac:dyDescent="0.2"/>
    <row r="460" s="66" customFormat="1" x14ac:dyDescent="0.2"/>
    <row r="461" s="66" customFormat="1" x14ac:dyDescent="0.2"/>
    <row r="462" s="66" customFormat="1" x14ac:dyDescent="0.2"/>
    <row r="463" s="66" customFormat="1" x14ac:dyDescent="0.2"/>
    <row r="464" s="66" customFormat="1" x14ac:dyDescent="0.2"/>
    <row r="465" s="66" customFormat="1" x14ac:dyDescent="0.2"/>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 ME</vt:lpstr>
      <vt:lpstr>Coverage matrix</vt:lpstr>
      <vt:lpstr>Results</vt:lpstr>
      <vt:lpstr>Justifications log</vt:lpstr>
      <vt:lpstr>Requirement_Datapoints</vt:lpstr>
      <vt:lpstr>Scope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Linne Verhoeven</cp:lastModifiedBy>
  <cp:revision>0</cp:revision>
  <dcterms:created xsi:type="dcterms:W3CDTF">2026-06-01T20:09:22Z</dcterms:created>
  <dcterms:modified xsi:type="dcterms:W3CDTF">2026-06-18T10:20:34Z</dcterms:modified>
  <dc:language>en-US</dc:language>
</cp:coreProperties>
</file>